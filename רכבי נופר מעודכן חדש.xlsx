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3262a116e3d5c458/Desktop/"/>
    </mc:Choice>
  </mc:AlternateContent>
  <xr:revisionPtr revIDLastSave="0" documentId="8_{4EFB2DE7-74B5-4B39-A9DC-39A48481881C}" xr6:coauthVersionLast="47" xr6:coauthVersionMax="47" xr10:uidLastSave="{00000000-0000-0000-0000-000000000000}"/>
  <bookViews>
    <workbookView xWindow="-120" yWindow="-120" windowWidth="29040" windowHeight="15720" xr2:uid="{00000000-000D-0000-FFFF-FFFF00000000}"/>
  </bookViews>
  <sheets>
    <sheet name="סהכ" sheetId="1" r:id="rId1"/>
    <sheet name="החזרת רכבים " sheetId="2" r:id="rId2"/>
    <sheet name="משימות" sheetId="3" r:id="rId3"/>
    <sheet name="חשבוניות מוסכים" sheetId="4" r:id="rId4"/>
    <sheet name="דוחות " sheetId="5" r:id="rId5"/>
    <sheet name="שמות ומיילים" sheetId="6" r:id="rId6"/>
    <sheet name="אירועים" sheetId="7" r:id="rId7"/>
    <sheet name="מחירון חלקים מוסכים" sheetId="8" r:id="rId8"/>
    <sheet name="מחירון פוליסות" sheetId="9" r:id="rId9"/>
    <sheet name="איתוראןפוינטר" sheetId="10" r:id="rId10"/>
    <sheet name="וילוקאפ" sheetId="11" r:id="rId11"/>
    <sheet name="פילוח אירועים 2025+" sheetId="12" r:id="rId12"/>
  </sheets>
  <definedNames>
    <definedName name="_xlnm._FilterDatabase" localSheetId="6" hidden="1">אירועים!$B$1:$B$1000</definedName>
    <definedName name="_xlnm._FilterDatabase" localSheetId="4" hidden="1">'דוחות '!$D$1:$D$1000</definedName>
    <definedName name="_xlnm._FilterDatabase" localSheetId="3" hidden="1">'חשבוניות מוסכים'!$B$1:$B$1008</definedName>
    <definedName name="_xlnm._FilterDatabase" localSheetId="8" hidden="1">'מחירון פוליסות'!$I$1:$I$1000</definedName>
    <definedName name="_xlnm._FilterDatabase" localSheetId="0" hidden="1">סהכ!$A$1:$AC$93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SreOeB0LK0NXWoIq+9coz5stB/wjh8H2HUgjDGlHvsk="/>
    </ext>
  </extLst>
</workbook>
</file>

<file path=xl/calcChain.xml><?xml version="1.0" encoding="utf-8"?>
<calcChain xmlns="http://schemas.openxmlformats.org/spreadsheetml/2006/main">
  <c r="G57" i="12" l="1"/>
  <c r="G59" i="12" s="1"/>
  <c r="C53" i="12"/>
  <c r="D53" i="12" s="1"/>
  <c r="B53" i="12"/>
  <c r="C52" i="12"/>
  <c r="D52" i="12" s="1"/>
  <c r="B52" i="12"/>
  <c r="B51" i="12"/>
  <c r="C50" i="12"/>
  <c r="D50" i="12" s="1"/>
  <c r="B50" i="12"/>
  <c r="G49" i="12"/>
  <c r="C49" i="12"/>
  <c r="D49" i="12" s="1"/>
  <c r="B49" i="12"/>
  <c r="G48" i="12"/>
  <c r="C48" i="12"/>
  <c r="D48" i="12" s="1"/>
  <c r="B48" i="12"/>
  <c r="B47" i="12"/>
  <c r="B54" i="12" s="1"/>
  <c r="F42" i="12"/>
  <c r="F41" i="12"/>
  <c r="F40" i="12"/>
  <c r="F39" i="12"/>
  <c r="F38" i="12"/>
  <c r="F37" i="12"/>
  <c r="F36" i="12"/>
  <c r="F35" i="12"/>
  <c r="F34" i="12"/>
  <c r="C51" i="12" s="1"/>
  <c r="D51" i="12" s="1"/>
  <c r="F33" i="12"/>
  <c r="G47" i="12" s="1"/>
  <c r="G50" i="12" s="1"/>
  <c r="K3" i="12"/>
  <c r="C47" i="12" l="1"/>
  <c r="C54" i="12" l="1"/>
  <c r="D54" i="12" s="1"/>
  <c r="D47" i="12"/>
</calcChain>
</file>

<file path=xl/sharedStrings.xml><?xml version="1.0" encoding="utf-8"?>
<sst xmlns="http://schemas.openxmlformats.org/spreadsheetml/2006/main" count="9574" uniqueCount="4131">
  <si>
    <t xml:space="preserve">מס"ד </t>
  </si>
  <si>
    <t>חברה</t>
  </si>
  <si>
    <t>יצרן</t>
  </si>
  <si>
    <t>דגם</t>
  </si>
  <si>
    <t>שנתון</t>
  </si>
  <si>
    <t>מס' רכב</t>
  </si>
  <si>
    <t xml:space="preserve">קוד  שווי שימוש </t>
  </si>
  <si>
    <t>ת.ז.</t>
  </si>
  <si>
    <t>שם עובד</t>
  </si>
  <si>
    <t>תוקף רישיון נהיגה</t>
  </si>
  <si>
    <t xml:space="preserve"> ילדים:</t>
  </si>
  <si>
    <t xml:space="preserve">רכב מ: </t>
  </si>
  <si>
    <t>תוקף רישוי</t>
  </si>
  <si>
    <t>תוקף ביטוח חובה</t>
  </si>
  <si>
    <t>טיפול הבא</t>
  </si>
  <si>
    <t>ק"מ:</t>
  </si>
  <si>
    <t>ביקורת</t>
  </si>
  <si>
    <t xml:space="preserve"> עבר תעבורתי</t>
  </si>
  <si>
    <t>נהלים</t>
  </si>
  <si>
    <t xml:space="preserve">נופר אנרגי </t>
  </si>
  <si>
    <t xml:space="preserve">מיצובישי </t>
  </si>
  <si>
    <t>אוטלנדר</t>
  </si>
  <si>
    <t>0590-00234</t>
  </si>
  <si>
    <t>צור גרונר-מטה</t>
  </si>
  <si>
    <t>27.4.27</t>
  </si>
  <si>
    <t>24.11.24</t>
  </si>
  <si>
    <t>13/4/26</t>
  </si>
  <si>
    <t>6.9.23</t>
  </si>
  <si>
    <t>24.11.25</t>
  </si>
  <si>
    <t>הצהרת בריאות ונהלים מדי 5 שנים</t>
  </si>
  <si>
    <t xml:space="preserve"> </t>
  </si>
  <si>
    <t>נתנאל חזן-ישראל- 2 פסקלים-כרטיס תדלוק</t>
  </si>
  <si>
    <t>30.10.26</t>
  </si>
  <si>
    <t>24.8.25</t>
  </si>
  <si>
    <t>מידע תעבורתי מדי 3 שנים</t>
  </si>
  <si>
    <t>ליסקאר</t>
  </si>
  <si>
    <t xml:space="preserve">סיטרואן </t>
  </si>
  <si>
    <t>ברלינגו E BLUE</t>
  </si>
  <si>
    <t>0496-00088</t>
  </si>
  <si>
    <t>אור בידוש-ישראל</t>
  </si>
  <si>
    <t>05.08.60</t>
  </si>
  <si>
    <t>אין</t>
  </si>
  <si>
    <t>18.3.24</t>
  </si>
  <si>
    <t>0496-00204</t>
  </si>
  <si>
    <t>מתן לוי-ישראל</t>
  </si>
  <si>
    <t>25.2.29</t>
  </si>
  <si>
    <t>12.4.26</t>
  </si>
  <si>
    <t>1.2.26</t>
  </si>
  <si>
    <t>25.6.25</t>
  </si>
  <si>
    <t>שלמה סיקסט</t>
  </si>
  <si>
    <t>גאקו</t>
  </si>
  <si>
    <t>1604-0008</t>
  </si>
  <si>
    <t xml:space="preserve">דניאל בוחבוט -ישראל </t>
  </si>
  <si>
    <t>21.12.27</t>
  </si>
  <si>
    <t>18.12.25</t>
  </si>
  <si>
    <t>4.6.26</t>
  </si>
  <si>
    <t>9.7.24</t>
  </si>
  <si>
    <t>קיה</t>
  </si>
  <si>
    <t>סלטוס</t>
  </si>
  <si>
    <t>הילה סגל -ישראל</t>
  </si>
  <si>
    <t>9.12.28</t>
  </si>
  <si>
    <t>2.9.24</t>
  </si>
  <si>
    <t>60 אלף</t>
  </si>
  <si>
    <t xml:space="preserve">פורד </t>
  </si>
  <si>
    <t>f250</t>
  </si>
  <si>
    <t>נתנאל חזות -ישראל</t>
  </si>
  <si>
    <t>15.9.57</t>
  </si>
  <si>
    <t>27.11.24</t>
  </si>
  <si>
    <t xml:space="preserve">56 אלף </t>
  </si>
  <si>
    <t>27.9.23</t>
  </si>
  <si>
    <t xml:space="preserve">אאוטלנדר </t>
  </si>
  <si>
    <t>אייל לוצאטו-מטה</t>
  </si>
  <si>
    <t>30.5.30</t>
  </si>
  <si>
    <t>20.11.24</t>
  </si>
  <si>
    <t>16.4.26</t>
  </si>
  <si>
    <t>20.11.25</t>
  </si>
  <si>
    <t>צ'רי</t>
  </si>
  <si>
    <t>טיגו 7 פרו</t>
  </si>
  <si>
    <t>1450-00028</t>
  </si>
  <si>
    <t>יפתח שילה-ישראל</t>
  </si>
  <si>
    <t>2.6.27</t>
  </si>
  <si>
    <t>30.1.25</t>
  </si>
  <si>
    <t>רנו טורקיה</t>
  </si>
  <si>
    <t>גרנד קופה דיזל</t>
  </si>
  <si>
    <t>0771-00250</t>
  </si>
  <si>
    <t xml:space="preserve">אריאל אשר-ישראל- למכור רכב </t>
  </si>
  <si>
    <t>10.9.28</t>
  </si>
  <si>
    <t>22.7.25</t>
  </si>
  <si>
    <t>23.7.25</t>
  </si>
  <si>
    <t>0771-00302</t>
  </si>
  <si>
    <t>אוהד מויאל-ישראל</t>
  </si>
  <si>
    <t>19.11.27</t>
  </si>
  <si>
    <t>24.7.25</t>
  </si>
  <si>
    <t>אקספלורר</t>
  </si>
  <si>
    <t>0728-00167</t>
  </si>
  <si>
    <t>נעם פישר-מטה</t>
  </si>
  <si>
    <t>29.10.27</t>
  </si>
  <si>
    <t xml:space="preserve"> 5.5.21</t>
  </si>
  <si>
    <t>7.7.25</t>
  </si>
  <si>
    <t>31.8.22, חסר רישיון בת זוג1.9</t>
  </si>
  <si>
    <t>אמיר אבנון-ישראל</t>
  </si>
  <si>
    <t>18.9.29</t>
  </si>
  <si>
    <t>21.11.24</t>
  </si>
  <si>
    <t>24.3.26</t>
  </si>
  <si>
    <t>22.11.24</t>
  </si>
  <si>
    <t>פיני בראט-ישראל</t>
  </si>
  <si>
    <t>27.07.67</t>
  </si>
  <si>
    <t>18.4.24</t>
  </si>
  <si>
    <t>31.3.26</t>
  </si>
  <si>
    <t>אקליפס קרוס</t>
  </si>
  <si>
    <t>דני חנצינסקי-ישראל</t>
  </si>
  <si>
    <t>28.11.28</t>
  </si>
  <si>
    <t>25.2.26</t>
  </si>
  <si>
    <t>F-350</t>
  </si>
  <si>
    <t>יחיאל סלאמה-ישראל</t>
  </si>
  <si>
    <t>1.7.26</t>
  </si>
  <si>
    <t xml:space="preserve"> 1.3.21</t>
  </si>
  <si>
    <t>27.1.26</t>
  </si>
  <si>
    <t>4.8.22</t>
  </si>
  <si>
    <t>מ.ג</t>
  </si>
  <si>
    <t>EHS</t>
  </si>
  <si>
    <t>0443-00022</t>
  </si>
  <si>
    <t>לאוניד מרחסין-ישראל</t>
  </si>
  <si>
    <t>4.10.27</t>
  </si>
  <si>
    <t>1.11.25</t>
  </si>
  <si>
    <t>20.4.26</t>
  </si>
  <si>
    <t>1604-0012</t>
  </si>
  <si>
    <t>מופז סלמן -ישראל-כרטיס תדלוק</t>
  </si>
  <si>
    <t>25.2.30</t>
  </si>
  <si>
    <t>11.5.26</t>
  </si>
  <si>
    <t>9.11.25</t>
  </si>
  <si>
    <t>12.5.2031</t>
  </si>
  <si>
    <t>0885-00558</t>
  </si>
  <si>
    <t>15.10.28</t>
  </si>
  <si>
    <t>11.8.22</t>
  </si>
  <si>
    <t xml:space="preserve">קיה </t>
  </si>
  <si>
    <t>סטוניק</t>
  </si>
  <si>
    <t>0885-00519</t>
  </si>
  <si>
    <t>29.9.26</t>
  </si>
  <si>
    <t xml:space="preserve">26.7.21  </t>
  </si>
  <si>
    <t>66 אלף</t>
  </si>
  <si>
    <t>17.8.22</t>
  </si>
  <si>
    <t>רנו</t>
  </si>
  <si>
    <t>מגאן</t>
  </si>
  <si>
    <t>נדב דהן-ישראל</t>
  </si>
  <si>
    <t>15.3.30</t>
  </si>
  <si>
    <t>9.6.26</t>
  </si>
  <si>
    <t>1.9.24</t>
  </si>
  <si>
    <t>יונדאי</t>
  </si>
  <si>
    <t>אלנטרה</t>
  </si>
  <si>
    <t>ניצן רגי'אנו-מטה</t>
  </si>
  <si>
    <t>27.06.61</t>
  </si>
  <si>
    <t>15.1.26</t>
  </si>
  <si>
    <t>12.2.26</t>
  </si>
  <si>
    <t>0590-0259</t>
  </si>
  <si>
    <t>עופר אוברלנדר- מטה</t>
  </si>
  <si>
    <t>6.12.29</t>
  </si>
  <si>
    <t>26.8.25</t>
  </si>
  <si>
    <t>15 אלף</t>
  </si>
  <si>
    <t>28.8.25</t>
  </si>
  <si>
    <t>פיגו</t>
  </si>
  <si>
    <t>0739-00294</t>
  </si>
  <si>
    <t>זאב סונא -מטה- הח שמשה ונורת מנוע</t>
  </si>
  <si>
    <t>18.7.60</t>
  </si>
  <si>
    <t>17.3.22</t>
  </si>
  <si>
    <t>15.2.26</t>
  </si>
  <si>
    <t xml:space="preserve">שלמה סיקסט </t>
  </si>
  <si>
    <t>אומודה</t>
  </si>
  <si>
    <t>1605-0005</t>
  </si>
  <si>
    <t>תמי פישמן- מטה</t>
  </si>
  <si>
    <t>19.1.30</t>
  </si>
  <si>
    <t>14.5.26</t>
  </si>
  <si>
    <t>טיגו 8 פרו</t>
  </si>
  <si>
    <t>01450-0055</t>
  </si>
  <si>
    <t>19.12.26</t>
  </si>
  <si>
    <t>2.9.25</t>
  </si>
  <si>
    <t>16.9.25</t>
  </si>
  <si>
    <t>28.9.58</t>
  </si>
  <si>
    <t>2.4.23</t>
  </si>
  <si>
    <t>עדי גלסמן-ישראל</t>
  </si>
  <si>
    <t>12.12.30</t>
  </si>
  <si>
    <t>28.12.25</t>
  </si>
  <si>
    <t>31.8.25</t>
  </si>
  <si>
    <t>דאצ'יה</t>
  </si>
  <si>
    <t>דסטר</t>
  </si>
  <si>
    <t>0351-00179</t>
  </si>
  <si>
    <t>שחר כהן-ישראל</t>
  </si>
  <si>
    <t>10.9.31</t>
  </si>
  <si>
    <t>30.10.23</t>
  </si>
  <si>
    <t>הדס גל -מטה</t>
  </si>
  <si>
    <t>8.10.26</t>
  </si>
  <si>
    <t>10.3.25</t>
  </si>
  <si>
    <t>6.4.26</t>
  </si>
  <si>
    <t>0481-00323</t>
  </si>
  <si>
    <t>11.9.30</t>
  </si>
  <si>
    <t>1.3.23</t>
  </si>
  <si>
    <t>1.1.24</t>
  </si>
  <si>
    <t>ציון יחזקאל-ישראל</t>
  </si>
  <si>
    <t>20.8.60</t>
  </si>
  <si>
    <t>30.6.25</t>
  </si>
  <si>
    <t>14.12.25</t>
  </si>
  <si>
    <t>ג'מיל פאחורי -ישראל</t>
  </si>
  <si>
    <t>22.4.57</t>
  </si>
  <si>
    <t>23.4.23</t>
  </si>
  <si>
    <t>30.12.25</t>
  </si>
  <si>
    <t>9.8.22</t>
  </si>
  <si>
    <t>קרן  גרינוולד/סבג-מטה</t>
  </si>
  <si>
    <t>11.2.54</t>
  </si>
  <si>
    <t>4.2.25</t>
  </si>
  <si>
    <t>11.1.26</t>
  </si>
  <si>
    <t>רותם שמר -מטה</t>
  </si>
  <si>
    <t>3.9.59</t>
  </si>
  <si>
    <t>23.7.23</t>
  </si>
  <si>
    <t>5.1.26</t>
  </si>
  <si>
    <t>3.8.22</t>
  </si>
  <si>
    <t>אורטל ביאלסקי-ישראל</t>
  </si>
  <si>
    <t>10.9.63</t>
  </si>
  <si>
    <t>רשף אגרנוב-מטה</t>
  </si>
  <si>
    <t>17.11.26</t>
  </si>
  <si>
    <t>15.6.26</t>
  </si>
  <si>
    <t>10.12.30</t>
  </si>
  <si>
    <t xml:space="preserve">יוסף הירש-מטה-כרטיס תדלוק </t>
  </si>
  <si>
    <t>10.9.26</t>
  </si>
  <si>
    <t>8.2.26</t>
  </si>
  <si>
    <t>1.12.29</t>
  </si>
  <si>
    <t xml:space="preserve">סופי בלקסטון-מטה </t>
  </si>
  <si>
    <t>30.6.26</t>
  </si>
  <si>
    <t>2.3.22</t>
  </si>
  <si>
    <t>ג'ואנה סטרוק -ישראל</t>
  </si>
  <si>
    <t>23.8.26</t>
  </si>
  <si>
    <t>16.4.23</t>
  </si>
  <si>
    <t>23.4.26</t>
  </si>
  <si>
    <t xml:space="preserve">17.8.22 </t>
  </si>
  <si>
    <t xml:space="preserve">בי ווי די </t>
  </si>
  <si>
    <t>אטו 2</t>
  </si>
  <si>
    <t>1014-0053</t>
  </si>
  <si>
    <t>יריב טולדנו-מטה</t>
  </si>
  <si>
    <t>14.6.28</t>
  </si>
  <si>
    <t>5.5.26</t>
  </si>
  <si>
    <t>אופל</t>
  </si>
  <si>
    <t>פרונטרה</t>
  </si>
  <si>
    <t>1660-0005</t>
  </si>
  <si>
    <t xml:space="preserve">רון אלקיים-ישראל - כרטיס תדלוק </t>
  </si>
  <si>
    <t>21.7.59</t>
  </si>
  <si>
    <t>7.6.26</t>
  </si>
  <si>
    <t>צרי</t>
  </si>
  <si>
    <t>1450-0057</t>
  </si>
  <si>
    <t>גיא הרטשטיין -מטה</t>
  </si>
  <si>
    <t>20.1.26</t>
  </si>
  <si>
    <t xml:space="preserve">טויוטה </t>
  </si>
  <si>
    <t>יאריס קרוס</t>
  </si>
  <si>
    <t>0672-0208</t>
  </si>
  <si>
    <t>מאיה כתבי-מטה</t>
  </si>
  <si>
    <t>14.7.61</t>
  </si>
  <si>
    <t xml:space="preserve">טיגו 4 </t>
  </si>
  <si>
    <t>1450-0053</t>
  </si>
  <si>
    <t>רעות בן עזרי-ישראל</t>
  </si>
  <si>
    <t>15.10.57</t>
  </si>
  <si>
    <t>7.5.26</t>
  </si>
  <si>
    <t>שמרית טביב-ישראל</t>
  </si>
  <si>
    <t>9.7.30</t>
  </si>
  <si>
    <t>1450-0044</t>
  </si>
  <si>
    <t>גוסטבו רוצ'מן-מטה</t>
  </si>
  <si>
    <t>09.10.26</t>
  </si>
  <si>
    <t>11.11.25</t>
  </si>
  <si>
    <t>27.4.26</t>
  </si>
  <si>
    <t>1604-0021</t>
  </si>
  <si>
    <t>יוחאי תירוש-ישראל</t>
  </si>
  <si>
    <t>30.11.27</t>
  </si>
  <si>
    <t>24.2.26</t>
  </si>
  <si>
    <t>26.2.25</t>
  </si>
  <si>
    <t>הרץ</t>
  </si>
  <si>
    <t>0481-0487</t>
  </si>
  <si>
    <t>31.1.31</t>
  </si>
  <si>
    <t>16.6.26</t>
  </si>
  <si>
    <t>נגרר</t>
  </si>
  <si>
    <t xml:space="preserve">נגרר-ישראל </t>
  </si>
  <si>
    <t>26.5.26</t>
  </si>
  <si>
    <t>פיג'ו</t>
  </si>
  <si>
    <t>טל דין-מטה-להחזיר לליסקאר</t>
  </si>
  <si>
    <t>2.8.29</t>
  </si>
  <si>
    <t>30.4.23</t>
  </si>
  <si>
    <t>150 אלף</t>
  </si>
  <si>
    <t>10.6.26</t>
  </si>
  <si>
    <t>1.8.22</t>
  </si>
  <si>
    <t xml:space="preserve">סיליון 5 </t>
  </si>
  <si>
    <t>1014-0048</t>
  </si>
  <si>
    <t>צליל אזולאי-ישראל</t>
  </si>
  <si>
    <t>08.6.56</t>
  </si>
  <si>
    <t>4.5.26</t>
  </si>
  <si>
    <t>אתי חן-ישראל</t>
  </si>
  <si>
    <t>18.7.28</t>
  </si>
  <si>
    <t>0351-00165</t>
  </si>
  <si>
    <t>עדיאל בר משה-ישראל</t>
  </si>
  <si>
    <t>31.8.31</t>
  </si>
  <si>
    <t>1.1.25</t>
  </si>
  <si>
    <t>31.12.24</t>
  </si>
  <si>
    <t>טויוטה</t>
  </si>
  <si>
    <t>קורולה</t>
  </si>
  <si>
    <t>0839-00318</t>
  </si>
  <si>
    <t xml:space="preserve">צחי רייך- ישראל </t>
  </si>
  <si>
    <t>5.4.28</t>
  </si>
  <si>
    <t>18.5.23</t>
  </si>
  <si>
    <t>04.1.26</t>
  </si>
  <si>
    <t>1.1.23</t>
  </si>
  <si>
    <t>רותם סודרי</t>
  </si>
  <si>
    <t>5.12.26</t>
  </si>
  <si>
    <t>27.3.24</t>
  </si>
  <si>
    <t>5.5.2026</t>
  </si>
  <si>
    <t>קונה</t>
  </si>
  <si>
    <t>0481-0536</t>
  </si>
  <si>
    <t>מעיין אס-מטה</t>
  </si>
  <si>
    <t>6.10.57</t>
  </si>
  <si>
    <t>28.5.26</t>
  </si>
  <si>
    <t>2.6.26</t>
  </si>
  <si>
    <t xml:space="preserve">אסי כהן- מטה </t>
  </si>
  <si>
    <t>9.9.30</t>
  </si>
  <si>
    <t>30.4.26</t>
  </si>
  <si>
    <t>17.1.25</t>
  </si>
  <si>
    <t>יותם מן -ישראל</t>
  </si>
  <si>
    <t>15.8.30</t>
  </si>
  <si>
    <t>9.4.26</t>
  </si>
  <si>
    <t>17.5.2026</t>
  </si>
  <si>
    <t xml:space="preserve">אייגו X </t>
  </si>
  <si>
    <t>0490-0060</t>
  </si>
  <si>
    <t>גילי אלמגור-מטה</t>
  </si>
  <si>
    <t>10.09.28</t>
  </si>
  <si>
    <t>29.1.26</t>
  </si>
  <si>
    <t>17.12.23</t>
  </si>
  <si>
    <t>0885-00609</t>
  </si>
  <si>
    <t>מתן סידי-מטה</t>
  </si>
  <si>
    <t>02.12.29</t>
  </si>
  <si>
    <t>11.2.24</t>
  </si>
  <si>
    <t>7.1.26</t>
  </si>
  <si>
    <t>7.9.25</t>
  </si>
  <si>
    <t>נעמה לוק-ישראל-כרטיס תדלוק</t>
  </si>
  <si>
    <t>02.11.27</t>
  </si>
  <si>
    <t>24.12.25</t>
  </si>
  <si>
    <t>טיגו 4</t>
  </si>
  <si>
    <t>עתליה-ישראל</t>
  </si>
  <si>
    <t>11.2.2031</t>
  </si>
  <si>
    <t>20.2.26</t>
  </si>
  <si>
    <t>סקודה</t>
  </si>
  <si>
    <t>קודיאק</t>
  </si>
  <si>
    <t>0676-01696</t>
  </si>
  <si>
    <t>נדב ברקן-ישראל</t>
  </si>
  <si>
    <t>09.07.29</t>
  </si>
  <si>
    <t>6.2.25</t>
  </si>
  <si>
    <t>30.6.24</t>
  </si>
  <si>
    <t>סובארו</t>
  </si>
  <si>
    <t>פורסטר</t>
  </si>
  <si>
    <t>0650-00526</t>
  </si>
  <si>
    <t>מוטי עמנואל-ישראל</t>
  </si>
  <si>
    <t>4.8.28</t>
  </si>
  <si>
    <t>5.9.24</t>
  </si>
  <si>
    <t>12.8.24</t>
  </si>
  <si>
    <t>סיטי</t>
  </si>
  <si>
    <t>1242-00010</t>
  </si>
  <si>
    <t>24.4.30</t>
  </si>
  <si>
    <t>28.2.25</t>
  </si>
  <si>
    <t>8.3.59</t>
  </si>
  <si>
    <t>14.6.26</t>
  </si>
  <si>
    <t>0839-0318</t>
  </si>
  <si>
    <t>ליאור ברון -ישראל</t>
  </si>
  <si>
    <t>24.11.28</t>
  </si>
  <si>
    <t>8.9.25</t>
  </si>
  <si>
    <t>3.9.25</t>
  </si>
  <si>
    <t>10.9.25</t>
  </si>
  <si>
    <t>1450-0048</t>
  </si>
  <si>
    <t>דותן סלע-ישראל</t>
  </si>
  <si>
    <t>27.9.26</t>
  </si>
  <si>
    <t>16.5.25</t>
  </si>
  <si>
    <t>15.4.26</t>
  </si>
  <si>
    <t>קיי גיי</t>
  </si>
  <si>
    <t>רקסטון</t>
  </si>
  <si>
    <t>1566-0013</t>
  </si>
  <si>
    <t>אריאל ריבני-ישראל</t>
  </si>
  <si>
    <t>16.6.30</t>
  </si>
  <si>
    <t>20.8.25</t>
  </si>
  <si>
    <t>10.7.25</t>
  </si>
  <si>
    <t>01450-0044</t>
  </si>
  <si>
    <t>אורן בן שימול</t>
  </si>
  <si>
    <t>18.11.26</t>
  </si>
  <si>
    <t>0885-00507</t>
  </si>
  <si>
    <t>אליעד אבן חן -מטה-להחזיר לליסקאר</t>
  </si>
  <si>
    <t>26.9.59</t>
  </si>
  <si>
    <t>90 אלף</t>
  </si>
  <si>
    <t>נועה בית דגן-מטה</t>
  </si>
  <si>
    <t>19.11.29</t>
  </si>
  <si>
    <t>BYD</t>
  </si>
  <si>
    <t>אטו 3</t>
  </si>
  <si>
    <t>01014-0004</t>
  </si>
  <si>
    <t>19.1.26</t>
  </si>
  <si>
    <t>30.9.25</t>
  </si>
  <si>
    <t>ehs</t>
  </si>
  <si>
    <t>0443-0078</t>
  </si>
  <si>
    <t>מתי אשכנזי -ישראל</t>
  </si>
  <si>
    <t>17.7.27</t>
  </si>
  <si>
    <t>16.12.25</t>
  </si>
  <si>
    <t>17.2.26</t>
  </si>
  <si>
    <t>17.12.25</t>
  </si>
  <si>
    <t xml:space="preserve">רועי קרבל-מטה -כרטיס תדלוק </t>
  </si>
  <si>
    <t>5.2.28</t>
  </si>
  <si>
    <t>3.2.26</t>
  </si>
  <si>
    <t>19.10.25</t>
  </si>
  <si>
    <t>5.2.26</t>
  </si>
  <si>
    <t>צור לנס -מטה</t>
  </si>
  <si>
    <t>17.12.26</t>
  </si>
  <si>
    <t>31/03/20236</t>
  </si>
  <si>
    <t>17.5.26</t>
  </si>
  <si>
    <t>29.10.23</t>
  </si>
  <si>
    <t>1.4.26</t>
  </si>
  <si>
    <t>0481-0323</t>
  </si>
  <si>
    <t xml:space="preserve">מיגל ממן- מטה </t>
  </si>
  <si>
    <t>19.8.26</t>
  </si>
  <si>
    <t>23.3.26</t>
  </si>
  <si>
    <t>אוקטביה</t>
  </si>
  <si>
    <t>0676-1705</t>
  </si>
  <si>
    <t>שירה גרינבואים- ישראל-כרטיס תדלוק</t>
  </si>
  <si>
    <t>17.1.59</t>
  </si>
  <si>
    <t>שגיא סנדלר -מטה</t>
  </si>
  <si>
    <t>30.12.28</t>
  </si>
  <si>
    <t>16.11.25</t>
  </si>
  <si>
    <t xml:space="preserve">הגר שוקרון- ישראל </t>
  </si>
  <si>
    <t>3.11.26</t>
  </si>
  <si>
    <t>17.3.26</t>
  </si>
  <si>
    <t>אוהד הורבך-מטה-כרטיס תדלוק</t>
  </si>
  <si>
    <t>21.6.58</t>
  </si>
  <si>
    <t>16.3.26</t>
  </si>
  <si>
    <t>לינק אנד קו</t>
  </si>
  <si>
    <t>ניסים אזגרי-מטה-כרטיס תדלוק</t>
  </si>
  <si>
    <t>3.7.27</t>
  </si>
  <si>
    <t>19.5.26</t>
  </si>
  <si>
    <t>21.1.26</t>
  </si>
  <si>
    <t>20.5.26</t>
  </si>
  <si>
    <t>ספיר אזאצ'י- ישראל</t>
  </si>
  <si>
    <t>13.12.30</t>
  </si>
  <si>
    <t>22.3.26</t>
  </si>
  <si>
    <t>22.2.26</t>
  </si>
  <si>
    <t>מאזדה</t>
  </si>
  <si>
    <t>0588-0437</t>
  </si>
  <si>
    <t xml:space="preserve">רוני פינסקי-ישראל כרטיס תדלוק </t>
  </si>
  <si>
    <t>18.5.62</t>
  </si>
  <si>
    <t>18.3.26</t>
  </si>
  <si>
    <t>נמרוד זוהר-מטה</t>
  </si>
  <si>
    <t>1604-0019</t>
  </si>
  <si>
    <t>אלעד מיכאלי-מטה</t>
  </si>
  <si>
    <t>28.02.30</t>
  </si>
  <si>
    <t xml:space="preserve">סלטוס </t>
  </si>
  <si>
    <t>0885-0558</t>
  </si>
  <si>
    <t>לילה חודש-ישראל-כרטיס תדלוק</t>
  </si>
  <si>
    <t>15.12.53</t>
  </si>
  <si>
    <t>30.11.25</t>
  </si>
  <si>
    <t>שני דדון-ישראל-כרטיס תדלוק</t>
  </si>
  <si>
    <t>19.5.31</t>
  </si>
  <si>
    <t>18.5.26</t>
  </si>
  <si>
    <t>גלעד אסף-ישראל-כרטיס תדלוק</t>
  </si>
  <si>
    <t>29.10.30</t>
  </si>
  <si>
    <t>שלמה סיקסט- ביטוח החל מגיל   , טלפון *6603</t>
  </si>
  <si>
    <t>ביטוח החל  מגיל 18,טלפון *6603</t>
  </si>
  <si>
    <t xml:space="preserve">  </t>
  </si>
  <si>
    <t>החזרת רכבים נופר אנרגיה:</t>
  </si>
  <si>
    <t>רכבים זמניים/חליפיים/שכורים:</t>
  </si>
  <si>
    <t xml:space="preserve">מס"ד: </t>
  </si>
  <si>
    <t>סוג רכב :</t>
  </si>
  <si>
    <t>מספר :</t>
  </si>
  <si>
    <t>הערות:</t>
  </si>
  <si>
    <t>חברה:</t>
  </si>
  <si>
    <t>ת.החזרה :</t>
  </si>
  <si>
    <t xml:space="preserve">שם  המחזיר: </t>
  </si>
  <si>
    <t>מס"ד</t>
  </si>
  <si>
    <t>סוג רכב:</t>
  </si>
  <si>
    <t xml:space="preserve">חברה: </t>
  </si>
  <si>
    <t>רישוי:</t>
  </si>
  <si>
    <t>מתאריך עד:</t>
  </si>
  <si>
    <t>שם לקוח והערות:</t>
  </si>
  <si>
    <t>i-20 יונדאי</t>
  </si>
  <si>
    <t>אלבר</t>
  </si>
  <si>
    <t>26.7.21</t>
  </si>
  <si>
    <t xml:space="preserve">אליאנה ימין </t>
  </si>
  <si>
    <t xml:space="preserve">שכור </t>
  </si>
  <si>
    <t xml:space="preserve">מונזה </t>
  </si>
  <si>
    <t>מ14/10/21-20/10</t>
  </si>
  <si>
    <t>676644301 אגן השמן</t>
  </si>
  <si>
    <t>רנו גרנד</t>
  </si>
  <si>
    <t xml:space="preserve">אלבר </t>
  </si>
  <si>
    <t>1.8.21</t>
  </si>
  <si>
    <t xml:space="preserve">עומר פרצי </t>
  </si>
  <si>
    <t>ליס 4 יו</t>
  </si>
  <si>
    <t>25/10/21-7/11/21</t>
  </si>
  <si>
    <t>83327901-טורבו</t>
  </si>
  <si>
    <t>xtrail ניסן</t>
  </si>
  <si>
    <t>22.4.21</t>
  </si>
  <si>
    <t>דניאל שרידבסקי</t>
  </si>
  <si>
    <t>27/10/21-28/10/21</t>
  </si>
  <si>
    <t xml:space="preserve">76644701 מתלה ופגוש קד </t>
  </si>
  <si>
    <t xml:space="preserve">גיל נבון  </t>
  </si>
  <si>
    <t xml:space="preserve">ליסקאר ביטוח </t>
  </si>
  <si>
    <t>מ28/10/21- 11/11/21</t>
  </si>
  <si>
    <t>הדס</t>
  </si>
  <si>
    <t>מ9/12/21-15/12/21</t>
  </si>
  <si>
    <t>דימה ויימן</t>
  </si>
  <si>
    <t>הוחזר,קמ גבוה</t>
  </si>
  <si>
    <t>8.7.21</t>
  </si>
  <si>
    <t xml:space="preserve">עדי גלסמן  </t>
  </si>
  <si>
    <t>מ15/12/21- 19/12/21</t>
  </si>
  <si>
    <t>רנו גראנד קופה</t>
  </si>
  <si>
    <t>נגנב</t>
  </si>
  <si>
    <t>26.9.21</t>
  </si>
  <si>
    <t xml:space="preserve">אורן בן שימול  </t>
  </si>
  <si>
    <t xml:space="preserve">חליפי </t>
  </si>
  <si>
    <t xml:space="preserve">ליסקאר </t>
  </si>
  <si>
    <t>מ16.12 - 26.12</t>
  </si>
  <si>
    <t xml:space="preserve">ציון יחזקאל </t>
  </si>
  <si>
    <t>ניסן סנטרה</t>
  </si>
  <si>
    <t>3.10.21</t>
  </si>
  <si>
    <t>מ7.10.21-12.10.21</t>
  </si>
  <si>
    <t>הדס גל</t>
  </si>
  <si>
    <t>לקסוס</t>
  </si>
  <si>
    <t>נמכר</t>
  </si>
  <si>
    <t>נופר אנרגי</t>
  </si>
  <si>
    <t>20.10.21</t>
  </si>
  <si>
    <t>עופר ינאי</t>
  </si>
  <si>
    <t>מ 6/2-8/2</t>
  </si>
  <si>
    <t xml:space="preserve">שמרית טביב </t>
  </si>
  <si>
    <t>החלפת רכב</t>
  </si>
  <si>
    <t xml:space="preserve">ליס 4 יו  </t>
  </si>
  <si>
    <t>3.11.21</t>
  </si>
  <si>
    <t xml:space="preserve">עוז פרבדה </t>
  </si>
  <si>
    <t>חליפי</t>
  </si>
  <si>
    <t>מ16.2.22 -20.2.22</t>
  </si>
  <si>
    <t xml:space="preserve">אדם </t>
  </si>
  <si>
    <t>18.11.21</t>
  </si>
  <si>
    <t xml:space="preserve">שחר עלא </t>
  </si>
  <si>
    <t>אלדן</t>
  </si>
  <si>
    <t>4.8.22-7.8.22</t>
  </si>
  <si>
    <t xml:space="preserve">רווית לוז </t>
  </si>
  <si>
    <t>6.12.21</t>
  </si>
  <si>
    <t>16.8-17.8</t>
  </si>
  <si>
    <t>נועם יוסופוב</t>
  </si>
  <si>
    <t xml:space="preserve">מיקרה </t>
  </si>
  <si>
    <t>15.12.21</t>
  </si>
  <si>
    <t>שכור</t>
  </si>
  <si>
    <t>19.8-19.9</t>
  </si>
  <si>
    <t>אורי אביקר-להחזיר לכל כבישי אגרה</t>
  </si>
  <si>
    <t xml:space="preserve">קיה סיד </t>
  </si>
  <si>
    <t>19.12.21</t>
  </si>
  <si>
    <t>17.8-5.9.22</t>
  </si>
  <si>
    <t>נועם יוסופוב-להחזיר לכל כבישי אגרה</t>
  </si>
  <si>
    <t>רנו קליאו</t>
  </si>
  <si>
    <t>רכב מ28.11.21</t>
  </si>
  <si>
    <t>22.8-24.8</t>
  </si>
  <si>
    <t>רוית לוז</t>
  </si>
  <si>
    <t xml:space="preserve">סנטרה </t>
  </si>
  <si>
    <t>12.10.21</t>
  </si>
  <si>
    <t>21.8-31.8</t>
  </si>
  <si>
    <t>רועי אדר-להחזיר לכל כבישי אגרה</t>
  </si>
  <si>
    <t>סנטרה</t>
  </si>
  <si>
    <t>29.12.21</t>
  </si>
  <si>
    <t xml:space="preserve">פלג סלוק </t>
  </si>
  <si>
    <t>18.9-2.10.22</t>
  </si>
  <si>
    <t>דימה ויימן-להחזיר לכל הכבישי אגרה</t>
  </si>
  <si>
    <t>סנטטרה</t>
  </si>
  <si>
    <t>22.9-29.9</t>
  </si>
  <si>
    <t>אדם וגניה נוהגים ברכב הקודם של הראל ועידן</t>
  </si>
  <si>
    <t xml:space="preserve">אימפרזה </t>
  </si>
  <si>
    <t>30.12.21</t>
  </si>
  <si>
    <t>צור גרונר</t>
  </si>
  <si>
    <t>29.9-</t>
  </si>
  <si>
    <t>אדם וגניה -הרכב הקודם של שחר עלה</t>
  </si>
  <si>
    <t>טיפו</t>
  </si>
  <si>
    <t>3.1.22</t>
  </si>
  <si>
    <t xml:space="preserve">רון אלקיים </t>
  </si>
  <si>
    <t>15.11-20.11.22</t>
  </si>
  <si>
    <t>אור בידוש- הרכב הקודם של ספיר נעמן</t>
  </si>
  <si>
    <t>9.2.22</t>
  </si>
  <si>
    <t xml:space="preserve">קרן סבג </t>
  </si>
  <si>
    <t>חליפי מוסך</t>
  </si>
  <si>
    <t>27.11-6.12.22</t>
  </si>
  <si>
    <t>הראל ועידן</t>
  </si>
  <si>
    <t>11.2.22</t>
  </si>
  <si>
    <t xml:space="preserve">אורי אביקר </t>
  </si>
  <si>
    <t>זמני</t>
  </si>
  <si>
    <t>23-25.12.22</t>
  </si>
  <si>
    <t>אדם אזולאי נסע ברכב של אתי</t>
  </si>
  <si>
    <t>13.3.22</t>
  </si>
  <si>
    <t xml:space="preserve">רועי אדר </t>
  </si>
  <si>
    <t>שלמה</t>
  </si>
  <si>
    <t>19.1-08.2.23</t>
  </si>
  <si>
    <t>יוסף הירש</t>
  </si>
  <si>
    <t>לאוניד</t>
  </si>
  <si>
    <t>1.2-2.2.23</t>
  </si>
  <si>
    <t>נעמה לוק אספה רכב בשעה 14:30 והחזירה בשעה 17:30</t>
  </si>
  <si>
    <t>אקסטרייל</t>
  </si>
  <si>
    <t>ליסקראר</t>
  </si>
  <si>
    <t>16.3.22</t>
  </si>
  <si>
    <t xml:space="preserve">צור לנס </t>
  </si>
  <si>
    <t>ליס4יו</t>
  </si>
  <si>
    <t>15.2-21.2.23</t>
  </si>
  <si>
    <t>אורי אביקר</t>
  </si>
  <si>
    <t>6.3.23-10.3.23</t>
  </si>
  <si>
    <t>טל דין</t>
  </si>
  <si>
    <t>4.4-13.4.23</t>
  </si>
  <si>
    <t>שי כהן</t>
  </si>
  <si>
    <t>17.4-20.4.23</t>
  </si>
  <si>
    <t xml:space="preserve">יחיאל סלאמה-להסיר מחוצה צפון ולעשות החלפה בכבישי אגרה </t>
  </si>
  <si>
    <t>גרנד קופה  בנזין</t>
  </si>
  <si>
    <t xml:space="preserve">ג'מיל פאחורי </t>
  </si>
  <si>
    <t>9.5.23-11.5.23</t>
  </si>
  <si>
    <t>פיני בראט- להסיר מחוצה צפון ולעשות החלפה בכבישי אגרה</t>
  </si>
  <si>
    <t xml:space="preserve">קורולה  בנזין </t>
  </si>
  <si>
    <t xml:space="preserve">עומר פראצי </t>
  </si>
  <si>
    <t>11.5.23-16.5.23</t>
  </si>
  <si>
    <t xml:space="preserve">אלכס גרינברג </t>
  </si>
  <si>
    <t>3.4.23-5.4.23</t>
  </si>
  <si>
    <t>ליזי מלכה נחום</t>
  </si>
  <si>
    <t>עוז פרבדה</t>
  </si>
  <si>
    <t>28.5.23-12.6.23</t>
  </si>
  <si>
    <t>מתן לוי</t>
  </si>
  <si>
    <t xml:space="preserve">יוסף הירש </t>
  </si>
  <si>
    <t>22.5-28.5.23</t>
  </si>
  <si>
    <t>רועי אדר רכב חליפי ממוסך עקב תיקון</t>
  </si>
  <si>
    <t xml:space="preserve">סופי בלקסטון </t>
  </si>
  <si>
    <t>29.5-30.5.23</t>
  </si>
  <si>
    <t>תומר פלד להחזיר ל6 וכרמל</t>
  </si>
  <si>
    <t xml:space="preserve">הילה  סגל </t>
  </si>
  <si>
    <t>31.5.23-8.6.23</t>
  </si>
  <si>
    <t>יותם מן נוהג ברכב של לאוניד</t>
  </si>
  <si>
    <t xml:space="preserve">יריב טולדו </t>
  </si>
  <si>
    <t>9.6.23-11.6.23</t>
  </si>
  <si>
    <t>אדי אברהם  להסיר משטיפומט,חוצה צפון,כרמל ו6</t>
  </si>
  <si>
    <t xml:space="preserve">חן ביטון </t>
  </si>
  <si>
    <t>13.6.23-19.6.23</t>
  </si>
  <si>
    <t>אמיר אבנון להחליף בין כביש 6 ומנהרות הכרמל ולהסיר רכב שכור מחוצה צפון</t>
  </si>
  <si>
    <t>20.3.22</t>
  </si>
  <si>
    <t>17.6-22.6.23</t>
  </si>
  <si>
    <t>מהשעה 21:35 לאוניד נסע 24890603 ופלג ב64078501</t>
  </si>
  <si>
    <t>מעיין תורגמן</t>
  </si>
  <si>
    <t>26.6-29.6.23</t>
  </si>
  <si>
    <t>תומר פלד, להחליף בכביש 6 בלבד בין הרכבים</t>
  </si>
  <si>
    <t>אקסטרייל 3T MC</t>
  </si>
  <si>
    <t>21.3.22</t>
  </si>
  <si>
    <t xml:space="preserve">אלירן </t>
  </si>
  <si>
    <t>12.7.23-14.7.23</t>
  </si>
  <si>
    <t>דימה ויימן להחליף חזרה בין כל כבישי האגרה כולל חוצה צפון</t>
  </si>
  <si>
    <t>מ-2</t>
  </si>
  <si>
    <t>22.3.22</t>
  </si>
  <si>
    <t xml:space="preserve">רעות בן זיקרי </t>
  </si>
  <si>
    <t>12.7.23-17.7.23</t>
  </si>
  <si>
    <t>הראל ורועי להחליף חזרה בין כל כבישי האגרה כולל חוצה צפון</t>
  </si>
  <si>
    <t>30.3.22</t>
  </si>
  <si>
    <t>14.7.23-18.7.23</t>
  </si>
  <si>
    <t>ליס4 יו</t>
  </si>
  <si>
    <t>24.6.22</t>
  </si>
  <si>
    <t xml:space="preserve">גיא  הרטשטיין </t>
  </si>
  <si>
    <t>רכב שכור מוסך-אביס</t>
  </si>
  <si>
    <t>17.7.23-18.7.23</t>
  </si>
  <si>
    <t>קשקאי</t>
  </si>
  <si>
    <t>14.7.22</t>
  </si>
  <si>
    <t xml:space="preserve">נעמה זך </t>
  </si>
  <si>
    <t>17.7.23-23.7.23</t>
  </si>
  <si>
    <t>נועם יוסופוב-להחזיר לכל הכבישי אגרה כולל חוצה צפון</t>
  </si>
  <si>
    <t>ניסן מיקרה</t>
  </si>
  <si>
    <t>מעיין אס</t>
  </si>
  <si>
    <t>18.7.23-24.7.23</t>
  </si>
  <si>
    <t>ניסן אקסטרייל</t>
  </si>
  <si>
    <t>רפאל בן מלך</t>
  </si>
  <si>
    <t>18.7.23-20.7.23</t>
  </si>
  <si>
    <t>אפי ברק להחליף אך ורק בכביש 6</t>
  </si>
  <si>
    <t>מיצובישי אאוטלנדר</t>
  </si>
  <si>
    <t>השבתה</t>
  </si>
  <si>
    <t>עופר אוברלנדר</t>
  </si>
  <si>
    <t>שכור-אביס</t>
  </si>
  <si>
    <t>קיה ספורטאז</t>
  </si>
  <si>
    <t>18.8.22</t>
  </si>
  <si>
    <t>שכור-חליפי</t>
  </si>
  <si>
    <t>23.7.23-17.8.23</t>
  </si>
  <si>
    <t>נועם יוסופוב- להחליף חזרה בין כל הכבישי אגרה כולל חוצה צפון</t>
  </si>
  <si>
    <t>ניסאן סנטרה</t>
  </si>
  <si>
    <t>1.5-21.8.22</t>
  </si>
  <si>
    <t>ניסו חזן</t>
  </si>
  <si>
    <t>23.7.23-26.7.23</t>
  </si>
  <si>
    <t>אדם ועידן-להחזיר לכל הכבישי אגרה כולל חוצה צפון</t>
  </si>
  <si>
    <t>19.7-16.8.22</t>
  </si>
  <si>
    <t>חליפי שלמה</t>
  </si>
  <si>
    <t>25.7.23-9.8.23</t>
  </si>
  <si>
    <t>גמיל פאחורי להחזיר לכל הכבישי אגרה כולל חוצה צפון</t>
  </si>
  <si>
    <t>רנו קנגו</t>
  </si>
  <si>
    <t>3.1-22.9.22</t>
  </si>
  <si>
    <t>הראל דרוקר,עידן אברהם</t>
  </si>
  <si>
    <t>תומר פלד נסע ברכב 64078501 ולאוניד נסע ברכב 30770102, 26.7-18:29 עד 30.7-09:00</t>
  </si>
  <si>
    <t>טויוטה קורולה</t>
  </si>
  <si>
    <t>13.3-28.9.22</t>
  </si>
  <si>
    <t>שחר עלה</t>
  </si>
  <si>
    <t>7.8.23-8.8.23</t>
  </si>
  <si>
    <t>אפי ברק להחליף אך ורק בכביש 6 ולהסיר רכב חדש מחוצה צפון, רכב ישן עדיין בחוצה צפון</t>
  </si>
  <si>
    <t>1.5-2.10.22</t>
  </si>
  <si>
    <t>אוריאל מנדלסון</t>
  </si>
  <si>
    <t xml:space="preserve">חליפי שלמה </t>
  </si>
  <si>
    <t>9.8.23-30.8.23</t>
  </si>
  <si>
    <t>דניאל שרישבסקי להחליף בין כל הכבישי אגרה כולל חוצה צפון</t>
  </si>
  <si>
    <t>רנו מגאן</t>
  </si>
  <si>
    <t>3.2.21-31.10.22</t>
  </si>
  <si>
    <t>לילך חכמון</t>
  </si>
  <si>
    <t>חליפי קרסו</t>
  </si>
  <si>
    <t>17.8.23-3.9.23</t>
  </si>
  <si>
    <t>הראל ורועי להחליף בין כל הכבישי אגרה כולל חוצה צפון</t>
  </si>
  <si>
    <t>יונדאי אלנטרה</t>
  </si>
  <si>
    <t>12.6.22-31.10.22</t>
  </si>
  <si>
    <t>אסף גבעון</t>
  </si>
  <si>
    <t>17.8.23-31.8.23</t>
  </si>
  <si>
    <t>נועם יוסופוב להחליף בין כל הכבישי אגרה כולל חוצה צפון- דיווח בשעה 18:27 על קבלת רכב</t>
  </si>
  <si>
    <t>5.9-3.11.22</t>
  </si>
  <si>
    <t>27.8.23</t>
  </si>
  <si>
    <t xml:space="preserve">נתנאל חזות נסע ברכב של דימה ויימן </t>
  </si>
  <si>
    <t>9.2.20-3.11.22</t>
  </si>
  <si>
    <t>דני חנצינסקי (עבר ליוסופוב)</t>
  </si>
  <si>
    <t>שכור/חליפי</t>
  </si>
  <si>
    <t>שכור ליסקאר</t>
  </si>
  <si>
    <t>27.8.23-4.9.23</t>
  </si>
  <si>
    <t>אולה להחזיר לכביש 6 בלבד</t>
  </si>
  <si>
    <t>קיה פיקנטו</t>
  </si>
  <si>
    <t>19.10-8.11.22</t>
  </si>
  <si>
    <t>אור בידוש</t>
  </si>
  <si>
    <t>30.8.23-18.9.23</t>
  </si>
  <si>
    <t>דניאל שרישבסקי להחזיר לכל הכבישי אגרה כולל חוצה צפון</t>
  </si>
  <si>
    <t>13.3-15.11.22</t>
  </si>
  <si>
    <t>עומר פארצ'י</t>
  </si>
  <si>
    <t>31.8.23-19.10.23</t>
  </si>
  <si>
    <t>נועם יוסופוב בשעה 19:45 קיבל רכב, להחליף בין כל הכבישי אגרה כולל חוצה צפון</t>
  </si>
  <si>
    <t>24.7-15.11.22</t>
  </si>
  <si>
    <t>ספיר נעמן</t>
  </si>
  <si>
    <t>חלופי</t>
  </si>
  <si>
    <t>חלופי מוסך</t>
  </si>
  <si>
    <t>5.9.23-7.9.23</t>
  </si>
  <si>
    <t>יפתח שילה להחזיר לכל הכבישי אגרה כולל חוצה צפון</t>
  </si>
  <si>
    <t>13.3-24.11.22</t>
  </si>
  <si>
    <t>גישור</t>
  </si>
  <si>
    <t>4.9.23-15.10.23</t>
  </si>
  <si>
    <t>אריק לוקר להחזיר לכל הכבישי אגרה כולל חוצה צפון, כשהוא מקבל את הקבוע להוסיף לשטיפומט</t>
  </si>
  <si>
    <t>סיטרואן ברלינגו</t>
  </si>
  <si>
    <t>7.10.21-28.11.22</t>
  </si>
  <si>
    <t>21.8-22.8.23</t>
  </si>
  <si>
    <t>מאיה כתבי</t>
  </si>
  <si>
    <t>8.11-28.11.22</t>
  </si>
  <si>
    <t>28.9.23-8.10.23</t>
  </si>
  <si>
    <t>הראל דרוקר להחזיר לכל הכבישי אגרה כולל חוצה צפון</t>
  </si>
  <si>
    <t>רנו רנגו</t>
  </si>
  <si>
    <t>10.10.21-22.9.22</t>
  </si>
  <si>
    <t>אדם וגניה</t>
  </si>
  <si>
    <t xml:space="preserve">שלמה </t>
  </si>
  <si>
    <t>9.10.23-10.1.24</t>
  </si>
  <si>
    <t>שי כהן להסיר מכל הכבישי אגרה כולל חוצה צפון ושטיפומט</t>
  </si>
  <si>
    <t xml:space="preserve">טויוטה קורולה </t>
  </si>
  <si>
    <t>28.9.22</t>
  </si>
  <si>
    <t>11.10.23 11-16</t>
  </si>
  <si>
    <t>נועם יוספוב 83321202 ואדי אברהם 50574503 החליפו רכבים בשעות המצוינות</t>
  </si>
  <si>
    <t>מאזדה 2</t>
  </si>
  <si>
    <t>2-7.12.22</t>
  </si>
  <si>
    <t>תומר דרובל</t>
  </si>
  <si>
    <t>12.10.23 9-16</t>
  </si>
  <si>
    <t>1-8.12.22</t>
  </si>
  <si>
    <t>13.11.23-15.11.23</t>
  </si>
  <si>
    <t>אדם ייבדייב להחזיר לכבישי אגרה כולל חוצה צפון</t>
  </si>
  <si>
    <t>קיה פורטה</t>
  </si>
  <si>
    <t>26.6-15.12.22</t>
  </si>
  <si>
    <t>רותם שמר</t>
  </si>
  <si>
    <t>22.11.23-15.12.23</t>
  </si>
  <si>
    <t>13.3-15.12.22</t>
  </si>
  <si>
    <t>מעיין בלומפלד</t>
  </si>
  <si>
    <t>חליפי ליסקאר</t>
  </si>
  <si>
    <t>12.12.23-17.12.23</t>
  </si>
  <si>
    <t>אדם בר יהודה להחזיר לכל הכבישי אגרה כולל חוצה צפון</t>
  </si>
  <si>
    <t>21.-25.12.22</t>
  </si>
  <si>
    <t>שחר כהן</t>
  </si>
  <si>
    <t>17.12.23-25.12.23</t>
  </si>
  <si>
    <t>סופי בלקסטון להחזיר לכביש 6 ומנהרות הכרמל בלבד</t>
  </si>
  <si>
    <t>29.9-27.12.22</t>
  </si>
  <si>
    <t>12.12.23-24.12.23</t>
  </si>
  <si>
    <t>הדס גל להחזיר לכביש 6 ומנהרות הכרמל בלבד</t>
  </si>
  <si>
    <t>30.3-27.12.22</t>
  </si>
  <si>
    <t>19.12.23-21.12.23</t>
  </si>
  <si>
    <t>רוית  להחזיר לכביש 6, מנהרות הכרמל וחוצה צפון</t>
  </si>
  <si>
    <t>1.21-2.1.2023</t>
  </si>
  <si>
    <t>18.12.23-16.1.24</t>
  </si>
  <si>
    <t>הראל ורועי להחזיר לכל כבישי אגרה כולל חוצה צפון וכרטיס תדלוק</t>
  </si>
  <si>
    <t>רכב הוחזר לליסקאר פת 8.12.22</t>
  </si>
  <si>
    <t>8.1.24-20.2.24</t>
  </si>
  <si>
    <t>רכב הוחזר לליסקאר פת 29.12.22</t>
  </si>
  <si>
    <t>חליפי פריסבי</t>
  </si>
  <si>
    <t>7.1.24-15.1.24</t>
  </si>
  <si>
    <t>ניצן רגיאנו להחזיר לכביש 6,חוצה צפון ומנהרות הכרמל</t>
  </si>
  <si>
    <t>קיה סלטוס</t>
  </si>
  <si>
    <t>21.8.22-5.1.23</t>
  </si>
  <si>
    <t>18.1.24-11.2.24</t>
  </si>
  <si>
    <t>מתן סידי,להחזיר לכל הכבישי אגרה וחוצה צפון ולהחליף מנוי שטיפומט</t>
  </si>
  <si>
    <t>פורד פוקוס</t>
  </si>
  <si>
    <t>2.1-9.1.23</t>
  </si>
  <si>
    <t>17.1.23 בשעה 03:52</t>
  </si>
  <si>
    <t>16.1.24 בשעה13:34</t>
  </si>
  <si>
    <t>עדי גלסמן 22187603 וטל דין 75169802 החלפת רכבים</t>
  </si>
  <si>
    <t>1.12.22-9.1.23</t>
  </si>
  <si>
    <t>מתן אטיאס</t>
  </si>
  <si>
    <t>4.2.24-29.2.24</t>
  </si>
  <si>
    <t>תומר פלד להחזיר לכל הכבישי אגרה כולל חוצה צפון</t>
  </si>
  <si>
    <t>6.6.22-12.1.23</t>
  </si>
  <si>
    <t>אנטון פבלנקו</t>
  </si>
  <si>
    <t>7.2.24-14.2.24</t>
  </si>
  <si>
    <t>עופר ברקוביץ להחזיר לכל הכבישי אגרה כולל חוצה צפון</t>
  </si>
  <si>
    <t>25.12.22-12.1.23</t>
  </si>
  <si>
    <t>12.2.24-11.3.24</t>
  </si>
  <si>
    <t>הראל דרוקר להחזיר לכל הכבישים כולל חוצה צפון ולהסיר משטיפומט</t>
  </si>
  <si>
    <t>1.12.20-22.1.23</t>
  </si>
  <si>
    <t>גוסטבו</t>
  </si>
  <si>
    <t>16.2.24-2.5.24</t>
  </si>
  <si>
    <t>פלג סלוק להחזיר לכל הכבישי אגרה וחוצה צפון ושטיפומט</t>
  </si>
  <si>
    <t>30.12.21-22.1.23 הוחזר לליסקאר</t>
  </si>
  <si>
    <t>20.2.24-22.2.24</t>
  </si>
  <si>
    <t>רנו קדג'אר</t>
  </si>
  <si>
    <t>2.1-6.2.23</t>
  </si>
  <si>
    <t>צחי רייך</t>
  </si>
  <si>
    <t>22.2.24-7.3.24</t>
  </si>
  <si>
    <t>דאציה דאסטר</t>
  </si>
  <si>
    <t>בעלות נופר</t>
  </si>
  <si>
    <t>8.12.22-8.2.23</t>
  </si>
  <si>
    <t xml:space="preserve">ליס 4 יו </t>
  </si>
  <si>
    <t>29.2.24-28.5.24</t>
  </si>
  <si>
    <t>תומר פלד להחזיר לכל הכבישי אגרה כולל חוצה צפון ושטיפומט</t>
  </si>
  <si>
    <t>11.2.21-8.2.23</t>
  </si>
  <si>
    <t>2.3.24-2.4.24</t>
  </si>
  <si>
    <t>טל קרוגר להחזיר לכל הכבישי אגרה כולל חוצה צפון ושטיפומט</t>
  </si>
  <si>
    <t>13.3.22-20.2.23</t>
  </si>
  <si>
    <t>28.2.24-10.3.24</t>
  </si>
  <si>
    <t>רשף אגרנוב להחזיר רק לכביש 6</t>
  </si>
  <si>
    <t>9.1.23-22.2.23</t>
  </si>
  <si>
    <t xml:space="preserve">מתן אטיאס </t>
  </si>
  <si>
    <t>7.3.24-10.6.24</t>
  </si>
  <si>
    <t>אורי אביקר להחזיר לכבישי אגרה כולל חוצה צפון</t>
  </si>
  <si>
    <t>22.2-28.2.23</t>
  </si>
  <si>
    <t>אביס</t>
  </si>
  <si>
    <t>11.3.24-13.3.24</t>
  </si>
  <si>
    <t>הראל דרוקר להחזיר לכל כבישי האגרה כולל חוצה צפון ושטיפומט</t>
  </si>
  <si>
    <t>13.3.22-28.2.23</t>
  </si>
  <si>
    <t>25.3.24-28.3.24</t>
  </si>
  <si>
    <t>יחיאל סלאמה</t>
  </si>
  <si>
    <t>1.8.22-28.2.23</t>
  </si>
  <si>
    <t>רשף אגרנוב</t>
  </si>
  <si>
    <t>2.4.24-10.4.24</t>
  </si>
  <si>
    <t xml:space="preserve">הדס גל להחזיר לכביש 6 </t>
  </si>
  <si>
    <t>13.3.22-1.3.23</t>
  </si>
  <si>
    <t>10.4.24-6.5.24</t>
  </si>
  <si>
    <t>אור איתן להחזיר לכבישי אגרה וחוצה צפון</t>
  </si>
  <si>
    <t>אלה מרשאק</t>
  </si>
  <si>
    <t>30.3.24-9.5.24</t>
  </si>
  <si>
    <t>יריב טולדו להחזיר לכל הכבישי אגרה כולל החוצה צפון</t>
  </si>
  <si>
    <t>30.4.24-8.5.24</t>
  </si>
  <si>
    <t>חן ביטון להחזיר לכביש 6 בלבד</t>
  </si>
  <si>
    <t>30.3.22-9.3.23</t>
  </si>
  <si>
    <t>יריב טולדנו</t>
  </si>
  <si>
    <t>20.5.24-31.5.24</t>
  </si>
  <si>
    <t>הילה סגל</t>
  </si>
  <si>
    <t>28.5.24-30.5.24(8:30 בבוקר)</t>
  </si>
  <si>
    <t>נעמה לוק (73445703) ונועם יוסופוב( 59032903) החליפו רכבים ביניהם</t>
  </si>
  <si>
    <t>13.3.22-9.3.23</t>
  </si>
  <si>
    <t>פלג סלוק</t>
  </si>
  <si>
    <t>9.6.24-11.7.24</t>
  </si>
  <si>
    <t>סופי בלקסטון להחזיר רק לכביש 6</t>
  </si>
  <si>
    <t>12.3-14.3.23</t>
  </si>
  <si>
    <t>ניצן רגי'אנו</t>
  </si>
  <si>
    <t>28.6.24-4.7.24</t>
  </si>
  <si>
    <t xml:space="preserve">גוסטבו 75019402 וצליל 43748203 התחלפו ברכבים </t>
  </si>
  <si>
    <t>28.2-28.3.23</t>
  </si>
  <si>
    <t>אפי ברק לקח את הרכב של מעיין אס, אין צורך להחזיר לכלום</t>
  </si>
  <si>
    <t>28.2-2.4.23</t>
  </si>
  <si>
    <t>30.6.24-4.7.24</t>
  </si>
  <si>
    <t>יותם מן להחזיר לכל הכבישים כולל חוצה צפון ושטיפומט</t>
  </si>
  <si>
    <t>11.8.22-3.4.23</t>
  </si>
  <si>
    <t>צליל אזולאי</t>
  </si>
  <si>
    <t>1.7.24-11.7.24</t>
  </si>
  <si>
    <t>טויוטה סיטי</t>
  </si>
  <si>
    <t>5.6.21-16.4.23</t>
  </si>
  <si>
    <t>דותן סלע</t>
  </si>
  <si>
    <t>3.7.24-7.7.24</t>
  </si>
  <si>
    <t>רותם סודרי להחזיר לחוצה צפון, כביש 6 ומנהרות הכרמל</t>
  </si>
  <si>
    <t>13.3.22-16.4.23</t>
  </si>
  <si>
    <t>7.7.24-11.7.24</t>
  </si>
  <si>
    <t>נועם יוסופוב לקח את הרכב של מעיין אס</t>
  </si>
  <si>
    <t>גו'אנה סטרוק</t>
  </si>
  <si>
    <t>7.7.24-1.8.24</t>
  </si>
  <si>
    <t>אולה קילונובסקי להחזיר לכביש 6,מנהרות הכרמל וחוצה צפון ושטיפומט</t>
  </si>
  <si>
    <t>מאזדה 6</t>
  </si>
  <si>
    <t>13.4.23-19.4.23</t>
  </si>
  <si>
    <t>אלעד מיכאלי</t>
  </si>
  <si>
    <t>7.7.24-10.7.24</t>
  </si>
  <si>
    <t>אתי חן להחזיר לכל כבישי אגרה כולל חוצה צפון</t>
  </si>
  <si>
    <t>נופר אנרג'י</t>
  </si>
  <si>
    <t>21.6.21-19.4.23</t>
  </si>
  <si>
    <t>אבי פיש</t>
  </si>
  <si>
    <t>15.7.24-29.7.24</t>
  </si>
  <si>
    <t>13.3.22-23.4.23</t>
  </si>
  <si>
    <t>חליפי ביטוח</t>
  </si>
  <si>
    <t>22.7.24-29.7.24</t>
  </si>
  <si>
    <t>רון אלקיים להחזיר לכביש 6+חוצה צפון+שטיפומט</t>
  </si>
  <si>
    <t>29.7.24-11.8.24</t>
  </si>
  <si>
    <t>31.7.24-7.8.24</t>
  </si>
  <si>
    <t>אלירן אביטן להחזיר רק לכביש 6</t>
  </si>
  <si>
    <t>1.8.24-16.8.24</t>
  </si>
  <si>
    <t>פיגו 5008</t>
  </si>
  <si>
    <t>17.3.22-27.4.23</t>
  </si>
  <si>
    <t>13.8.24-</t>
  </si>
  <si>
    <t>יפתח שילה להחזיר לחוצה צפון,כביש 6, מנהרות הכרמל ושטיפומט</t>
  </si>
  <si>
    <t>9.1.23-30.4.23</t>
  </si>
  <si>
    <t>13.8.24-20.8.24</t>
  </si>
  <si>
    <t>עיינה וקסלר להחזיר לכביש 6</t>
  </si>
  <si>
    <t>15.11.22-3.5.23</t>
  </si>
  <si>
    <t>21.8.24-26.8.24</t>
  </si>
  <si>
    <t>נטיה להחזיר לחוצה צפון וכביש 6</t>
  </si>
  <si>
    <t>סיאט ארונה</t>
  </si>
  <si>
    <t>24.6.22-6.5.23</t>
  </si>
  <si>
    <t>גיא הרטשטיין</t>
  </si>
  <si>
    <t>22.8.24-8.9.24</t>
  </si>
  <si>
    <t>13.4.23-11.5.23</t>
  </si>
  <si>
    <t>25.8.24-3.9.24</t>
  </si>
  <si>
    <t>צור לנס להחזיר לכבישי אגרה,חוצה צפון ושטיפומט</t>
  </si>
  <si>
    <t>6.2-18.5.23</t>
  </si>
  <si>
    <t>29.8.24-5.9.24</t>
  </si>
  <si>
    <t>מוטי עמנואל להחזיר לכביש 6, חוצה צפון, מנהרות הכרמל ושטיפומט</t>
  </si>
  <si>
    <t>24.11.22-31.5.23</t>
  </si>
  <si>
    <t>3.9.24-22.9.24</t>
  </si>
  <si>
    <t>דימה ויימן לקח את הרכב של שמרית עקב תקלה ברכבו הקבוע</t>
  </si>
  <si>
    <t>10.5.22-31.5.23</t>
  </si>
  <si>
    <t>שי אבן</t>
  </si>
  <si>
    <t>טניה נהגה ברכב של צליל</t>
  </si>
  <si>
    <t>28.2.21-12.6.23</t>
  </si>
  <si>
    <t>10.9.24-19.9.24</t>
  </si>
  <si>
    <t>נועם יוסופוב להחזיר לכביש 6 וחוצה צפון</t>
  </si>
  <si>
    <t>13.4.23-20.6.23</t>
  </si>
  <si>
    <t>אדי אברהם</t>
  </si>
  <si>
    <t>11.9.24-12.9.24</t>
  </si>
  <si>
    <t>מיה כתבי לבדוק אם יישאר אצל העובדת</t>
  </si>
  <si>
    <t>3.11.22-17.7.23</t>
  </si>
  <si>
    <t>נועם יוסופוב- אובדן להלכה</t>
  </si>
  <si>
    <t>12.9.24-22.9.24</t>
  </si>
  <si>
    <t>פיני בראט להחזיר לכביש 6, חוצה צפון ומנהרות הכרמל ושטפומט</t>
  </si>
  <si>
    <t>15.12.22-23.7.23</t>
  </si>
  <si>
    <t>19.9.24</t>
  </si>
  <si>
    <t>רותם ביאלסקי נסע ברכב של צליל אזולאי בין השעות 12:30-14:00</t>
  </si>
  <si>
    <t>דאציה</t>
  </si>
  <si>
    <t>28.11.22-1.8.23</t>
  </si>
  <si>
    <t>דניאל שרישבסקי</t>
  </si>
  <si>
    <t>19.9.24-7.10.24</t>
  </si>
  <si>
    <t>רותם שמר להחזיר לכל הכבישי אגרה כולל חוצה צפון ושטיפומט ולבטל כרטיס תדלוק</t>
  </si>
  <si>
    <t>14.7.22-17.8.23</t>
  </si>
  <si>
    <t>27.9.24(15:44)</t>
  </si>
  <si>
    <t>26.9.24 (15:00)-</t>
  </si>
  <si>
    <t>אור בידוש ( 65178203) ולאוניד (64078501) החליפו רכבים</t>
  </si>
  <si>
    <t>2.10.22-12.9.23</t>
  </si>
  <si>
    <t>15.10.24</t>
  </si>
  <si>
    <t>ניסו חזן נהג ברכב של ניצן רגיאנו</t>
  </si>
  <si>
    <t>12.1.23-30.10.23</t>
  </si>
  <si>
    <t>10.10.24-20.10.24</t>
  </si>
  <si>
    <t>אולה קילונובסקי להחזיר לכביש 6,</t>
  </si>
  <si>
    <t>16.4.23-22.11.23</t>
  </si>
  <si>
    <t>פיני בראט</t>
  </si>
  <si>
    <t>20.10.24-22.10.24</t>
  </si>
  <si>
    <t>נועם יוסופוב להחזיר לכביש 6 בלבד</t>
  </si>
  <si>
    <t>23.4.23-8.10.23</t>
  </si>
  <si>
    <t>שי כהן- רכב טוטאלוס</t>
  </si>
  <si>
    <t>30.10.24-4.11.24</t>
  </si>
  <si>
    <t>צליל אזולאי (43748203) ונעמה לוק (73445703) החליפו רכבים</t>
  </si>
  <si>
    <t>27.12.22-8.1.24</t>
  </si>
  <si>
    <t>אדם ועידן</t>
  </si>
  <si>
    <t>של לאוניד לשעבר</t>
  </si>
  <si>
    <t>11.11.24-21.11.24</t>
  </si>
  <si>
    <t>אמיר אבנון להחזיר לכל הכבישי אגרה כולל חוצה צפון ושטיפומט</t>
  </si>
  <si>
    <t>פיגו 3008</t>
  </si>
  <si>
    <t>28.11.24-2.12.24</t>
  </si>
  <si>
    <t>שמרית טביב להחזיר לכל הכבישי אגרה כולל חוצה צפון ושטיפומט</t>
  </si>
  <si>
    <t>מאזדה cx3</t>
  </si>
  <si>
    <t>12.12.23-18.1.24</t>
  </si>
  <si>
    <t>מתן סידי</t>
  </si>
  <si>
    <t>2.12.24-11.12.24</t>
  </si>
  <si>
    <t>31.5.23-31.1.24</t>
  </si>
  <si>
    <t>3.12.24-27.12.24</t>
  </si>
  <si>
    <t>יוסף הירש להחזיר לכבישי אגרה כולל חוצה צפון</t>
  </si>
  <si>
    <t>14.3.23-31.1.24</t>
  </si>
  <si>
    <t>15.12.24-19.12.24</t>
  </si>
  <si>
    <t>הראל דרוקר להחזיר לכבישי אגרה כולל חוצה צפון</t>
  </si>
  <si>
    <t>28.7.22-8.2.24</t>
  </si>
  <si>
    <t>28.10.24-29.10.24</t>
  </si>
  <si>
    <t>יפתח שילה רכב חלופי</t>
  </si>
  <si>
    <t>9.3.23-16.2.24</t>
  </si>
  <si>
    <t>25.12.24-8.1.25</t>
  </si>
  <si>
    <t>19.2.23-04.3.24</t>
  </si>
  <si>
    <t>אור סילם</t>
  </si>
  <si>
    <t>31.12.24-30.1.25</t>
  </si>
  <si>
    <t>יפתח שילה להחזיר לכל הכבישי אגרה חוצה צפון ושטיפומט ולבטל כרטיס תדלוק</t>
  </si>
  <si>
    <t>13.2.22-7.3.24</t>
  </si>
  <si>
    <t>רכב פול</t>
  </si>
  <si>
    <t>5.1.25-12.1.25</t>
  </si>
  <si>
    <t xml:space="preserve">דן מויאל </t>
  </si>
  <si>
    <t>28.11.22-18.3.24</t>
  </si>
  <si>
    <t>28.11.24-4.12.24</t>
  </si>
  <si>
    <t>28.2.24-2.3.24</t>
  </si>
  <si>
    <t>טל קרוגר</t>
  </si>
  <si>
    <t>12.1.25-2.2.25</t>
  </si>
  <si>
    <t>דן מויאל להסיר מכבישי אגרה כולל חוצה צפון ושטיפומט</t>
  </si>
  <si>
    <t>28.2.24-31.3.24</t>
  </si>
  <si>
    <t>נעמה לוק</t>
  </si>
  <si>
    <t>12.1.25-14.1.25</t>
  </si>
  <si>
    <t>אלעד מיכאלי להחזיר לכביש 6 בלבד</t>
  </si>
  <si>
    <t>10.2.23-5.4.24</t>
  </si>
  <si>
    <t>נטיה וזדזה</t>
  </si>
  <si>
    <t>20.1.25-21.1.25</t>
  </si>
  <si>
    <t>גוסטבו רוצמן</t>
  </si>
  <si>
    <t>סיטרואן c3</t>
  </si>
  <si>
    <t>1.4.24-18.4.24</t>
  </si>
  <si>
    <t>דן מויאל</t>
  </si>
  <si>
    <t>21.1.25-27.1.25</t>
  </si>
  <si>
    <t>גוסטבו רוצמן להחזיר לכביש 6 בלבד</t>
  </si>
  <si>
    <t>דאציה דסטר</t>
  </si>
  <si>
    <t>15.12.23-18.4.24</t>
  </si>
  <si>
    <t>מוסך</t>
  </si>
  <si>
    <t>פריסבי</t>
  </si>
  <si>
    <t>21.1.25-29.1.25</t>
  </si>
  <si>
    <t>זאב סונא קבלת רכב חלופי להחזיר לכביש 6 בלבד</t>
  </si>
  <si>
    <t>16.2.21-29.2.24</t>
  </si>
  <si>
    <t>תומר פלד</t>
  </si>
  <si>
    <t>27.1.25-6.3.25</t>
  </si>
  <si>
    <t>גוסטבו להחזיר לכביש 6 ולשטיפומט</t>
  </si>
  <si>
    <t>יונדאי אקסנט</t>
  </si>
  <si>
    <t>29.1.25-11.2.25</t>
  </si>
  <si>
    <t>2.2.25-11.2.25</t>
  </si>
  <si>
    <t>אתי חן</t>
  </si>
  <si>
    <t>קיה XCEED</t>
  </si>
  <si>
    <t>8.4.24-29.5.24</t>
  </si>
  <si>
    <t>13.2.25-25.2.25</t>
  </si>
  <si>
    <t>אסף גבעון להחזיר כביש 6</t>
  </si>
  <si>
    <t>4.2.21-29.5.24</t>
  </si>
  <si>
    <t>זאב סונא</t>
  </si>
  <si>
    <t>17.2.25-25.2.25</t>
  </si>
  <si>
    <t>אלה מרשאק להחזיר לכביש 6</t>
  </si>
  <si>
    <t>4.7.22-9.5.24</t>
  </si>
  <si>
    <t>עופר ברקוביץ</t>
  </si>
  <si>
    <t>20.2.25-25.2.25</t>
  </si>
  <si>
    <t>קרן גרינוולד</t>
  </si>
  <si>
    <t>27.2.25-9.3.25</t>
  </si>
  <si>
    <t>קרן גרינוולד להחזיר לכביש 6</t>
  </si>
  <si>
    <t>10.6.24-27.6.24</t>
  </si>
  <si>
    <t>2.3.25-16.3.25</t>
  </si>
  <si>
    <t>יוחאי תירוש להסיר מכביש 6 וחוצה צפון</t>
  </si>
  <si>
    <t>סיטרואן c5</t>
  </si>
  <si>
    <t>1.5.24-28.5.24</t>
  </si>
  <si>
    <t>אורלי דולב</t>
  </si>
  <si>
    <t>2.3.25-10.3.25</t>
  </si>
  <si>
    <t xml:space="preserve">אמיר פזי להחזיר לכביש 6, מנהרות הכרמל </t>
  </si>
  <si>
    <t>5.1.21-7.7.24</t>
  </si>
  <si>
    <t>אולה קילונובסקי</t>
  </si>
  <si>
    <t>5.3.25-10.3.25</t>
  </si>
  <si>
    <t>קיילי פרכטמן להחזיר לכביש 6</t>
  </si>
  <si>
    <t>28.3.22-21.7.24</t>
  </si>
  <si>
    <t>6.3.25-24.3.25</t>
  </si>
  <si>
    <t>להחזיר לכביש 6 ושטיפומט,גוסטבו</t>
  </si>
  <si>
    <t>21.8.22-29.7.24</t>
  </si>
  <si>
    <t>דוד כהן</t>
  </si>
  <si>
    <t>12-13.3.25</t>
  </si>
  <si>
    <t>נדב טנא</t>
  </si>
  <si>
    <t>1.4.24-7.8.24</t>
  </si>
  <si>
    <t>18.3.25-23.3.25</t>
  </si>
  <si>
    <t xml:space="preserve">דימה ויימן להחזיר לכביש 6 </t>
  </si>
  <si>
    <t>17.12.23-13.8.24</t>
  </si>
  <si>
    <t>גילי אלמגור</t>
  </si>
  <si>
    <t>30.3.25-2.4.25</t>
  </si>
  <si>
    <t xml:space="preserve">גואנה להחזיר לכביש 6 </t>
  </si>
  <si>
    <t>8.6.21-13.8.24</t>
  </si>
  <si>
    <t>יפתח שילה</t>
  </si>
  <si>
    <t>29.2.25-6.4.25</t>
  </si>
  <si>
    <t xml:space="preserve">אור איתן להחזיר לכביש 6 </t>
  </si>
  <si>
    <t>שברולט טרייל בלייזר</t>
  </si>
  <si>
    <t>11.8.24-14.8.24</t>
  </si>
  <si>
    <t>מוטי עמנואל</t>
  </si>
  <si>
    <t xml:space="preserve">  שכור</t>
  </si>
  <si>
    <t>24.4.25-28.4.25</t>
  </si>
  <si>
    <t xml:space="preserve">דימה ויימן להחזיר לכביש 6 בלבד </t>
  </si>
  <si>
    <t>15.10.23-28.8.24</t>
  </si>
  <si>
    <t>אריק לוקר</t>
  </si>
  <si>
    <t>28.4.25-6.5.25</t>
  </si>
  <si>
    <t xml:space="preserve">נדב טנא להחזיר לכביש 6 </t>
  </si>
  <si>
    <t>22.2.24-29.8.24</t>
  </si>
  <si>
    <t>יותם מן</t>
  </si>
  <si>
    <t>28.4.25-5.5.25</t>
  </si>
  <si>
    <t xml:space="preserve">שחר גרשון להחזיר לכביש 6 </t>
  </si>
  <si>
    <t>מיצובישי קליפסקרוס</t>
  </si>
  <si>
    <t>14.8.24-29.8.24</t>
  </si>
  <si>
    <t>4.5.25-11.5.25</t>
  </si>
  <si>
    <t xml:space="preserve">נועם פישר להחזיר לכביש 6 </t>
  </si>
  <si>
    <t>6.3.24-29.8.24</t>
  </si>
  <si>
    <t>אדם ועידן (לא מדוייק)</t>
  </si>
  <si>
    <t>4.5.25-6.5.25</t>
  </si>
  <si>
    <t>דאציה גו'גר</t>
  </si>
  <si>
    <t>21.9.22-29.8.24</t>
  </si>
  <si>
    <t>רועי כהן (לא מדוייק)</t>
  </si>
  <si>
    <t>11.5.25-16.5.25</t>
  </si>
  <si>
    <t xml:space="preserve">אוהד מויאל להחזיר מכביש 6, חוצה צפון ומנהרות הכרמל </t>
  </si>
  <si>
    <t>9.3.23-2.9.24</t>
  </si>
  <si>
    <t>13.5.25-18.5.25</t>
  </si>
  <si>
    <t xml:space="preserve">יותם מן להחזיר לכביש 6 </t>
  </si>
  <si>
    <t>7.10.21-2.9.24</t>
  </si>
  <si>
    <t>אפי ברק</t>
  </si>
  <si>
    <t>18.5.25-21.5.25</t>
  </si>
  <si>
    <t>15.11.22-31.8.24</t>
  </si>
  <si>
    <t>עומר פראצי</t>
  </si>
  <si>
    <t>21.5.25-30.6.25</t>
  </si>
  <si>
    <t>4.2.21-8.9.24</t>
  </si>
  <si>
    <t>25.5.25-26.5.25</t>
  </si>
  <si>
    <t>27.6.24-8.9.24</t>
  </si>
  <si>
    <t>10-11.6.25</t>
  </si>
  <si>
    <t xml:space="preserve">נעמה לוק 73445703 וצליל אזולאי 43748203 החליפו רכבים </t>
  </si>
  <si>
    <t>מאזדה 3</t>
  </si>
  <si>
    <t>29.7.24-5.9.24</t>
  </si>
  <si>
    <t>12.6.25-16.6.25</t>
  </si>
  <si>
    <t xml:space="preserve">צור לנס להחזיר לכל הכבישי אגרה כולל חוצה צפון </t>
  </si>
  <si>
    <t>15.7.24-9.9.24</t>
  </si>
  <si>
    <t>דניאל בוחבוט</t>
  </si>
  <si>
    <t>25.6.25-26.6.25</t>
  </si>
  <si>
    <t xml:space="preserve">אור בידוש </t>
  </si>
  <si>
    <t>7.8.24-17.9.24</t>
  </si>
  <si>
    <t>29.6.2-30.6.25</t>
  </si>
  <si>
    <t xml:space="preserve">אלעד מיכאלי </t>
  </si>
  <si>
    <t>28.2.23-19.9.24</t>
  </si>
  <si>
    <t>מאיה קטבי</t>
  </si>
  <si>
    <t>2.7.25-6.7.25</t>
  </si>
  <si>
    <t>28.5.24-22.9.24</t>
  </si>
  <si>
    <t>15.7.25-20.7.25</t>
  </si>
  <si>
    <t>17.3.22-14.10.24</t>
  </si>
  <si>
    <t>לאוניד מרחסין</t>
  </si>
  <si>
    <t>17.7.2-28.7.25</t>
  </si>
  <si>
    <t xml:space="preserve">אפי ברק 24889403 ונעמה לוק 73445703 החליפו רכבים </t>
  </si>
  <si>
    <t>7.6.21-15.10.24</t>
  </si>
  <si>
    <t>אייל לוצאטו</t>
  </si>
  <si>
    <t>21.7.25-22.7.25</t>
  </si>
  <si>
    <t xml:space="preserve">אריאל אשר </t>
  </si>
  <si>
    <t>2.5.24-15.10.24</t>
  </si>
  <si>
    <t>23.7.25-28.7.25</t>
  </si>
  <si>
    <t xml:space="preserve">אתי חן 83945403 וצליל אזולאי 43748203 התחלפו </t>
  </si>
  <si>
    <t>יונדיא אלנטרה</t>
  </si>
  <si>
    <t>16.4.24-22.10.24</t>
  </si>
  <si>
    <t>29-30.7.25</t>
  </si>
  <si>
    <t xml:space="preserve">אריאל ריבני </t>
  </si>
  <si>
    <t>22.9.24-27.10.24</t>
  </si>
  <si>
    <t>רכב נופר</t>
  </si>
  <si>
    <t>30.7.25-6.8.25</t>
  </si>
  <si>
    <t xml:space="preserve">דימה ויימן </t>
  </si>
  <si>
    <t>בי ווי די דולפין</t>
  </si>
  <si>
    <t>16.8.24-27.10.24</t>
  </si>
  <si>
    <t>רכב אפי ברק</t>
  </si>
  <si>
    <t>29.7.25</t>
  </si>
  <si>
    <t>אורטל ביאלסקי</t>
  </si>
  <si>
    <t>20.3.22-27.10.24</t>
  </si>
  <si>
    <t xml:space="preserve">חלופי </t>
  </si>
  <si>
    <t>18.8.25-11.9.25</t>
  </si>
  <si>
    <t>להחזיר לכביש 6 בלבד ולשטיפומט אפי ברק</t>
  </si>
  <si>
    <t>7.6.21-11.11.24</t>
  </si>
  <si>
    <t>אמיר אבנון</t>
  </si>
  <si>
    <t>3.9.25-9.9.25</t>
  </si>
  <si>
    <t>אלירן אביטן להחזיר לכביש 6</t>
  </si>
  <si>
    <t>15.10.24-20.11.24</t>
  </si>
  <si>
    <t>7.9.25-11.11.25</t>
  </si>
  <si>
    <t xml:space="preserve">גוסטבו להחזיר לכביש 6 ומנהרות הכרמל </t>
  </si>
  <si>
    <t>ניסאן אקסטרייל</t>
  </si>
  <si>
    <t>21.8.22-20.11.24</t>
  </si>
  <si>
    <t>9.9.25-18.9.25</t>
  </si>
  <si>
    <t>גאמיל פאחורי</t>
  </si>
  <si>
    <t>29.8.24-21.11.24</t>
  </si>
  <si>
    <t>16.9.25-22.9.25</t>
  </si>
  <si>
    <t xml:space="preserve">מתן אטיאס להחזיר לכביש 6 בלבד </t>
  </si>
  <si>
    <t>22.1.23-24.11.24,נגרר ב11.12.24 לליסקאר</t>
  </si>
  <si>
    <t>17.9-25.9.25</t>
  </si>
  <si>
    <t>שברולט סוואנה</t>
  </si>
  <si>
    <t>12.19-13.1.25</t>
  </si>
  <si>
    <t>נתנאל חזות</t>
  </si>
  <si>
    <t>11.10.25-26.10.25</t>
  </si>
  <si>
    <t>אורלי דולב להחזיר ל6 בלבד ולבטל כרטיס תדלוק של דלק</t>
  </si>
  <si>
    <t>20.3.22-28.11.24</t>
  </si>
  <si>
    <t>15.10.25-30.10.25</t>
  </si>
  <si>
    <t>18.9.23-12.12.24</t>
  </si>
  <si>
    <t>20.10.2-21.10.25</t>
  </si>
  <si>
    <t xml:space="preserve">נדב דהן </t>
  </si>
  <si>
    <t>29.5.24-19.12.24</t>
  </si>
  <si>
    <t>ביטוח</t>
  </si>
  <si>
    <t>15.10.25-23.10.25</t>
  </si>
  <si>
    <t>עדיאל בר משה להחזיר לכביש 6 וחוצה צפון רק להסיר</t>
  </si>
  <si>
    <t>סוזוקי קרוסובר</t>
  </si>
  <si>
    <t>13.8.24-31.12.24</t>
  </si>
  <si>
    <t>29.10.25-6.11.25</t>
  </si>
  <si>
    <t>מתי אשכנזי להחזיר לכביש 6 ,חוצה צפון ומנהרות הכרמל</t>
  </si>
  <si>
    <t>27.10.24-2.1.25</t>
  </si>
  <si>
    <t>נופר</t>
  </si>
  <si>
    <t>30.10.25-2.11.25</t>
  </si>
  <si>
    <t>19.9.24-2.1.25</t>
  </si>
  <si>
    <t>2.11.25</t>
  </si>
  <si>
    <t>דאציה דסטר-טוטאלוס</t>
  </si>
  <si>
    <t>1.4.24-5.1.25</t>
  </si>
  <si>
    <t>3.11.25-9.11.25</t>
  </si>
  <si>
    <t xml:space="preserve">דניאל כחלון להחזיק לכביש 6 ומנהרות הכרמל </t>
  </si>
  <si>
    <t>1.3.23-4.2.25</t>
  </si>
  <si>
    <t>6.11.25-13.11.25</t>
  </si>
  <si>
    <t>31.10.22-5.2.25</t>
  </si>
  <si>
    <t>5.11.25-9.11.25</t>
  </si>
  <si>
    <t xml:space="preserve">גילי אלמגור 73456703 ואורלי דולב 24969803 החליפו רכבים </t>
  </si>
  <si>
    <t>סקודה קודיאק</t>
  </si>
  <si>
    <t>1.7.24-6.2.25</t>
  </si>
  <si>
    <t>נדב ברקן</t>
  </si>
  <si>
    <t>9.11.25-13.11.25</t>
  </si>
  <si>
    <t xml:space="preserve">אריאל אשר להחזיר לכביש 6 ולבקש כרטיס תדלוק חזרה על שם דניאל כחלון </t>
  </si>
  <si>
    <t>1.3.23-10.3.25</t>
  </si>
  <si>
    <t>11.1.25</t>
  </si>
  <si>
    <t>21.11.24-10.3.25</t>
  </si>
  <si>
    <t xml:space="preserve">יותם מן </t>
  </si>
  <si>
    <t>11-13.25</t>
  </si>
  <si>
    <t xml:space="preserve">טל דין ייסע לסירוגין ברכב גאמיל </t>
  </si>
  <si>
    <t>2.2.25-11.3.25</t>
  </si>
  <si>
    <t>11.11.25-11.2.26</t>
  </si>
  <si>
    <t xml:space="preserve">מופז לעדכן רק בכביש 6 ומנהרות הכרמל </t>
  </si>
  <si>
    <t>13.9.23-16.3.25</t>
  </si>
  <si>
    <t>אדם אזולאי</t>
  </si>
  <si>
    <t>13.11.25-16.12.25</t>
  </si>
  <si>
    <t>6.4.25-30.4.25</t>
  </si>
  <si>
    <t>טלי רויטנשטיין</t>
  </si>
  <si>
    <t>16.11.25-18.12.25</t>
  </si>
  <si>
    <t>דניאל בוחבוט מעודכן בהכל חוץ שטיפומט, רכב לשעבר של שגיא</t>
  </si>
  <si>
    <t>31.3.24-8.5.25</t>
  </si>
  <si>
    <t>17.11.25-20.1.26</t>
  </si>
  <si>
    <t xml:space="preserve">אליעד אבן חן להחזיר לכביש 6, חוצה צפון, מנהרות הכרמל ושטיפומט </t>
  </si>
  <si>
    <t>11.5.23-16.5.25</t>
  </si>
  <si>
    <t>של בוחבוט לשעבר</t>
  </si>
  <si>
    <t>3.12.25-4.12.25</t>
  </si>
  <si>
    <t xml:space="preserve">נתנאל חזות </t>
  </si>
  <si>
    <t>14.7.22-16.6.25</t>
  </si>
  <si>
    <t>גישור שלמה</t>
  </si>
  <si>
    <t>16.12.25-3.2.26</t>
  </si>
  <si>
    <t xml:space="preserve">רועי קרבל להסיר מכביש 6 חוצה צפון ומנהרות הכרמל </t>
  </si>
  <si>
    <t>10.1.24-25.6.25</t>
  </si>
  <si>
    <t>18.12.25-21.12.25</t>
  </si>
  <si>
    <t>ליליה</t>
  </si>
  <si>
    <t>2.3.21-26.6.25</t>
  </si>
  <si>
    <t>ראפת</t>
  </si>
  <si>
    <t xml:space="preserve">גישור שלמה </t>
  </si>
  <si>
    <t>24.12.25-</t>
  </si>
  <si>
    <t xml:space="preserve">נעמה לוק לעדכן בהכל כביש 6 מנהרות הכרמל וחוצה צפון ושטיפומט </t>
  </si>
  <si>
    <t xml:space="preserve">רנו מגאן </t>
  </si>
  <si>
    <t>3.2.21-30.6.25</t>
  </si>
  <si>
    <t>30.12.25-11.1.26</t>
  </si>
  <si>
    <t>28.4.23-4.6.25</t>
  </si>
  <si>
    <t>איתי רפל</t>
  </si>
  <si>
    <t>1.1.26-4.1.26</t>
  </si>
  <si>
    <t xml:space="preserve">ליליה חודש לצורך סיור </t>
  </si>
  <si>
    <t>19.10.23-30.6.25</t>
  </si>
  <si>
    <t>18.1.26-28.1.26</t>
  </si>
  <si>
    <t xml:space="preserve">שמרית להחזיר לכביש 6 בלבד </t>
  </si>
  <si>
    <t>10.5.22-2.7.25</t>
  </si>
  <si>
    <t>אור איתן</t>
  </si>
  <si>
    <t>20.1.26-21.1.26</t>
  </si>
  <si>
    <t>ניסים אזגרי</t>
  </si>
  <si>
    <t>16.8.24-7.7.25</t>
  </si>
  <si>
    <t xml:space="preserve">חלופי שלמה </t>
  </si>
  <si>
    <t>21.1.26-4.2.26</t>
  </si>
  <si>
    <t xml:space="preserve">קרן להחזיר לכביש 6 בלבד </t>
  </si>
  <si>
    <t>10.3.25-7.7.25</t>
  </si>
  <si>
    <t>אמיר פזי</t>
  </si>
  <si>
    <t>15.9.25-29.10.25</t>
  </si>
  <si>
    <t xml:space="preserve">מתי אשכנזי </t>
  </si>
  <si>
    <t>8.2.23-7.7.25</t>
  </si>
  <si>
    <t>חלופי ליסקאר</t>
  </si>
  <si>
    <t>25.1.26-29.1.26</t>
  </si>
  <si>
    <t xml:space="preserve">מעיין אס </t>
  </si>
  <si>
    <t>29.5.24-23.7.25</t>
  </si>
  <si>
    <t>12.2.26-15.2.26</t>
  </si>
  <si>
    <t xml:space="preserve">זאב סונא (לשעבר של אלכס ) </t>
  </si>
  <si>
    <t>17.3.22-23.7.25</t>
  </si>
  <si>
    <t>24.2.26-26.2.26</t>
  </si>
  <si>
    <t xml:space="preserve">נועה בית דגן  להחזיר רק לכביש 6 </t>
  </si>
  <si>
    <t>17.9.24-24.7.25</t>
  </si>
  <si>
    <t>23.3.26- 26.3.26</t>
  </si>
  <si>
    <t xml:space="preserve">מתן לוי להחזיר רק לכביש 6 </t>
  </si>
  <si>
    <t>סיטרואן c4</t>
  </si>
  <si>
    <t>9.7.25-29.7.25</t>
  </si>
  <si>
    <t>אריאל ריבני</t>
  </si>
  <si>
    <t xml:space="preserve">חלופי מוסך </t>
  </si>
  <si>
    <t>25.3.26-31.3.26</t>
  </si>
  <si>
    <t xml:space="preserve">להחזיר לכביש 6 בלבד נתנאל חזן </t>
  </si>
  <si>
    <t>10.8.25-14.8.25</t>
  </si>
  <si>
    <t xml:space="preserve">נתנאל חזן </t>
  </si>
  <si>
    <t xml:space="preserve">רכב אור בידוש </t>
  </si>
  <si>
    <t xml:space="preserve">30.3.26 </t>
  </si>
  <si>
    <t xml:space="preserve">מתן לוי נוסע ברכב של אור בידוש </t>
  </si>
  <si>
    <t xml:space="preserve">קיה סורנטו </t>
  </si>
  <si>
    <t xml:space="preserve">הרץ </t>
  </si>
  <si>
    <t>30.7.25-21.8.25</t>
  </si>
  <si>
    <t>שכור הרץ</t>
  </si>
  <si>
    <t>13.4.26-16.4.26</t>
  </si>
  <si>
    <t xml:space="preserve">להחזיר רק לכביש 6 , נדב ברקן </t>
  </si>
  <si>
    <t>2.6.22-26.8.25</t>
  </si>
  <si>
    <t xml:space="preserve">עופר אוברלנדר </t>
  </si>
  <si>
    <t>12.4.26-21.4.26</t>
  </si>
  <si>
    <t xml:space="preserve">מאיה כתבי  להחזיר רק לכביש 6 </t>
  </si>
  <si>
    <t>21.3.22-2.9.25</t>
  </si>
  <si>
    <t>אלירן אביטן</t>
  </si>
  <si>
    <t>חלופי לשלמה</t>
  </si>
  <si>
    <t>20.4.26- 11.5.26</t>
  </si>
  <si>
    <t xml:space="preserve">אורטל להחזיר רק לכביש  6 </t>
  </si>
  <si>
    <t>7.7.25-2.9.25</t>
  </si>
  <si>
    <t>נועה בית דגן</t>
  </si>
  <si>
    <t>חלופי הרץ</t>
  </si>
  <si>
    <t>26.4.26-27.4.26</t>
  </si>
  <si>
    <t>רוני פינסקי להחזיר רק לכביש 6</t>
  </si>
  <si>
    <t>22.1.23-5.9.25</t>
  </si>
  <si>
    <t xml:space="preserve">גוסטבו- אובדן לרכב </t>
  </si>
  <si>
    <t>26.4.26-19.5.26</t>
  </si>
  <si>
    <t>ניסים אזגרי להחזיר להכל</t>
  </si>
  <si>
    <t>בי וו י די</t>
  </si>
  <si>
    <t>7.7.24-5.10.25</t>
  </si>
  <si>
    <t>אמיר פאזי</t>
  </si>
  <si>
    <t>28.4.26-31.5.26</t>
  </si>
  <si>
    <t>גל וילמוש להסיר מכביש 6 ושטיפומט וכרטיס תדלוק ופסקל</t>
  </si>
  <si>
    <t>8.9.24-6.10.25</t>
  </si>
  <si>
    <t>28.4.26-5.5.26</t>
  </si>
  <si>
    <t>ליאור ברון להחזיר רק לכביש 6</t>
  </si>
  <si>
    <t xml:space="preserve">דאציה דסטר </t>
  </si>
  <si>
    <t>7.7.25-30.10.25</t>
  </si>
  <si>
    <t>30.4.26-11.6.26</t>
  </si>
  <si>
    <t>19.4.23-1.11.25</t>
  </si>
  <si>
    <t xml:space="preserve">אבי פיש </t>
  </si>
  <si>
    <t>3.4.26-10.5.26</t>
  </si>
  <si>
    <t xml:space="preserve">קרן גרינוולד להחזיר רק לכביש 6 </t>
  </si>
  <si>
    <t>בי ווי די אטו 3</t>
  </si>
  <si>
    <t>14.10.24-3.11.25</t>
  </si>
  <si>
    <t>7.5.26-14.5.26</t>
  </si>
  <si>
    <t xml:space="preserve">יריב טולדנו </t>
  </si>
  <si>
    <t>14.8.25-3.11.25</t>
  </si>
  <si>
    <t>10.5.26-</t>
  </si>
  <si>
    <t>נתנאל חזן להחזיר לכביש 6 וחוצה צפון ומנהרות הכרמל</t>
  </si>
  <si>
    <t xml:space="preserve">בי ווי די אטו 3 </t>
  </si>
  <si>
    <t>9.1.25-11.11.25</t>
  </si>
  <si>
    <t xml:space="preserve">מופז סלמן </t>
  </si>
  <si>
    <t>13.5.26-17.5.26</t>
  </si>
  <si>
    <t xml:space="preserve">רותם סודרי להחזיר רק לכביש 6 </t>
  </si>
  <si>
    <t>19.4.23-12.11.25</t>
  </si>
  <si>
    <t>18.5.26-7.6.26</t>
  </si>
  <si>
    <t xml:space="preserve">גאמיל פאחורי להחזיר לכביש 6 </t>
  </si>
  <si>
    <t>11.2.22-16.11.25</t>
  </si>
  <si>
    <t>שגיא סנדלר</t>
  </si>
  <si>
    <t>חלופי שלמה</t>
  </si>
  <si>
    <t>20.5-10.6.26</t>
  </si>
  <si>
    <t>צור לנס להסיר מוידאו רכב</t>
  </si>
  <si>
    <t xml:space="preserve">מאזדה 3 </t>
  </si>
  <si>
    <t>4.9.25-17.11.25</t>
  </si>
  <si>
    <t xml:space="preserve">אליעד אבן חן </t>
  </si>
  <si>
    <t>יוסף הירש להחזיר רק לכביש 6</t>
  </si>
  <si>
    <t>מאזדה cx5</t>
  </si>
  <si>
    <t>31.10.25-20.11.25</t>
  </si>
  <si>
    <t>תמי פישמן</t>
  </si>
  <si>
    <t>3/6/26-7/6/26</t>
  </si>
  <si>
    <t>נדב ברקן 24164804 ומוטי עמנואל 83143703</t>
  </si>
  <si>
    <t>צרי fx</t>
  </si>
  <si>
    <t>8.9.25-25.11.25</t>
  </si>
  <si>
    <t>14.6.26-</t>
  </si>
  <si>
    <t xml:space="preserve">רועי קרבל להחזיר להכל כולל הכל </t>
  </si>
  <si>
    <t>שברולט טראקס</t>
  </si>
  <si>
    <t>26.6.25-25.11.25</t>
  </si>
  <si>
    <t>נפתלי</t>
  </si>
  <si>
    <t xml:space="preserve">מ.ג </t>
  </si>
  <si>
    <t>9.9.24-16.11.25</t>
  </si>
  <si>
    <t xml:space="preserve">דניאל בוחבוט </t>
  </si>
  <si>
    <t>דאציה גוגר</t>
  </si>
  <si>
    <t xml:space="preserve">21.9.22-14.12.25 טוטאלוס </t>
  </si>
  <si>
    <t xml:space="preserve">הראל דרוקר יש לבטל הכל </t>
  </si>
  <si>
    <t>19.10.25-16.12.25</t>
  </si>
  <si>
    <t xml:space="preserve">רועי קרבל </t>
  </si>
  <si>
    <t>5.3.24-18.12.25</t>
  </si>
  <si>
    <t xml:space="preserve">אטו 3 </t>
  </si>
  <si>
    <t>31.3.24-24.12.25</t>
  </si>
  <si>
    <t xml:space="preserve">נעמה לוק </t>
  </si>
  <si>
    <t xml:space="preserve">תיר </t>
  </si>
  <si>
    <t>14.9.25-24.12.25</t>
  </si>
  <si>
    <t xml:space="preserve">איתן כהן </t>
  </si>
  <si>
    <t>27.12.22-28.12.25</t>
  </si>
  <si>
    <t>פורד אקספלורר</t>
  </si>
  <si>
    <t>10.5.21-28.12.25</t>
  </si>
  <si>
    <t xml:space="preserve">שחר גרשון </t>
  </si>
  <si>
    <t>5.5.21-28.12.25</t>
  </si>
  <si>
    <t xml:space="preserve">נדב טנא </t>
  </si>
  <si>
    <t>20.6.23-1.1.26</t>
  </si>
  <si>
    <t>31.1.24-15.1.26</t>
  </si>
  <si>
    <t>ניצן רגיאנו</t>
  </si>
  <si>
    <t xml:space="preserve">קיה סלטוס </t>
  </si>
  <si>
    <t>5.5.23-20.1.26</t>
  </si>
  <si>
    <t>8.10.24-21.1.26</t>
  </si>
  <si>
    <t>גל וילמוש</t>
  </si>
  <si>
    <t xml:space="preserve">שברולט טראקס </t>
  </si>
  <si>
    <t>21.1.26-28.1.26</t>
  </si>
  <si>
    <t>פורד פומה</t>
  </si>
  <si>
    <t>11.12.24-18.1.26</t>
  </si>
  <si>
    <t xml:space="preserve">ביווידי דולפין </t>
  </si>
  <si>
    <t>15.5.25-29.1.26</t>
  </si>
  <si>
    <t>5.6.21-1.2.26</t>
  </si>
  <si>
    <t>יאיר פנקר</t>
  </si>
  <si>
    <t>5.9.24-2.2.26</t>
  </si>
  <si>
    <t xml:space="preserve">מ.ג ehs </t>
  </si>
  <si>
    <t>12.9.23-3.2.26</t>
  </si>
  <si>
    <t xml:space="preserve">אוריאל מנדלסון </t>
  </si>
  <si>
    <t xml:space="preserve">יונדאי טוסון </t>
  </si>
  <si>
    <t>20.2.23-12.2.26</t>
  </si>
  <si>
    <t>25.11.25-15.2.26</t>
  </si>
  <si>
    <t>7.5.23-20.2.26</t>
  </si>
  <si>
    <t xml:space="preserve">עתליה אמזלג </t>
  </si>
  <si>
    <t>16.3.25-24.2.26</t>
  </si>
  <si>
    <t xml:space="preserve">יוחאי תירוש </t>
  </si>
  <si>
    <t>3.12.22-25.2.26</t>
  </si>
  <si>
    <t xml:space="preserve">דני חצינסקי </t>
  </si>
  <si>
    <t>22.2.26-22.3.26</t>
  </si>
  <si>
    <t xml:space="preserve">ספיר אזאצ'י </t>
  </si>
  <si>
    <t xml:space="preserve">יונדאי אלנטרה </t>
  </si>
  <si>
    <t>1.2.26-23.3.26</t>
  </si>
  <si>
    <t xml:space="preserve">מיגל ממן </t>
  </si>
  <si>
    <t xml:space="preserve">מאזדה 2 </t>
  </si>
  <si>
    <t>2.1.25-31.3.26</t>
  </si>
  <si>
    <t xml:space="preserve">מאיה כתבי </t>
  </si>
  <si>
    <t xml:space="preserve">מיצובישי אאוטלנדר </t>
  </si>
  <si>
    <t>1.12.20-31.3.26</t>
  </si>
  <si>
    <t xml:space="preserve">עיינה וקסלר </t>
  </si>
  <si>
    <t xml:space="preserve">גאקו 7 </t>
  </si>
  <si>
    <t>20.11.25-31.3.26</t>
  </si>
  <si>
    <t xml:space="preserve">תמי פישמן </t>
  </si>
  <si>
    <t xml:space="preserve">סקודה קודיאק </t>
  </si>
  <si>
    <t>27.4.23-31.3.26</t>
  </si>
  <si>
    <t xml:space="preserve">סיטרואן ברלינגו </t>
  </si>
  <si>
    <t>28.5.24-12.4.26</t>
  </si>
  <si>
    <t xml:space="preserve">תומר פלד </t>
  </si>
  <si>
    <t>קיה סיד</t>
  </si>
  <si>
    <t>12.6.23-12.4.26</t>
  </si>
  <si>
    <t>28.3.22-21.4.26</t>
  </si>
  <si>
    <t xml:space="preserve">שלמה גישור </t>
  </si>
  <si>
    <t>13.3.26-23.4.26</t>
  </si>
  <si>
    <t xml:space="preserve">הגר שוקרון </t>
  </si>
  <si>
    <t xml:space="preserve">מיצובישי אקליפס קרוס </t>
  </si>
  <si>
    <t>27.1.26-28.4.26</t>
  </si>
  <si>
    <t>3.4.23-4.5.26</t>
  </si>
  <si>
    <t xml:space="preserve">צליל אזולאי </t>
  </si>
  <si>
    <t>16.5.25-5.5.26</t>
  </si>
  <si>
    <t xml:space="preserve">אוהד מויאל </t>
  </si>
  <si>
    <t>9.3.23-5.5.26</t>
  </si>
  <si>
    <t>24.7.25-5.5.26</t>
  </si>
  <si>
    <t>22.3.22-7.5.26</t>
  </si>
  <si>
    <t xml:space="preserve">רעות בן עזרי </t>
  </si>
  <si>
    <t xml:space="preserve">צרי טיגו 8 </t>
  </si>
  <si>
    <t>12.11.25-11.5.26</t>
  </si>
  <si>
    <t>31.3.26-11.5.26</t>
  </si>
  <si>
    <t xml:space="preserve">אסי כהן </t>
  </si>
  <si>
    <t>פיגו 2008</t>
  </si>
  <si>
    <t>11.2.26-11.2.26</t>
  </si>
  <si>
    <t>31.3.26-14.5.26</t>
  </si>
  <si>
    <t>2.9.24-14.5.26</t>
  </si>
  <si>
    <t xml:space="preserve">אפי ברק </t>
  </si>
  <si>
    <t>3.11.25-12.5.26</t>
  </si>
  <si>
    <t xml:space="preserve">סובארו קרוסטרק </t>
  </si>
  <si>
    <t>14.4.26-20.5.26</t>
  </si>
  <si>
    <t xml:space="preserve">נמרוד זוהר </t>
  </si>
  <si>
    <t>ביווידי אטו 3</t>
  </si>
  <si>
    <t>24.12.25-24.5.26</t>
  </si>
  <si>
    <t xml:space="preserve">יונדאי קונה </t>
  </si>
  <si>
    <t>29.6.25-31.5.26</t>
  </si>
  <si>
    <t>27.10.24-31.5.26</t>
  </si>
  <si>
    <t xml:space="preserve">קיה ספורטאז </t>
  </si>
  <si>
    <t>21.4.26-7.6.26</t>
  </si>
  <si>
    <t>10.3.25-14.6.26</t>
  </si>
  <si>
    <t xml:space="preserve">קיילי פרכטמן </t>
  </si>
  <si>
    <t xml:space="preserve">צרי טיגו 7 </t>
  </si>
  <si>
    <t>26.2.26-15.6.26</t>
  </si>
  <si>
    <t>28.3.26-15.6.26</t>
  </si>
  <si>
    <t>2.2.26-16.6.26</t>
  </si>
  <si>
    <t xml:space="preserve">דוד כהן </t>
  </si>
  <si>
    <t>משימות</t>
  </si>
  <si>
    <t>לטפל בתשלום טפסי החזר רישוי</t>
  </si>
  <si>
    <t xml:space="preserve">לעקוב אחרי החזר תשלום כביש 6 מיוגב עבור רכב 85349903, בחשבונית נובמבר 25 הוחזר הכסף </t>
  </si>
  <si>
    <t>לראות אולי ייאסף פסקל מליסקאר באר שבע על הרכב של רוית הקודם 21897903</t>
  </si>
  <si>
    <t>לבטל ביטוח לרכב 28491903 רכב שמכרנו - טופל תיעוד מהסוכן ביטוח בוואטצאפ 29.10.2</t>
  </si>
  <si>
    <t xml:space="preserve">העברת בעלות וביטול ביטוח 13738004- טופל, ממתינים לעדכון על ביטול הביטוח </t>
  </si>
  <si>
    <t xml:space="preserve">להחזיר מפתח נוסף שגיא לליסקאר </t>
  </si>
  <si>
    <t xml:space="preserve">לראות שבוטלו ביטוחים לרכבים נדב, שחר ואדי </t>
  </si>
  <si>
    <t xml:space="preserve">העברת בעלות רכב אריאל אשר לבעלות נופר ישראל </t>
  </si>
  <si>
    <t xml:space="preserve">למכור רכבים אוהד ואריאל </t>
  </si>
  <si>
    <t xml:space="preserve">לבדוק שקיבלנו תשלום שרידים רכב 12198203 הראל דרוקר לשעבר טוטאלוס </t>
  </si>
  <si>
    <t>התקבל והועבר לאליאנה 3.5.26</t>
  </si>
  <si>
    <t xml:space="preserve">חשבוניות השכרה הרץ -לסדר גוסטבו רוצמן </t>
  </si>
  <si>
    <t xml:space="preserve">להביא זיכוי איזפליט ולשלוח חשבונית חדשה </t>
  </si>
  <si>
    <t xml:space="preserve">להביא לליסקאר מפתח של רכב 42008902 </t>
  </si>
  <si>
    <t>שופרסל, נתתי לנועה פתרון 28.4.26</t>
  </si>
  <si>
    <t xml:space="preserve">לאסוף פסקל קודם עיינה ליסקאר פתח תקווה לדבר עם אלון </t>
  </si>
  <si>
    <t xml:space="preserve">עד הלום </t>
  </si>
  <si>
    <t xml:space="preserve">לאסוף פסקל פנוי ליסקאר שהיה של אוריאל </t>
  </si>
  <si>
    <t xml:space="preserve">להזמין פסקלים נופר ישראל ולאסוף קיימים מעובדים ולראות לגבי זיכוי מול חדווה </t>
  </si>
  <si>
    <t xml:space="preserve">העברת ספקים נופר ישראל </t>
  </si>
  <si>
    <t>שם ספק</t>
  </si>
  <si>
    <t>סטטוס</t>
  </si>
  <si>
    <t>האם בוצע סופית</t>
  </si>
  <si>
    <t>דלק</t>
  </si>
  <si>
    <t>נשלחה הוראת קבע, ממתינים לחתימת מורשים והעברת אקסל רכבים לאלעד ,בוצע</t>
  </si>
  <si>
    <t>בוצע</t>
  </si>
  <si>
    <t>סונול</t>
  </si>
  <si>
    <t>הועבר לאורן ואתי לחתימות, הועברה הוראת קבע ממתינים לחתימת מסמכים,בוצע</t>
  </si>
  <si>
    <t>דור אלון</t>
  </si>
  <si>
    <t>נשלחו חתימות בדוקוסיין לאבי ונדב וממתין להחתמה של שטר חוב ,בוצע</t>
  </si>
  <si>
    <t>איזפליט</t>
  </si>
  <si>
    <t xml:space="preserve">בוצע </t>
  </si>
  <si>
    <t>עמדות טעינה נופר</t>
  </si>
  <si>
    <t xml:space="preserve">בוצע, יש מייל מניסים העובד של ניסו שבוצע </t>
  </si>
  <si>
    <t xml:space="preserve">נשלח הכל לשלמה </t>
  </si>
  <si>
    <t>בוצע 11.2.26</t>
  </si>
  <si>
    <t xml:space="preserve">הועברו מסמכים לחתימות שלנו, נשלח הכל לאלעד מליסקאר ממתינים </t>
  </si>
  <si>
    <t>כביש 6</t>
  </si>
  <si>
    <t xml:space="preserve">ממתין לחתימת עו"ד , יש הוראת קבע מוכנה </t>
  </si>
  <si>
    <t>חוצה צפון</t>
  </si>
  <si>
    <t xml:space="preserve">נשלח הוראת קבע , בוצע , ממתין רק לשם משתמש וסיסמא על מנת לעדכן </t>
  </si>
  <si>
    <t>מנהרות הכרמל</t>
  </si>
  <si>
    <t xml:space="preserve">נשלחו מסמכים לחתימה ,נשלח לנועה עדכון פרטי אשראי לחתימה </t>
  </si>
  <si>
    <t>שטיפומט</t>
  </si>
  <si>
    <t>טופל</t>
  </si>
  <si>
    <t>געש</t>
  </si>
  <si>
    <t>האומנים</t>
  </si>
  <si>
    <t>רון שטיין</t>
  </si>
  <si>
    <t xml:space="preserve">משרד התחבורה </t>
  </si>
  <si>
    <t xml:space="preserve">נשלח להרץ הוראת קבע ומסמכים חתומים, טופל </t>
  </si>
  <si>
    <t>קוברה</t>
  </si>
  <si>
    <t xml:space="preserve">נתנאל , עודכן </t>
  </si>
  <si>
    <t xml:space="preserve">רב בריח </t>
  </si>
  <si>
    <t xml:space="preserve">נשלח חתום ממתין שיתקשרו לצורך אשראי , יש מייל מצלילי בוצע  ועודכן </t>
  </si>
  <si>
    <t xml:space="preserve">עד נהריה </t>
  </si>
  <si>
    <t xml:space="preserve">טופל </t>
  </si>
  <si>
    <t>שם המוסך:</t>
  </si>
  <si>
    <t>תאריך:</t>
  </si>
  <si>
    <t>סוג עבודה:</t>
  </si>
  <si>
    <t>שם הלקוח:</t>
  </si>
  <si>
    <t>האומנים אשדוד</t>
  </si>
  <si>
    <t>טיפול 80,פירוט בתיק נהג</t>
  </si>
  <si>
    <t>2.8.22</t>
  </si>
  <si>
    <t>טיפול 120,פירוט בתיק נהג</t>
  </si>
  <si>
    <t>31.7.22</t>
  </si>
  <si>
    <t>טיפול 60,פירוט בתיק נהג</t>
  </si>
  <si>
    <t>נטיה גרוזמן</t>
  </si>
  <si>
    <t>מונזה עפולה</t>
  </si>
  <si>
    <t>טיפול 15,פירוט בתיק נהג</t>
  </si>
  <si>
    <t>טיפול 45,פירוט בתיק נהג</t>
  </si>
  <si>
    <t>8.8.22</t>
  </si>
  <si>
    <t>בדיקת בלמים+איפוס נורת מנוע</t>
  </si>
  <si>
    <t>מ סחר כרמיאל-געש</t>
  </si>
  <si>
    <t>תיקון 2 תקרים בצמיגים</t>
  </si>
  <si>
    <t>צמיגי ברהם חיפה-געש</t>
  </si>
  <si>
    <t>10.8.22</t>
  </si>
  <si>
    <t xml:space="preserve"> הח 4 צמיגים</t>
  </si>
  <si>
    <t>החלפת צמיג אח' ימ'</t>
  </si>
  <si>
    <t>מונזה כרמיאל</t>
  </si>
  <si>
    <t>מילוי אוריאה,קריאת תקלות</t>
  </si>
  <si>
    <t>עידן אברהם</t>
  </si>
  <si>
    <t>צמיגי א פרגיון-געש</t>
  </si>
  <si>
    <t>15.8.22</t>
  </si>
  <si>
    <t>תיקון ג'נט קד' שמ'+הח' צמיג קד' שמ'</t>
  </si>
  <si>
    <t>מרכז שירות אביב</t>
  </si>
  <si>
    <t>טיפול 60 אלף</t>
  </si>
  <si>
    <t>נעם פישר</t>
  </si>
  <si>
    <t>טיפול 72 אלף-טיפול גדול</t>
  </si>
  <si>
    <t>מוסך שילת</t>
  </si>
  <si>
    <t>16.8.22</t>
  </si>
  <si>
    <t>טיפול 15 אלף-ליסינג תפעולי ללא חיוב</t>
  </si>
  <si>
    <t>שמרית טביב</t>
  </si>
  <si>
    <t>צמיגי עידו אשקלון-געש</t>
  </si>
  <si>
    <t>21.8.22</t>
  </si>
  <si>
    <t>החלפת צמיג שמ קד' + תקר ימ' אח'</t>
  </si>
  <si>
    <t>טיפול 105 אלף</t>
  </si>
  <si>
    <t>צמיגי ברנס אשדוד-געש</t>
  </si>
  <si>
    <t>22.8.22</t>
  </si>
  <si>
    <t>הח' 2 צמיגים קד'</t>
  </si>
  <si>
    <t>23.8.22</t>
  </si>
  <si>
    <t>הח' משולשים,כוון פרונט,הח' ברקסים קד'</t>
  </si>
  <si>
    <t>טיפול 15</t>
  </si>
  <si>
    <t>טייר סנטר עפולה-געש</t>
  </si>
  <si>
    <t>28.8.22</t>
  </si>
  <si>
    <t>החלפת 4 צמיגים</t>
  </si>
  <si>
    <t>הראל דרוקר</t>
  </si>
  <si>
    <t>פרונט טכנו קאר עפולה-געש</t>
  </si>
  <si>
    <t>כוון פרונט</t>
  </si>
  <si>
    <t>30.8.22</t>
  </si>
  <si>
    <t>ספטמבר</t>
  </si>
  <si>
    <t>1.9.22</t>
  </si>
  <si>
    <t>טיפול תקופתי</t>
  </si>
  <si>
    <t>מרכז שירות הוד נהריה</t>
  </si>
  <si>
    <t>איפוס תקלה-שולם בטלפון</t>
  </si>
  <si>
    <t>9.9.22</t>
  </si>
  <si>
    <t>עדי גלסמן</t>
  </si>
  <si>
    <t>וולטה קריות-געש</t>
  </si>
  <si>
    <t>6.9.22</t>
  </si>
  <si>
    <t>החלפת מצבר</t>
  </si>
  <si>
    <t>7.9.22</t>
  </si>
  <si>
    <t>טיפול  15 תקופתי</t>
  </si>
  <si>
    <t>עיינה וקסלר</t>
  </si>
  <si>
    <t>צמיגי הוד השרון-געש</t>
  </si>
  <si>
    <t>12.9.22</t>
  </si>
  <si>
    <t>בדיקת תקר צמיג אחורי שמאלי-ללא חיוב</t>
  </si>
  <si>
    <t>13.9.22</t>
  </si>
  <si>
    <t>טיפול 30 אלף</t>
  </si>
  <si>
    <t>ציון יחזקאל</t>
  </si>
  <si>
    <t>צמיגי אם המושבות-פ"ת</t>
  </si>
  <si>
    <t>הח' 3 צמיגים- 2 קד' ואחד אח' ימ'</t>
  </si>
  <si>
    <t>יחיאל סלמה</t>
  </si>
  <si>
    <t>14.9.22</t>
  </si>
  <si>
    <t>מילוי גז מזגן</t>
  </si>
  <si>
    <t>טיפול 45</t>
  </si>
  <si>
    <t>טיפול תקופתי- 60 אלף</t>
  </si>
  <si>
    <t>געש חיפה</t>
  </si>
  <si>
    <t>18.9.22</t>
  </si>
  <si>
    <t>החלפת 2 צמיגם קד'+איזונים+בדיקת פרונט חיוב 50</t>
  </si>
  <si>
    <t>רעאפת</t>
  </si>
  <si>
    <t>19.9.22</t>
  </si>
  <si>
    <t>טיפול גדול</t>
  </si>
  <si>
    <t>20.9.22</t>
  </si>
  <si>
    <t>הח' דסקיות קד'</t>
  </si>
  <si>
    <t>צור לנס</t>
  </si>
  <si>
    <t>אשדוד-געש</t>
  </si>
  <si>
    <t>29.9.22</t>
  </si>
  <si>
    <t>טיפול 60</t>
  </si>
  <si>
    <t>תקר הגליל ראש פינה-געש</t>
  </si>
  <si>
    <t>פנצר צמיג אח ימ'</t>
  </si>
  <si>
    <t>אוקטובר</t>
  </si>
  <si>
    <t>3.10.22</t>
  </si>
  <si>
    <t>החלפת 2 צמיגים אח'</t>
  </si>
  <si>
    <t>מונזה</t>
  </si>
  <si>
    <t>18.10.22</t>
  </si>
  <si>
    <t>הוד נהריה</t>
  </si>
  <si>
    <t>23.10.22</t>
  </si>
  <si>
    <t>20.10.22</t>
  </si>
  <si>
    <t>דני חצינסקי</t>
  </si>
  <si>
    <t>אשדוד געש</t>
  </si>
  <si>
    <t xml:space="preserve">תיקון פנצר </t>
  </si>
  <si>
    <t>אלברט פיש</t>
  </si>
  <si>
    <t>25.10.22</t>
  </si>
  <si>
    <t>טיפול צינור טורבו</t>
  </si>
  <si>
    <t>נובמבר</t>
  </si>
  <si>
    <t>31.10.22</t>
  </si>
  <si>
    <t>טיפול מערכת אוריאה-נכנס לחיוב נובמבר</t>
  </si>
  <si>
    <t>תקר הגליל-געש</t>
  </si>
  <si>
    <t>6.11.22</t>
  </si>
  <si>
    <t>פנצר+איזון</t>
  </si>
  <si>
    <t>יקנעם</t>
  </si>
  <si>
    <t>פנצר</t>
  </si>
  <si>
    <t>עד נהריה</t>
  </si>
  <si>
    <t>8.11.22</t>
  </si>
  <si>
    <t>טיפול 20 אלף</t>
  </si>
  <si>
    <t>רון אלקיים</t>
  </si>
  <si>
    <t>9.11.22</t>
  </si>
  <si>
    <t>טיפול 100 אלף</t>
  </si>
  <si>
    <t>טיפול 40 אלף</t>
  </si>
  <si>
    <t>13.11.22</t>
  </si>
  <si>
    <t>טיפול 75 אלף</t>
  </si>
  <si>
    <t>15.11.22</t>
  </si>
  <si>
    <t>הח' קליפסים</t>
  </si>
  <si>
    <t>17.11.22</t>
  </si>
  <si>
    <t>טיפול תקופתי- 60 אלף- לקבל זיכוי</t>
  </si>
  <si>
    <t>רעפאת</t>
  </si>
  <si>
    <t>תיקון מערכת-חיוב מספטמבר לא נעשה</t>
  </si>
  <si>
    <t>16.11.22</t>
  </si>
  <si>
    <t>21.11.22</t>
  </si>
  <si>
    <t>החלפת צמיג</t>
  </si>
  <si>
    <t>14.11.22</t>
  </si>
  <si>
    <t>הח 2 צמיגים</t>
  </si>
  <si>
    <t>22.11.22</t>
  </si>
  <si>
    <t>הח' צמיג</t>
  </si>
  <si>
    <t>27.11.22</t>
  </si>
  <si>
    <t>תיקון טורבו</t>
  </si>
  <si>
    <t>אדם וג'ניה</t>
  </si>
  <si>
    <t>אשקלון געש</t>
  </si>
  <si>
    <t>29.11.22</t>
  </si>
  <si>
    <t>4 צמיגים</t>
  </si>
  <si>
    <t>דצמבר</t>
  </si>
  <si>
    <t>30.11.22</t>
  </si>
  <si>
    <t xml:space="preserve">טיפול </t>
  </si>
  <si>
    <t>25.11.22</t>
  </si>
  <si>
    <t>ארבעה איזונים+3 יישור חישוקים</t>
  </si>
  <si>
    <t>געש-חיפה</t>
  </si>
  <si>
    <t>1.12.22</t>
  </si>
  <si>
    <t>4 צמיגים ופרונט</t>
  </si>
  <si>
    <t>געש-שילת</t>
  </si>
  <si>
    <t>4.12.22</t>
  </si>
  <si>
    <t>צמיג קד ימ</t>
  </si>
  <si>
    <t>געש-אשקלון</t>
  </si>
  <si>
    <t>6.12.22</t>
  </si>
  <si>
    <t>געש-כפר סבא</t>
  </si>
  <si>
    <t>ליטוש פנסים</t>
  </si>
  <si>
    <t>5.12.22</t>
  </si>
  <si>
    <t>בדיקה והח מגבים</t>
  </si>
  <si>
    <t>געש יקנעם</t>
  </si>
  <si>
    <t>פנצר-לא חוייב בנובמבר</t>
  </si>
  <si>
    <t>טיפול תקופתי 120 אלף</t>
  </si>
  <si>
    <t xml:space="preserve">רון שטיין </t>
  </si>
  <si>
    <t>7.12.22</t>
  </si>
  <si>
    <t>טיפול תקופתי 80 אלף</t>
  </si>
  <si>
    <t>אולה</t>
  </si>
  <si>
    <t>8.12.22</t>
  </si>
  <si>
    <t>טיפול 90 אלף</t>
  </si>
  <si>
    <t xml:space="preserve">דותן סלע </t>
  </si>
  <si>
    <t>קרית גת- געש</t>
  </si>
  <si>
    <t>הח 2 צמיגים +יישור חישוק</t>
  </si>
  <si>
    <t>טבריה-געש</t>
  </si>
  <si>
    <t>הח 2 צמיגים אח</t>
  </si>
  <si>
    <t>12.12.22</t>
  </si>
  <si>
    <t>מצבר</t>
  </si>
  <si>
    <t>הרצליה-געש</t>
  </si>
  <si>
    <t>11.12.22</t>
  </si>
  <si>
    <t>תיקון תקר</t>
  </si>
  <si>
    <t>13.12.22</t>
  </si>
  <si>
    <t>החלפת מסנן סולר כולל ניקוי</t>
  </si>
  <si>
    <t>ראש העין-צמיגי געש</t>
  </si>
  <si>
    <t>צמיג קד' ימ'-נסיעה ללא אוויר-לא חוייב באוגוסט</t>
  </si>
  <si>
    <t>21.12.22</t>
  </si>
  <si>
    <t>הח זרועות מייצב</t>
  </si>
  <si>
    <t>20.12.22</t>
  </si>
  <si>
    <t>טיפול 24 תקופתי</t>
  </si>
  <si>
    <t>19.12.22</t>
  </si>
  <si>
    <t>26.12.22</t>
  </si>
  <si>
    <t>27.12.22</t>
  </si>
  <si>
    <t xml:space="preserve"> צור לנס</t>
  </si>
  <si>
    <t>צמיגי באר שבע</t>
  </si>
  <si>
    <t>הח 4 צמיגים</t>
  </si>
  <si>
    <t>אשדוד</t>
  </si>
  <si>
    <t>ינואר 23</t>
  </si>
  <si>
    <t>אריאל געש</t>
  </si>
  <si>
    <t>2.1.23</t>
  </si>
  <si>
    <t>4.1.23</t>
  </si>
  <si>
    <t>הח נורה</t>
  </si>
  <si>
    <t>5.1.23</t>
  </si>
  <si>
    <t>טיפול תקלות+טיפול לרכב</t>
  </si>
  <si>
    <t>10.1.23</t>
  </si>
  <si>
    <t>15.1.23</t>
  </si>
  <si>
    <t>טיפול מכאני</t>
  </si>
  <si>
    <t>החלפת מנורה</t>
  </si>
  <si>
    <t>16.1.23</t>
  </si>
  <si>
    <t>19.1.23</t>
  </si>
  <si>
    <t>הוד השרון-געש</t>
  </si>
  <si>
    <t>22.1.23</t>
  </si>
  <si>
    <t>טיפול 210 אלף</t>
  </si>
  <si>
    <t>25.1.23</t>
  </si>
  <si>
    <t>טיפול 200 אלף</t>
  </si>
  <si>
    <t>30.1.23</t>
  </si>
  <si>
    <t>31.1.23</t>
  </si>
  <si>
    <t>געש-הרצליה</t>
  </si>
  <si>
    <t>תקר צמיג</t>
  </si>
  <si>
    <t>געש-ירושלים</t>
  </si>
  <si>
    <t>1.2.23</t>
  </si>
  <si>
    <t>צמיג אח שמ החלפה</t>
  </si>
  <si>
    <t>געש-אשדוד</t>
  </si>
  <si>
    <t>2.2.23</t>
  </si>
  <si>
    <t>תקר צמיג אח שמ</t>
  </si>
  <si>
    <t>געש-נתיבות</t>
  </si>
  <si>
    <t>3.2.23</t>
  </si>
  <si>
    <t>1.2.34</t>
  </si>
  <si>
    <t>6.2.23</t>
  </si>
  <si>
    <t>טיפול 140</t>
  </si>
  <si>
    <t>געש-קרית גת</t>
  </si>
  <si>
    <t>חיפה-געש</t>
  </si>
  <si>
    <t>8.2.23</t>
  </si>
  <si>
    <t>החלפה צמיג</t>
  </si>
  <si>
    <t>קרית שמונה-געש</t>
  </si>
  <si>
    <t>12.2.23</t>
  </si>
  <si>
    <t>2 תקרים</t>
  </si>
  <si>
    <t>באר שבע -געש</t>
  </si>
  <si>
    <t>תקר</t>
  </si>
  <si>
    <t>כרמיאל-געש</t>
  </si>
  <si>
    <t>15.2.23</t>
  </si>
  <si>
    <t>22.2.23</t>
  </si>
  <si>
    <t>צמיג החלפה</t>
  </si>
  <si>
    <t>אביב הלוי אשדוד</t>
  </si>
  <si>
    <t>13.2.23</t>
  </si>
  <si>
    <t>אריאל-געש</t>
  </si>
  <si>
    <t>2.3.23</t>
  </si>
  <si>
    <t>הח צמיג</t>
  </si>
  <si>
    <t>אשקלון-געש</t>
  </si>
  <si>
    <t>27.2.23</t>
  </si>
  <si>
    <t>הח 3 צמיגים</t>
  </si>
  <si>
    <t>רמלה-געש</t>
  </si>
  <si>
    <t>5.3.23</t>
  </si>
  <si>
    <t>8.3.23</t>
  </si>
  <si>
    <t>12.3.23</t>
  </si>
  <si>
    <t>7.3.23</t>
  </si>
  <si>
    <t>13.3.23</t>
  </si>
  <si>
    <t>טיפול 80</t>
  </si>
  <si>
    <t>נטיה</t>
  </si>
  <si>
    <t>14.3.23</t>
  </si>
  <si>
    <t>16.3.23</t>
  </si>
  <si>
    <t>טיפול  תקופתי</t>
  </si>
  <si>
    <t>גיא הרטשטיין-לא נקלטה בפברואר,לבדוק שאכן לא נקלטה</t>
  </si>
  <si>
    <t>געש -ראשון</t>
  </si>
  <si>
    <t>19.3.23</t>
  </si>
  <si>
    <t>22.3.23</t>
  </si>
  <si>
    <t>זוארץ-געש</t>
  </si>
  <si>
    <t>28.3.23</t>
  </si>
  <si>
    <t>29.3.23</t>
  </si>
  <si>
    <t>30.3.23</t>
  </si>
  <si>
    <t>רעות בן עזרי</t>
  </si>
  <si>
    <t>אפריל</t>
  </si>
  <si>
    <t>מילוי שמן</t>
  </si>
  <si>
    <t>געש-עפולה</t>
  </si>
  <si>
    <t>4.4.23</t>
  </si>
  <si>
    <t>5.4.23</t>
  </si>
  <si>
    <t>טיפול 20-לצרף זיכוי בהתאם</t>
  </si>
  <si>
    <t>דני שרידבסקי</t>
  </si>
  <si>
    <t xml:space="preserve">געש </t>
  </si>
  <si>
    <t>13.4.23</t>
  </si>
  <si>
    <t>הח 2 צמיגים קד</t>
  </si>
  <si>
    <t>18.4.23</t>
  </si>
  <si>
    <t>גז מזגן+פילטר</t>
  </si>
  <si>
    <t>20.4.23</t>
  </si>
  <si>
    <t>געש קריות</t>
  </si>
  <si>
    <t>החלפת צלחות ורפידות</t>
  </si>
  <si>
    <t>הח צלחות ורפידות אחורה</t>
  </si>
  <si>
    <t>25.4.23</t>
  </si>
  <si>
    <t>החלפת מזרק</t>
  </si>
  <si>
    <t xml:space="preserve">טיפול 90 </t>
  </si>
  <si>
    <t>החלפת צמיג געש</t>
  </si>
  <si>
    <t>מאי</t>
  </si>
  <si>
    <t>1.5.23</t>
  </si>
  <si>
    <t>8.5.23</t>
  </si>
  <si>
    <t>טייר סנטר גלבוע-געש</t>
  </si>
  <si>
    <t>הח 2 צמיגים קדימה</t>
  </si>
  <si>
    <t>10.5.23</t>
  </si>
  <si>
    <t>14.5.23</t>
  </si>
  <si>
    <t>געש-אריאל</t>
  </si>
  <si>
    <t>17.5.23</t>
  </si>
  <si>
    <t>הח צמיג אח שמ</t>
  </si>
  <si>
    <t>ארבעה צמיגים+פרונט+פירוק וו גרירה</t>
  </si>
  <si>
    <t>טיפול 280 תקופתי</t>
  </si>
  <si>
    <t>18.5.3</t>
  </si>
  <si>
    <t>הח צמיג-נזק עלה על אבן+העברת צמיג</t>
  </si>
  <si>
    <t>יקנעם-געש</t>
  </si>
  <si>
    <t>2 צמיגים קדימה +תקר</t>
  </si>
  <si>
    <t>טיפול 30</t>
  </si>
  <si>
    <t>ליאנה ימין</t>
  </si>
  <si>
    <t>24.5.23</t>
  </si>
  <si>
    <t>אדם בר יהודה</t>
  </si>
  <si>
    <t>מילוי גז עקב דליפה</t>
  </si>
  <si>
    <t>28.5.23</t>
  </si>
  <si>
    <t>31.5.23</t>
  </si>
  <si>
    <t>הח 2 מצברים</t>
  </si>
  <si>
    <t>30.5.23</t>
  </si>
  <si>
    <t>16.5.23</t>
  </si>
  <si>
    <t>יוני</t>
  </si>
  <si>
    <t>רון שטיין כפר סבא</t>
  </si>
  <si>
    <t>1.6.23</t>
  </si>
  <si>
    <t>4.6.23</t>
  </si>
  <si>
    <t>הח מצבר</t>
  </si>
  <si>
    <t>8.6.23</t>
  </si>
  <si>
    <t>7.6.23</t>
  </si>
  <si>
    <t>9.6.23</t>
  </si>
  <si>
    <t>12.6.23</t>
  </si>
  <si>
    <t>הח רצועת תזמון</t>
  </si>
  <si>
    <t>14.6.23</t>
  </si>
  <si>
    <t>15.6.23</t>
  </si>
  <si>
    <t>19.6.23</t>
  </si>
  <si>
    <t>טיפול 40</t>
  </si>
  <si>
    <t>20.6.23</t>
  </si>
  <si>
    <t>טיפול 105</t>
  </si>
  <si>
    <t>21.6.23</t>
  </si>
  <si>
    <t>25.6.23</t>
  </si>
  <si>
    <t>הח צמיג+תקר</t>
  </si>
  <si>
    <t>26.6.23</t>
  </si>
  <si>
    <t>הח 2 צמיגים+פרונט+כוון מערך אח</t>
  </si>
  <si>
    <t>28.6.23</t>
  </si>
  <si>
    <t>טיפול 48</t>
  </si>
  <si>
    <t>29.6.23</t>
  </si>
  <si>
    <t>הח מזרק</t>
  </si>
  <si>
    <t>2.7.23</t>
  </si>
  <si>
    <t>תיקון דלת</t>
  </si>
  <si>
    <t>4.7.23</t>
  </si>
  <si>
    <t>נעמה זך</t>
  </si>
  <si>
    <t>6.7.23</t>
  </si>
  <si>
    <t>רון אלקיים-מצב זיכוי הנחות חלפים</t>
  </si>
  <si>
    <t>10.7.23</t>
  </si>
  <si>
    <t>טיפול 170</t>
  </si>
  <si>
    <t>11.7.23</t>
  </si>
  <si>
    <t>הח ציריות</t>
  </si>
  <si>
    <t>16.7.23</t>
  </si>
  <si>
    <t>טיפול 120 אלף</t>
  </si>
  <si>
    <t>17.7.23</t>
  </si>
  <si>
    <t>טיפול 115</t>
  </si>
  <si>
    <t>24.7.23</t>
  </si>
  <si>
    <t>26.7.23</t>
  </si>
  <si>
    <t xml:space="preserve">2 צמיגים קדימה </t>
  </si>
  <si>
    <t>30.7.23</t>
  </si>
  <si>
    <t>טיפול 135</t>
  </si>
  <si>
    <t>געש טבריה</t>
  </si>
  <si>
    <t>3.8.23</t>
  </si>
  <si>
    <t>1.8.23</t>
  </si>
  <si>
    <t>7.8.23</t>
  </si>
  <si>
    <t>טיפול 75</t>
  </si>
  <si>
    <t>8.8.23</t>
  </si>
  <si>
    <t>הח 3 צמיגים מקסיס</t>
  </si>
  <si>
    <t>געש אשדוד</t>
  </si>
  <si>
    <t>אליאנה ימין</t>
  </si>
  <si>
    <t>10.8.23</t>
  </si>
  <si>
    <t>16.8.23</t>
  </si>
  <si>
    <t>17.8.23</t>
  </si>
  <si>
    <t>הח ברקסים</t>
  </si>
  <si>
    <t>22.8.23</t>
  </si>
  <si>
    <t>געש קרית גת</t>
  </si>
  <si>
    <t>טיפול 160</t>
  </si>
  <si>
    <t xml:space="preserve">טיפול 60 </t>
  </si>
  <si>
    <t>טיפול 126 אלף</t>
  </si>
  <si>
    <t>28.8.23</t>
  </si>
  <si>
    <t>הח צמיג קד ימ</t>
  </si>
  <si>
    <t>29.8.23</t>
  </si>
  <si>
    <t>3.9.23</t>
  </si>
  <si>
    <t>5.9.23</t>
  </si>
  <si>
    <t>7.9.23</t>
  </si>
  <si>
    <t>11.9.23</t>
  </si>
  <si>
    <t>הח 4 צמיגים ופרונט</t>
  </si>
  <si>
    <t xml:space="preserve">רעפאת מרעב </t>
  </si>
  <si>
    <t>14.9.23</t>
  </si>
  <si>
    <t>תקר+הח צמיג</t>
  </si>
  <si>
    <t>עידן אברהם ואדם</t>
  </si>
  <si>
    <t>הח מגבים</t>
  </si>
  <si>
    <t>18.9.23</t>
  </si>
  <si>
    <t>טיפול 80-טיפול גדול</t>
  </si>
  <si>
    <t>19.9.23</t>
  </si>
  <si>
    <t>26.9.23</t>
  </si>
  <si>
    <t>3 צמיגים</t>
  </si>
  <si>
    <t>28.9.23</t>
  </si>
  <si>
    <t>טיפול 120</t>
  </si>
  <si>
    <t>ניקוי מערכת עקב תקלה</t>
  </si>
  <si>
    <t>צמיג</t>
  </si>
  <si>
    <t>1.10.23</t>
  </si>
  <si>
    <t>3.10.23</t>
  </si>
  <si>
    <t>5.10.23</t>
  </si>
  <si>
    <t>הח מנוע מתזים</t>
  </si>
  <si>
    <t>15.10.23</t>
  </si>
  <si>
    <t>22.10.23</t>
  </si>
  <si>
    <t>25.10.23</t>
  </si>
  <si>
    <t>עתליה</t>
  </si>
  <si>
    <t>6.11.23</t>
  </si>
  <si>
    <t>עומר פראצ'י</t>
  </si>
  <si>
    <t>9.11.23</t>
  </si>
  <si>
    <t>שינוע לטסט</t>
  </si>
  <si>
    <t>13.11.23</t>
  </si>
  <si>
    <t>רועי+הראל</t>
  </si>
  <si>
    <t>הח בלמים</t>
  </si>
  <si>
    <t>16.11.23</t>
  </si>
  <si>
    <t>שני צמיגים קד+פרונט</t>
  </si>
  <si>
    <t>2 צמיגים אח</t>
  </si>
  <si>
    <t>19.11.23</t>
  </si>
  <si>
    <t>21.11.23</t>
  </si>
  <si>
    <t>23.11.23</t>
  </si>
  <si>
    <t>26.11.23</t>
  </si>
  <si>
    <t>27.11.23</t>
  </si>
  <si>
    <t>30.11.23</t>
  </si>
  <si>
    <t>8.11.23</t>
  </si>
  <si>
    <t>הח צמיג מישלם מידה גדולה</t>
  </si>
  <si>
    <t>4.12.23</t>
  </si>
  <si>
    <t>פרונט + הח צמיג קד שמ</t>
  </si>
  <si>
    <t>הח 2 צמיגים קד+תקר</t>
  </si>
  <si>
    <t>3.12.23</t>
  </si>
  <si>
    <t>7.12.23</t>
  </si>
  <si>
    <t>תיקון גנט</t>
  </si>
  <si>
    <t>11.12.23</t>
  </si>
  <si>
    <t>הח צמיג אחורי ימני</t>
  </si>
  <si>
    <t>13.12.23</t>
  </si>
  <si>
    <t>טיפול 70</t>
  </si>
  <si>
    <t>15.12.23</t>
  </si>
  <si>
    <t>הח 2 צמיגים אחוריים</t>
  </si>
  <si>
    <t>19.12.23</t>
  </si>
  <si>
    <t>20.12.23</t>
  </si>
  <si>
    <t>הח צמיג אח ימ</t>
  </si>
  <si>
    <t>25.12.23</t>
  </si>
  <si>
    <t>24.12.23</t>
  </si>
  <si>
    <t>הח צמיג ימ קד כולל חצי חילוץ</t>
  </si>
  <si>
    <t>27.12.23</t>
  </si>
  <si>
    <t>28.12.23</t>
  </si>
  <si>
    <t>31.12.23</t>
  </si>
  <si>
    <t>טיפול 150 גדול</t>
  </si>
  <si>
    <t>31.12..23</t>
  </si>
  <si>
    <t>4.1.24</t>
  </si>
  <si>
    <t>טיפול 190</t>
  </si>
  <si>
    <t>8.1.24</t>
  </si>
  <si>
    <t>הח 2 צמיגים קד+פרונט</t>
  </si>
  <si>
    <t xml:space="preserve">פרונט+העברת צמיגים </t>
  </si>
  <si>
    <t>הח 1 צמיג קד</t>
  </si>
  <si>
    <t>9.1.24</t>
  </si>
  <si>
    <t>10.2.24</t>
  </si>
  <si>
    <t>טיפול 80 אלף</t>
  </si>
  <si>
    <t>18.1.24</t>
  </si>
  <si>
    <t>17.1.24</t>
  </si>
  <si>
    <t>29.1.24</t>
  </si>
  <si>
    <t>30.1.24</t>
  </si>
  <si>
    <t>2.2.24</t>
  </si>
  <si>
    <t>הח צמיג שמ אח</t>
  </si>
  <si>
    <t>1.2.24</t>
  </si>
  <si>
    <t>טיפול גדול 135 אלף</t>
  </si>
  <si>
    <t>4.2.24</t>
  </si>
  <si>
    <t>טיפול 24</t>
  </si>
  <si>
    <t>5.2.24</t>
  </si>
  <si>
    <t>טיפול 100 אלף, גדול</t>
  </si>
  <si>
    <t>14.2.24</t>
  </si>
  <si>
    <t>12.2.24</t>
  </si>
  <si>
    <t>טיפול 150 אלף</t>
  </si>
  <si>
    <t>טיפול 90</t>
  </si>
  <si>
    <t>15.2.24</t>
  </si>
  <si>
    <t>הכנה לטסט</t>
  </si>
  <si>
    <t>25.2.24</t>
  </si>
  <si>
    <t>איפוס תקלות רון שטיין</t>
  </si>
  <si>
    <t>29.2.24</t>
  </si>
  <si>
    <t>45366502</t>
  </si>
  <si>
    <t>18.2.24</t>
  </si>
  <si>
    <t>42948502</t>
  </si>
  <si>
    <t>20.2.24</t>
  </si>
  <si>
    <t>50258603</t>
  </si>
  <si>
    <t>8.2.24</t>
  </si>
  <si>
    <t>תקר+סידור שסתום</t>
  </si>
  <si>
    <t>6.3.24</t>
  </si>
  <si>
    <t>10.3.24</t>
  </si>
  <si>
    <t>13.3.24</t>
  </si>
  <si>
    <t>17.3.24</t>
  </si>
  <si>
    <t>טיפול 100</t>
  </si>
  <si>
    <t>14.3.24</t>
  </si>
  <si>
    <t>טיפול כללי</t>
  </si>
  <si>
    <t>21.3.24</t>
  </si>
  <si>
    <t>20.3.24</t>
  </si>
  <si>
    <t>הח טיימינג</t>
  </si>
  <si>
    <t>אורי אביקר- רכב חלופי</t>
  </si>
  <si>
    <t>31.3.24</t>
  </si>
  <si>
    <t>26.3.24</t>
  </si>
  <si>
    <t>2.4.24</t>
  </si>
  <si>
    <t>1.4.24</t>
  </si>
  <si>
    <t>3.4.24</t>
  </si>
  <si>
    <t>4.4.24</t>
  </si>
  <si>
    <t>7.4.24</t>
  </si>
  <si>
    <t>8.4.24</t>
  </si>
  <si>
    <t>טיפול 130</t>
  </si>
  <si>
    <t>17.4.24</t>
  </si>
  <si>
    <t>טיפול 20</t>
  </si>
  <si>
    <t>25.4.24</t>
  </si>
  <si>
    <t>1.5.24</t>
  </si>
  <si>
    <t>19.4.24</t>
  </si>
  <si>
    <t>30.4.24</t>
  </si>
  <si>
    <t>שחר גרשון</t>
  </si>
  <si>
    <t>2.5.24</t>
  </si>
  <si>
    <t>6.5.24</t>
  </si>
  <si>
    <t>12.5.24</t>
  </si>
  <si>
    <t>9.5.24</t>
  </si>
  <si>
    <t>מילוי גז</t>
  </si>
  <si>
    <t>8.5.24</t>
  </si>
  <si>
    <t>13.5.24</t>
  </si>
  <si>
    <t>צמיג קד שמ</t>
  </si>
  <si>
    <t>15.5.24</t>
  </si>
  <si>
    <t>מצבר ו4 צמיגים</t>
  </si>
  <si>
    <t>16.5.24</t>
  </si>
  <si>
    <t>הח צמיג ימ אח</t>
  </si>
  <si>
    <t>21.5.24</t>
  </si>
  <si>
    <t>22.5.24</t>
  </si>
  <si>
    <t>פחחות לנזקים קודמים</t>
  </si>
  <si>
    <t>לאוניד מרחסין- באישור אלירן</t>
  </si>
  <si>
    <t>28.5.24</t>
  </si>
  <si>
    <t>תיקון לרכב+הח מגבים</t>
  </si>
  <si>
    <t>27.5.24</t>
  </si>
  <si>
    <t>19.5.24</t>
  </si>
  <si>
    <t xml:space="preserve">תיקון פחחות לרכב של </t>
  </si>
  <si>
    <t>3.6.24</t>
  </si>
  <si>
    <t>5.6.24</t>
  </si>
  <si>
    <t>9.6.24</t>
  </si>
  <si>
    <t>טיפול שנתי</t>
  </si>
  <si>
    <t>10.6.24</t>
  </si>
  <si>
    <t>חודש מרץ</t>
  </si>
  <si>
    <t>ניצן רגיאנו- חיוב שלא חוייב במרץ</t>
  </si>
  <si>
    <t>13.6.24</t>
  </si>
  <si>
    <t>צמיג ימ קד</t>
  </si>
  <si>
    <t>16.6.24</t>
  </si>
  <si>
    <t>טיפול+שינוע לטסט</t>
  </si>
  <si>
    <t>20.6.24</t>
  </si>
  <si>
    <t>23.6.24</t>
  </si>
  <si>
    <t>שינוע לרכב לתיקוון חלון</t>
  </si>
  <si>
    <t>25.6.24</t>
  </si>
  <si>
    <t>מילוי גז והחלפת מגב</t>
  </si>
  <si>
    <t>27.6.24</t>
  </si>
  <si>
    <t>החלפת פלגים</t>
  </si>
  <si>
    <t>אורי אביקר- זמני</t>
  </si>
  <si>
    <t xml:space="preserve">2 צמיגים אח </t>
  </si>
  <si>
    <t>1.7.24</t>
  </si>
  <si>
    <t>הח מגבים-התקבל זיכוי בגין שינוע שחוייב ללא צדק</t>
  </si>
  <si>
    <t>2.7.24</t>
  </si>
  <si>
    <t>8.7.24</t>
  </si>
  <si>
    <t>הח נורות</t>
  </si>
  <si>
    <t>7.7.24</t>
  </si>
  <si>
    <t xml:space="preserve"> הכנה לטסט</t>
  </si>
  <si>
    <t>11.7.24</t>
  </si>
  <si>
    <t>הח מצתים</t>
  </si>
  <si>
    <t>הח מדחס ורצועת מנוע</t>
  </si>
  <si>
    <t>15.7.24</t>
  </si>
  <si>
    <t xml:space="preserve">טיפול 135 </t>
  </si>
  <si>
    <t>הח 2 צמיגים קד בלאי,ימ אח חוסר אוויר</t>
  </si>
  <si>
    <t>רועי כהן והראל דרוקר</t>
  </si>
  <si>
    <t>14.7.24</t>
  </si>
  <si>
    <t>הח רפידות בלם</t>
  </si>
  <si>
    <t>18.7.24</t>
  </si>
  <si>
    <t>צמיג אח שמ החלפה עקב נזק עובד-נשלח מייל</t>
  </si>
  <si>
    <t>21.7.24</t>
  </si>
  <si>
    <t>הח יחידת בקרה</t>
  </si>
  <si>
    <t>מצבר+ידית כוח הייתה שבורה</t>
  </si>
  <si>
    <t>רועי כהן</t>
  </si>
  <si>
    <t>23.7.24</t>
  </si>
  <si>
    <t>הח צמיג עקב תקר בדופן הצמיג</t>
  </si>
  <si>
    <t>25.7.24</t>
  </si>
  <si>
    <t>26.7.24</t>
  </si>
  <si>
    <t>30.7.24</t>
  </si>
  <si>
    <t>31.7.24</t>
  </si>
  <si>
    <t>1.8.24</t>
  </si>
  <si>
    <t>4.8.24</t>
  </si>
  <si>
    <t>5.8.24</t>
  </si>
  <si>
    <t>הח צמיג קד ימ+העברה</t>
  </si>
  <si>
    <t>טיפול 63 אלף</t>
  </si>
  <si>
    <t>6.8.24</t>
  </si>
  <si>
    <t>חילוץ+התקנת מצבר חדש</t>
  </si>
  <si>
    <t>7.8.24</t>
  </si>
  <si>
    <t>14.8.24</t>
  </si>
  <si>
    <t>16.8.24</t>
  </si>
  <si>
    <t>15.8.24</t>
  </si>
  <si>
    <t>19.8.24</t>
  </si>
  <si>
    <t>הח זוג צמיגים קד</t>
  </si>
  <si>
    <t>22.8.24</t>
  </si>
  <si>
    <t>25.8.24</t>
  </si>
  <si>
    <t>26.8.24</t>
  </si>
  <si>
    <t>27.8.24</t>
  </si>
  <si>
    <t>28.8.24</t>
  </si>
  <si>
    <t xml:space="preserve">טיפול 15 </t>
  </si>
  <si>
    <t>הח 3 צמיגים- 2 אחוריים ואחד קד שמ</t>
  </si>
  <si>
    <t>29.8.24</t>
  </si>
  <si>
    <t>3.9.24</t>
  </si>
  <si>
    <t>ניקוי וכוון בלמים</t>
  </si>
  <si>
    <t>4.9.24</t>
  </si>
  <si>
    <t>8.9.24</t>
  </si>
  <si>
    <t>10.9.24</t>
  </si>
  <si>
    <t>11.9.24</t>
  </si>
  <si>
    <t>טיפול 180</t>
  </si>
  <si>
    <t>12.9.24</t>
  </si>
  <si>
    <t>הח צמיג שמ קד</t>
  </si>
  <si>
    <t>15.9.24</t>
  </si>
  <si>
    <t>נדב דהן</t>
  </si>
  <si>
    <t>תכנות מצמדים וניקוי אי גי אר</t>
  </si>
  <si>
    <t>16.9.24</t>
  </si>
  <si>
    <t>הח צמיג קד ימ+תקר</t>
  </si>
  <si>
    <t>17.9.24</t>
  </si>
  <si>
    <t>צמיג קד ימ ואח ימ</t>
  </si>
  <si>
    <t>18.9.24</t>
  </si>
  <si>
    <t>צמיג אח שמ</t>
  </si>
  <si>
    <t>טיפול 145</t>
  </si>
  <si>
    <t>20.9.24</t>
  </si>
  <si>
    <t>הח 2 צמיגים קד ופרונט</t>
  </si>
  <si>
    <t>22.9.24</t>
  </si>
  <si>
    <t>תקר צמיג קד ימ</t>
  </si>
  <si>
    <t>25.9.24</t>
  </si>
  <si>
    <t>29.9.24</t>
  </si>
  <si>
    <t>30.9.24</t>
  </si>
  <si>
    <t>זיכוי בגין 1000 ₪ לרכב של נעם פישר 45366702- 1</t>
  </si>
  <si>
    <t>6.10.24</t>
  </si>
  <si>
    <t>טיפול 140+כוון פרונט</t>
  </si>
  <si>
    <t>7.10.24</t>
  </si>
  <si>
    <t>10.10.24</t>
  </si>
  <si>
    <t>14.10.24</t>
  </si>
  <si>
    <t>תקר +הח גאנט+פרונט</t>
  </si>
  <si>
    <t>16.10.24</t>
  </si>
  <si>
    <t>מוסך רון שטיין</t>
  </si>
  <si>
    <t>21.10.24</t>
  </si>
  <si>
    <t>23.10.24</t>
  </si>
  <si>
    <t>27.10.24</t>
  </si>
  <si>
    <t>הח מצבר סטארט סטופ</t>
  </si>
  <si>
    <t>28.10.24</t>
  </si>
  <si>
    <t>טיפול 145+הח צינור טורבו</t>
  </si>
  <si>
    <t>30.10.24</t>
  </si>
  <si>
    <t>31.10.24</t>
  </si>
  <si>
    <t xml:space="preserve">טיפול 45 </t>
  </si>
  <si>
    <t>3.11.24</t>
  </si>
  <si>
    <t>5.11.24</t>
  </si>
  <si>
    <t>6.11.24</t>
  </si>
  <si>
    <t>13.11.24</t>
  </si>
  <si>
    <t>צור לנס-ללא חיוב, קיזוז מזיכוי של גיא על צמיג של נעם פישר</t>
  </si>
  <si>
    <t>17.11.24</t>
  </si>
  <si>
    <t>הח מגב אחורי</t>
  </si>
  <si>
    <t>18.11.24</t>
  </si>
  <si>
    <t>28.11.24</t>
  </si>
  <si>
    <t xml:space="preserve"> מתן לוי</t>
  </si>
  <si>
    <t>1.12.24</t>
  </si>
  <si>
    <t>4.12.24</t>
  </si>
  <si>
    <t>3.12.24</t>
  </si>
  <si>
    <t>הח צמיג +חילוץ</t>
  </si>
  <si>
    <t>9.12.24</t>
  </si>
  <si>
    <t>טיפול 120  +שטיפה</t>
  </si>
  <si>
    <t>10.12.24</t>
  </si>
  <si>
    <t>17.12.24</t>
  </si>
  <si>
    <t>22.12.24</t>
  </si>
  <si>
    <t>חילוץ דרך לרכב שלא מניע</t>
  </si>
  <si>
    <t>24.12.24</t>
  </si>
  <si>
    <t>הח' ברקסים</t>
  </si>
  <si>
    <t>26.12.24</t>
  </si>
  <si>
    <t>29.12.24</t>
  </si>
  <si>
    <t xml:space="preserve">טיפול 120 </t>
  </si>
  <si>
    <t>איפוס חיישן לחץ אוויר</t>
  </si>
  <si>
    <t>הח צינור נשם</t>
  </si>
  <si>
    <t>הח 2 צמיגים אח ותקר</t>
  </si>
  <si>
    <t>2.1.25</t>
  </si>
  <si>
    <t>5.1.25</t>
  </si>
  <si>
    <t>יציאה לטסט</t>
  </si>
  <si>
    <t>אבחון תקלות מנוע והחלפת מגבים</t>
  </si>
  <si>
    <t>8.1.25</t>
  </si>
  <si>
    <t>החלפת מצבר+ שירות דרך</t>
  </si>
  <si>
    <t>12.1.25</t>
  </si>
  <si>
    <t>14.1.25</t>
  </si>
  <si>
    <t xml:space="preserve">הח צמיג קד ימ </t>
  </si>
  <si>
    <t>הח טרמוסטט- אין הנחה של 10 אחוז עקב מחיר קנייה יקר של המוסך, מתועד במייל</t>
  </si>
  <si>
    <t>15.1.25</t>
  </si>
  <si>
    <t>בדיקת מחשב לתקלה</t>
  </si>
  <si>
    <t>הח 2 צמיגים קדמיים</t>
  </si>
  <si>
    <t>19.1.25</t>
  </si>
  <si>
    <t>טיפול 75+הח בית מנוורה</t>
  </si>
  <si>
    <t>20.1.25</t>
  </si>
  <si>
    <t>טיפול שנתי/95 אלף</t>
  </si>
  <si>
    <t>22.1.25</t>
  </si>
  <si>
    <t>23.1.25</t>
  </si>
  <si>
    <t>טיפול 150</t>
  </si>
  <si>
    <t>28.1.25</t>
  </si>
  <si>
    <t>טיפול 120 (גדול)</t>
  </si>
  <si>
    <t>2.2.25</t>
  </si>
  <si>
    <t xml:space="preserve">הח צמיג אח ימ </t>
  </si>
  <si>
    <t xml:space="preserve">הח צמיג </t>
  </si>
  <si>
    <t>תקר בצמיג</t>
  </si>
  <si>
    <t>29.1.25</t>
  </si>
  <si>
    <t>3.2.25</t>
  </si>
  <si>
    <t>9.2.25</t>
  </si>
  <si>
    <t>11.2.25</t>
  </si>
  <si>
    <t>הח צמיג קד שמ</t>
  </si>
  <si>
    <t>12.2.25</t>
  </si>
  <si>
    <t>עדיאל בר משה</t>
  </si>
  <si>
    <t>16.2.25</t>
  </si>
  <si>
    <t>17.2.25</t>
  </si>
  <si>
    <t>הח צמיג אח ימ+תקר</t>
  </si>
  <si>
    <t>18.2.25</t>
  </si>
  <si>
    <t>24.2.25</t>
  </si>
  <si>
    <t>23.2.25</t>
  </si>
  <si>
    <t>3.3.25</t>
  </si>
  <si>
    <t>החלפת צמיג קד ימ</t>
  </si>
  <si>
    <t>6.3.25</t>
  </si>
  <si>
    <t>עדיאל</t>
  </si>
  <si>
    <t>9.3.25</t>
  </si>
  <si>
    <t>4.3.25</t>
  </si>
  <si>
    <t>13.3.25</t>
  </si>
  <si>
    <t>16.3.25</t>
  </si>
  <si>
    <t>23.3.25</t>
  </si>
  <si>
    <t>25.3.25</t>
  </si>
  <si>
    <t>28.3.25</t>
  </si>
  <si>
    <t>1.4.25</t>
  </si>
  <si>
    <t>10.4.25</t>
  </si>
  <si>
    <t xml:space="preserve">טיפול 115 </t>
  </si>
  <si>
    <t>9.4.25</t>
  </si>
  <si>
    <t xml:space="preserve">ניקוי מערכת DPF </t>
  </si>
  <si>
    <t>17.4.25</t>
  </si>
  <si>
    <t>22.4.25</t>
  </si>
  <si>
    <t>23.4.25</t>
  </si>
  <si>
    <t>27.4.25</t>
  </si>
  <si>
    <t xml:space="preserve">הח 2 צמיגים </t>
  </si>
  <si>
    <t>25.4.25</t>
  </si>
  <si>
    <t>טיפול 10,000</t>
  </si>
  <si>
    <t>24.4.25</t>
  </si>
  <si>
    <t>הח מאוורר מנוע</t>
  </si>
  <si>
    <t>29.4.25</t>
  </si>
  <si>
    <t>4.5.25</t>
  </si>
  <si>
    <t>טיפול 165</t>
  </si>
  <si>
    <t>5.5.25</t>
  </si>
  <si>
    <t>תקר וצמיג אח ימ</t>
  </si>
  <si>
    <t>דימה ויימן (רשלנות נהג-נהיגה בחוסר אוויר )</t>
  </si>
  <si>
    <t>6.5.25</t>
  </si>
  <si>
    <t>מצבר+2 צמיגים קד ופרונט</t>
  </si>
  <si>
    <t>7.5.25</t>
  </si>
  <si>
    <t>8.5.25</t>
  </si>
  <si>
    <t>11.5.25</t>
  </si>
  <si>
    <t>הח צמיגים קדמיים</t>
  </si>
  <si>
    <t>12.5.25</t>
  </si>
  <si>
    <t>14.5.25</t>
  </si>
  <si>
    <t xml:space="preserve">גילי אלמגור </t>
  </si>
  <si>
    <t>18.1.25</t>
  </si>
  <si>
    <t>19.5.25</t>
  </si>
  <si>
    <t>21.5.25</t>
  </si>
  <si>
    <t>20.5.25</t>
  </si>
  <si>
    <t>23.5.25</t>
  </si>
  <si>
    <t>26.5.25</t>
  </si>
  <si>
    <t>טיפול 72</t>
  </si>
  <si>
    <t>25.5.25</t>
  </si>
  <si>
    <t>תיקון ריח במזגן</t>
  </si>
  <si>
    <t>29.5.25</t>
  </si>
  <si>
    <t>הח מגן תחתון וניקוי מצערת</t>
  </si>
  <si>
    <t>הח נורות ראשיות+שקע</t>
  </si>
  <si>
    <t>13.5.25</t>
  </si>
  <si>
    <t>דניאל כחלון</t>
  </si>
  <si>
    <t>30.5.25</t>
  </si>
  <si>
    <t>4.6.25</t>
  </si>
  <si>
    <t>טיפול ברקסים</t>
  </si>
  <si>
    <t>8.6.25</t>
  </si>
  <si>
    <t>15.6.25</t>
  </si>
  <si>
    <t>5.6.25</t>
  </si>
  <si>
    <t>קיילי פרכטמן</t>
  </si>
  <si>
    <t>7.6.25</t>
  </si>
  <si>
    <t xml:space="preserve">מצבר </t>
  </si>
  <si>
    <t>9.6.25</t>
  </si>
  <si>
    <t xml:space="preserve">טיפול 105 אלף </t>
  </si>
  <si>
    <t xml:space="preserve">מתן לוי </t>
  </si>
  <si>
    <t>12.6.25</t>
  </si>
  <si>
    <t>17.6.25</t>
  </si>
  <si>
    <t>שינוע להחלפת מספר מנוע ברישוי</t>
  </si>
  <si>
    <t>22.6.25</t>
  </si>
  <si>
    <t>צמיג קדמי ימני ותקר</t>
  </si>
  <si>
    <t>פרונט</t>
  </si>
  <si>
    <t xml:space="preserve">הח מצבר </t>
  </si>
  <si>
    <t>26.6.25</t>
  </si>
  <si>
    <t>27.6.25</t>
  </si>
  <si>
    <t xml:space="preserve">2 צמיגים קד ופרונט </t>
  </si>
  <si>
    <t>29.6.25</t>
  </si>
  <si>
    <t>אבחון תקלות והחלפת חיישן לחץ בממיר</t>
  </si>
  <si>
    <t>11.6.25</t>
  </si>
  <si>
    <t>2 צמיגים</t>
  </si>
  <si>
    <t xml:space="preserve">אור בידוש נזק לנגרר </t>
  </si>
  <si>
    <t>2.7.25</t>
  </si>
  <si>
    <t>הח 2 צמיגים קד ואחורי שמאלי</t>
  </si>
  <si>
    <t>6.7.25</t>
  </si>
  <si>
    <t>הח צמיג קד ימני</t>
  </si>
  <si>
    <t xml:space="preserve">רוית לוז </t>
  </si>
  <si>
    <t>העברת טסט</t>
  </si>
  <si>
    <t>טיפול וטסט</t>
  </si>
  <si>
    <t>9.7.25</t>
  </si>
  <si>
    <t>2 צמיגים אחוריים+תקר+מצבר</t>
  </si>
  <si>
    <t>יוחאי תירוש</t>
  </si>
  <si>
    <t>14.7.25</t>
  </si>
  <si>
    <t>16.7.25</t>
  </si>
  <si>
    <t>תקר צמיג קד ימ+2 צמיגים</t>
  </si>
  <si>
    <t>13.7.25</t>
  </si>
  <si>
    <t>שינוע רכב לטיפול</t>
  </si>
  <si>
    <t>21.7.25</t>
  </si>
  <si>
    <t xml:space="preserve">שינוע להחלפת חלון </t>
  </si>
  <si>
    <t>28.7.25</t>
  </si>
  <si>
    <t>30.7.25</t>
  </si>
  <si>
    <t>1.7.25</t>
  </si>
  <si>
    <t>17.7.25</t>
  </si>
  <si>
    <t xml:space="preserve">שחר כהן </t>
  </si>
  <si>
    <t>5.8.25</t>
  </si>
  <si>
    <t>10.8.25</t>
  </si>
  <si>
    <t>7.8.25</t>
  </si>
  <si>
    <t>הח 3 צמיגים ברכב</t>
  </si>
  <si>
    <t>טיפול 135 אלף</t>
  </si>
  <si>
    <t>11.8.25</t>
  </si>
  <si>
    <t>13.8.25</t>
  </si>
  <si>
    <t>הח קד שמ ו2 אחוריים</t>
  </si>
  <si>
    <t>18.8.25</t>
  </si>
  <si>
    <t>19.8.25</t>
  </si>
  <si>
    <t>טיפול  195</t>
  </si>
  <si>
    <t>איזון גלגלים</t>
  </si>
  <si>
    <t>22.8.25</t>
  </si>
  <si>
    <t xml:space="preserve">דניאל כחלון (לא נשלח בזמן ) </t>
  </si>
  <si>
    <t>27.8.25</t>
  </si>
  <si>
    <t>ברקסים</t>
  </si>
  <si>
    <t>15.8.25</t>
  </si>
  <si>
    <t>תיקון מצתים</t>
  </si>
  <si>
    <t>4.9.25</t>
  </si>
  <si>
    <t>תקר מחודש יולי שלא חוייב</t>
  </si>
  <si>
    <t>9.9.25</t>
  </si>
  <si>
    <t>11.9.25</t>
  </si>
  <si>
    <t>22.9.25</t>
  </si>
  <si>
    <t>תיקון דרך מרכב תחתון</t>
  </si>
  <si>
    <t>25.9.25</t>
  </si>
  <si>
    <t>סוללה לשלט</t>
  </si>
  <si>
    <t xml:space="preserve">מתן סידי </t>
  </si>
  <si>
    <t>29.9.25</t>
  </si>
  <si>
    <t>28.9.25</t>
  </si>
  <si>
    <t>אוק' 25</t>
  </si>
  <si>
    <t>4.10.25</t>
  </si>
  <si>
    <t>5.10.25</t>
  </si>
  <si>
    <t xml:space="preserve">צמיג קד שמ (תקר בצד ונסיעה ללא אוויר) ותקר </t>
  </si>
  <si>
    <t>הראל דרוקר - להוציא מייל</t>
  </si>
  <si>
    <t>6.10.25</t>
  </si>
  <si>
    <t xml:space="preserve">צמיג אח שמ- קרע </t>
  </si>
  <si>
    <t>נדב דהן-להוציא מייל</t>
  </si>
  <si>
    <t xml:space="preserve">טיפול 140 </t>
  </si>
  <si>
    <t>16.10.25</t>
  </si>
  <si>
    <t xml:space="preserve">צמיג קד ימ - נזק עובד, עברה כמעט שנה ועובד בד"כ בסדר לכן לא פורסם במייל </t>
  </si>
  <si>
    <t>21.10.25</t>
  </si>
  <si>
    <t>טיפול 80 אלף+תקלת אוריאה</t>
  </si>
  <si>
    <t>20.10.25</t>
  </si>
  <si>
    <t xml:space="preserve">טיפול 25 </t>
  </si>
  <si>
    <t>26.10.25</t>
  </si>
  <si>
    <t>הח מצבר באחריות באישור אלירן</t>
  </si>
  <si>
    <t>23.10.25</t>
  </si>
  <si>
    <t>27.10.25</t>
  </si>
  <si>
    <t>צמיג קד ימ - נזק עובד</t>
  </si>
  <si>
    <t>12.8.25</t>
  </si>
  <si>
    <t>28.10.25</t>
  </si>
  <si>
    <t>30.10.25</t>
  </si>
  <si>
    <t>הח מנורה ראשית</t>
  </si>
  <si>
    <t xml:space="preserve">טיפול 135+החלפת תופסן לחגורה </t>
  </si>
  <si>
    <t>טיפול 45000</t>
  </si>
  <si>
    <t>29.10.25</t>
  </si>
  <si>
    <t>31.10.25</t>
  </si>
  <si>
    <t xml:space="preserve">אמיר אבנון </t>
  </si>
  <si>
    <t>4.11.25</t>
  </si>
  <si>
    <t>5.11.25</t>
  </si>
  <si>
    <t xml:space="preserve">הח 2 צמיגים  </t>
  </si>
  <si>
    <t>6.1.25</t>
  </si>
  <si>
    <t>2 צמיגים החלפה</t>
  </si>
  <si>
    <t>6.11.25</t>
  </si>
  <si>
    <t xml:space="preserve">הראל דרוקר </t>
  </si>
  <si>
    <t>10.11.25</t>
  </si>
  <si>
    <t>הח 2 צמיגים קדמיים+פרונט</t>
  </si>
  <si>
    <t>הח 2  צמיגים קדמיים+תקר +פרונט</t>
  </si>
  <si>
    <t xml:space="preserve">הח סוללה לשלט </t>
  </si>
  <si>
    <t>17.11.25</t>
  </si>
  <si>
    <t>הח 2 צמיגים קד והח מגבים</t>
  </si>
  <si>
    <t>19.11.25</t>
  </si>
  <si>
    <t xml:space="preserve">הח צמיג אח שמ </t>
  </si>
  <si>
    <t>25.11.25</t>
  </si>
  <si>
    <t>12.11.25</t>
  </si>
  <si>
    <t>26.11.25</t>
  </si>
  <si>
    <t>הח 2 מצברים יחיאל- רק עלות עבודה</t>
  </si>
  <si>
    <t xml:space="preserve">יחיאל- ללא עלות המצברים שילמנו על זה כבר </t>
  </si>
  <si>
    <t>27.11.25</t>
  </si>
  <si>
    <t>הח מצמדים לרכב</t>
  </si>
  <si>
    <t>30.11.26</t>
  </si>
  <si>
    <t>הח 2 צמיגים קד'</t>
  </si>
  <si>
    <t xml:space="preserve">עדי גלסמן </t>
  </si>
  <si>
    <t>7.12.25</t>
  </si>
  <si>
    <t>8.12.25</t>
  </si>
  <si>
    <t xml:space="preserve">הח מגן גחון </t>
  </si>
  <si>
    <t>10.12.25</t>
  </si>
  <si>
    <t xml:space="preserve">הוד נהריה </t>
  </si>
  <si>
    <t xml:space="preserve">הח 2 צמיגים ימניים </t>
  </si>
  <si>
    <t xml:space="preserve">הח 2 צמיגים קד </t>
  </si>
  <si>
    <t xml:space="preserve">דניאל כחלון </t>
  </si>
  <si>
    <t>19.12.25</t>
  </si>
  <si>
    <t>טיפול תקופתי+הח ברקסים</t>
  </si>
  <si>
    <t>21.12.25</t>
  </si>
  <si>
    <t>23.12.25</t>
  </si>
  <si>
    <t>נתנאל חזן</t>
  </si>
  <si>
    <t xml:space="preserve">הח 2 צמיגים- לא חוייב באוקטובר </t>
  </si>
  <si>
    <t>רכב לשעבר דימה</t>
  </si>
  <si>
    <t>מגבים</t>
  </si>
  <si>
    <t>איתן כהן</t>
  </si>
  <si>
    <t>29.12.25</t>
  </si>
  <si>
    <t>1.1.26</t>
  </si>
  <si>
    <t xml:space="preserve">נדב ברקן </t>
  </si>
  <si>
    <t>6.1.26</t>
  </si>
  <si>
    <t xml:space="preserve">טיפול לרכב 75 אלף </t>
  </si>
  <si>
    <t>8.1.26</t>
  </si>
  <si>
    <t>חשמל</t>
  </si>
  <si>
    <t>12.1.26</t>
  </si>
  <si>
    <t>18.1.26</t>
  </si>
  <si>
    <t xml:space="preserve">טיפול 75 </t>
  </si>
  <si>
    <t>תיקון תאונה</t>
  </si>
  <si>
    <t xml:space="preserve">לאוניד מרחסין </t>
  </si>
  <si>
    <t xml:space="preserve">טיפול 75+זיכוי </t>
  </si>
  <si>
    <t>צמיג עקב תקר בדופן הצמיג</t>
  </si>
  <si>
    <t>מגבים אחורה וקדימה</t>
  </si>
  <si>
    <t>שינוע+טיפול 100 אלף</t>
  </si>
  <si>
    <t>טיפול 75 +מגב אחורי</t>
  </si>
  <si>
    <t>22.1.26</t>
  </si>
  <si>
    <t>הח צמיגים קדמיים+פרונט</t>
  </si>
  <si>
    <t xml:space="preserve">4 צמיגים ופרונט </t>
  </si>
  <si>
    <t>13.1.26</t>
  </si>
  <si>
    <t>מנורה ראשית</t>
  </si>
  <si>
    <t>28.1.26</t>
  </si>
  <si>
    <t>טיפול 175</t>
  </si>
  <si>
    <t xml:space="preserve">צמיג אח שמ </t>
  </si>
  <si>
    <t>27.2.26</t>
  </si>
  <si>
    <t>4.2.26</t>
  </si>
  <si>
    <t>11.2.26</t>
  </si>
  <si>
    <t>צמיג ימני אחורי</t>
  </si>
  <si>
    <t>נאמן מוטורס</t>
  </si>
  <si>
    <t>10.2.26</t>
  </si>
  <si>
    <t>2.2.26</t>
  </si>
  <si>
    <t>טיפול 95</t>
  </si>
  <si>
    <t>הח חיישן לחץ דיפרנציאלי</t>
  </si>
  <si>
    <t xml:space="preserve">טיפול ברקסים </t>
  </si>
  <si>
    <t>17.2.23</t>
  </si>
  <si>
    <t>18.2.26</t>
  </si>
  <si>
    <t>מצבר+שירות דרך (עובד נתקע )</t>
  </si>
  <si>
    <t>נורה</t>
  </si>
  <si>
    <t>19.2.26</t>
  </si>
  <si>
    <t>26.2.26</t>
  </si>
  <si>
    <t xml:space="preserve">הח בולמים לרכב </t>
  </si>
  <si>
    <t>16.2.26</t>
  </si>
  <si>
    <t xml:space="preserve">בדיקת תקר ופוה צמיג </t>
  </si>
  <si>
    <t xml:space="preserve">זיכוי על תקר שלא בוצע </t>
  </si>
  <si>
    <t xml:space="preserve">מתן לוי- לא חוייב חודש קודם </t>
  </si>
  <si>
    <t>4.3.26</t>
  </si>
  <si>
    <t>הח 2 צמיגים קד ואח שמ</t>
  </si>
  <si>
    <t>8.3.26</t>
  </si>
  <si>
    <t xml:space="preserve">טיפול 60+טסט+שינוע </t>
  </si>
  <si>
    <t>5.3.26</t>
  </si>
  <si>
    <t>צמיגי געש</t>
  </si>
  <si>
    <t xml:space="preserve">ביצוע טסט+שינוע+אגרת מסלול </t>
  </si>
  <si>
    <t xml:space="preserve">טסט+שטיפה+שינוע </t>
  </si>
  <si>
    <t xml:space="preserve">צליל אזולאי- שטיפה באישור אורן סמנכל כספים </t>
  </si>
  <si>
    <t>10.3.26</t>
  </si>
  <si>
    <t xml:space="preserve">2 צמיגים קד+שמן בלם </t>
  </si>
  <si>
    <t>5.4.26</t>
  </si>
  <si>
    <t xml:space="preserve">טיפול 140+הח צירייה +רכב חלופי מוסך </t>
  </si>
  <si>
    <t>22.4.26</t>
  </si>
  <si>
    <t>24.4.26</t>
  </si>
  <si>
    <t xml:space="preserve">2 צמיגים אחורה </t>
  </si>
  <si>
    <t>2 צמיגים קדימה  החלפה</t>
  </si>
  <si>
    <t>הח 4 צמיגים לצורך מכירת רכב</t>
  </si>
  <si>
    <t>6.5.26</t>
  </si>
  <si>
    <t xml:space="preserve">צמיג החלפה נזק עובד </t>
  </si>
  <si>
    <t>10.5.26</t>
  </si>
  <si>
    <t>תקר וצמיג  אח ימ</t>
  </si>
  <si>
    <t>צמיגים קדמיים</t>
  </si>
  <si>
    <t>צמיגים אחוריים</t>
  </si>
  <si>
    <t xml:space="preserve">פיני בראט </t>
  </si>
  <si>
    <t>24.5.26</t>
  </si>
  <si>
    <t>27.5.26</t>
  </si>
  <si>
    <t>29.5.26</t>
  </si>
  <si>
    <t>טיפול גדול 120</t>
  </si>
  <si>
    <t>הח צמיג עקב תקר בדופן</t>
  </si>
  <si>
    <t xml:space="preserve">הח 2 צמיגים קדמיים ותקר </t>
  </si>
  <si>
    <t xml:space="preserve">דו"ח משטרה/עיריה  </t>
  </si>
  <si>
    <t xml:space="preserve">תאריך  עבירה </t>
  </si>
  <si>
    <t xml:space="preserve">העבירה  </t>
  </si>
  <si>
    <t xml:space="preserve">נקודות  </t>
  </si>
  <si>
    <t xml:space="preserve">קנס  כספי  </t>
  </si>
  <si>
    <t xml:space="preserve">שם העובד  </t>
  </si>
  <si>
    <t xml:space="preserve">רכב מס' </t>
  </si>
  <si>
    <t xml:space="preserve">ת.הגעה מהמשטרה </t>
  </si>
  <si>
    <t>הוסב על העובד בתאריך</t>
  </si>
  <si>
    <t xml:space="preserve">אישור  הסבה </t>
  </si>
  <si>
    <t xml:space="preserve">הערות </t>
  </si>
  <si>
    <t>19.4.21</t>
  </si>
  <si>
    <t>מהירות  34 קמ"ש</t>
  </si>
  <si>
    <t>1500/6000</t>
  </si>
  <si>
    <t>דימה ויינמן</t>
  </si>
  <si>
    <t>22.8.21</t>
  </si>
  <si>
    <t>25.8.21</t>
  </si>
  <si>
    <t>14.11.21</t>
  </si>
  <si>
    <t xml:space="preserve">מהירות 33 קמ"ש </t>
  </si>
  <si>
    <t>1500/600</t>
  </si>
  <si>
    <t>15.11.21</t>
  </si>
  <si>
    <t>.</t>
  </si>
  <si>
    <t>5.12.21</t>
  </si>
  <si>
    <t>500/2000</t>
  </si>
  <si>
    <t>15.2.22</t>
  </si>
  <si>
    <t>25.12.21</t>
  </si>
  <si>
    <t xml:space="preserve">מהירות 31 </t>
  </si>
  <si>
    <t>6000/1500</t>
  </si>
  <si>
    <t xml:space="preserve">אדם ייבדייב </t>
  </si>
  <si>
    <t>24.1.22</t>
  </si>
  <si>
    <t>10.3.22</t>
  </si>
  <si>
    <t>מהירות 23</t>
  </si>
  <si>
    <t>250/1000</t>
  </si>
  <si>
    <t>23.2.22</t>
  </si>
  <si>
    <t>מהירות 27</t>
  </si>
  <si>
    <t>750/3000</t>
  </si>
  <si>
    <t>2.1.222</t>
  </si>
  <si>
    <t>דיבור בטלפון</t>
  </si>
  <si>
    <t>1000/4000</t>
  </si>
  <si>
    <t>2.1.22</t>
  </si>
  <si>
    <t xml:space="preserve">עיינה  וקסלר </t>
  </si>
  <si>
    <t>4.4.22</t>
  </si>
  <si>
    <t>21.7.21</t>
  </si>
  <si>
    <t xml:space="preserve">נהיגה  לא בכביש </t>
  </si>
  <si>
    <t>25.7.22</t>
  </si>
  <si>
    <t>26.7.22</t>
  </si>
  <si>
    <t>26.2.22</t>
  </si>
  <si>
    <t>מהירות 21-30</t>
  </si>
  <si>
    <t>הוקפא ע"י צליל  26.2.22</t>
  </si>
  <si>
    <t>19.3.22</t>
  </si>
  <si>
    <t>29.8.22</t>
  </si>
  <si>
    <t>אי ציות ל815,עבר על פני שטח מסומן</t>
  </si>
  <si>
    <t>1.3.22 ת. סוף תשלום</t>
  </si>
  <si>
    <t>03.10.22</t>
  </si>
  <si>
    <t>מהירות 116 במקום 90</t>
  </si>
  <si>
    <t>דוח חנייה</t>
  </si>
  <si>
    <t>ת.סוף תשלום 30.11.23</t>
  </si>
  <si>
    <t xml:space="preserve">
3376366-6</t>
  </si>
  <si>
    <t>29.7.21
12.11.21</t>
  </si>
  <si>
    <t>מפרט דוחות חנייה</t>
  </si>
  <si>
    <t xml:space="preserve">יריב
עיינה </t>
  </si>
  <si>
    <t>76376301
64078501</t>
  </si>
  <si>
    <t>יריב מחכה להתפתחויות-טרם השיב, יריב שילם דוח 5.2.25
עיינה שילמה את הדו"ח ב11.2.25</t>
  </si>
  <si>
    <t>2001476159
2001508886</t>
  </si>
  <si>
    <t>24.6.22
14.8.22</t>
  </si>
  <si>
    <t>נת"צ
נת"צ</t>
  </si>
  <si>
    <t>אולה
רעות בן עזרי</t>
  </si>
  <si>
    <t>30327902
85045702</t>
  </si>
  <si>
    <t>הוסב על אולה
הדוח של רעות בוטל</t>
  </si>
  <si>
    <t xml:space="preserve">
30386767
28484368</t>
  </si>
  <si>
    <t xml:space="preserve">
2.6.22
15.1.22</t>
  </si>
  <si>
    <t>חנייה</t>
  </si>
  <si>
    <t xml:space="preserve">
250-מקור
387</t>
  </si>
  <si>
    <t xml:space="preserve">
אלירן אביטן
</t>
  </si>
  <si>
    <t xml:space="preserve">
75170102
64079101</t>
  </si>
  <si>
    <t>אלירן אמר שבטיפול שלו
לא ניתן להסב-דוחות ישנים, שולם 13.5.24 ע"י אלירן</t>
  </si>
  <si>
    <t>2.10.23</t>
  </si>
  <si>
    <t>נתצ</t>
  </si>
  <si>
    <t>אלכס גרינברג</t>
  </si>
  <si>
    <t>76644701
83027002</t>
  </si>
  <si>
    <t>17.7.22
17.7.22</t>
  </si>
  <si>
    <t>384.35
396.35</t>
  </si>
  <si>
    <t>אנטון פבלנקו
רון אלקיים</t>
  </si>
  <si>
    <t>13598610
13598818</t>
  </si>
  <si>
    <t>דוחוח ישנים שהגיעו למשרדינו מאוחר
מחכה לתשובה ממועצת עמק חפר
לגבי אפשרות תשלום עי העובדים</t>
  </si>
  <si>
    <t>לא ניתן להסב, דוח ישן</t>
  </si>
  <si>
    <t>21.8.23</t>
  </si>
  <si>
    <t>הוסב על העובד</t>
  </si>
  <si>
    <t>23.8.23</t>
  </si>
  <si>
    <t>פיקוח עירוני</t>
  </si>
  <si>
    <t>שולם ב13.2.24</t>
  </si>
  <si>
    <t>שולם ב28.1.24</t>
  </si>
  <si>
    <t>5.1.24</t>
  </si>
  <si>
    <t>יש צורך לבצע הסבה, עומד על 2000,נשלח בקשה להסבה 7.2.24, דוח הוסב ב29.2.24</t>
  </si>
  <si>
    <t>דוח טלפון</t>
  </si>
  <si>
    <t>יש צורך לבצע הסבה, עומד על 400נשלח בקשה להסבה 15.2.24, דוח הוסב 18.2.24</t>
  </si>
  <si>
    <t>רמזור אדום</t>
  </si>
  <si>
    <t>הראל ורועי</t>
  </si>
  <si>
    <t>יש צורך לבצע הסבה, נשלחה בקשה להסבה 28.2.24,דוח הוסב 6.3.24</t>
  </si>
  <si>
    <t>80574262
80927262</t>
  </si>
  <si>
    <t>14.7.22
8.12.22</t>
  </si>
  <si>
    <t xml:space="preserve">
חנייה-קרית אונו</t>
  </si>
  <si>
    <t>387.5
375</t>
  </si>
  <si>
    <t>31404802
31404802</t>
  </si>
  <si>
    <t>שולם 14.3.24</t>
  </si>
  <si>
    <t>13.1.24</t>
  </si>
  <si>
    <t>חנייה תל אביב</t>
  </si>
  <si>
    <t>יש צורך לבצע הסבה, הוגשה בקשה 5.3.24, בקשה אושרה ודוח הוסב 6.3.24</t>
  </si>
  <si>
    <t>5740935-2,2062288-3</t>
  </si>
  <si>
    <t>דוחות נתצ וחנייה</t>
  </si>
  <si>
    <t>נשלח בקשה להורדת כפל קנס, נשלח לעובדים לתשלום 20.2.25, נשלח אליי מפרט מעודכן ב20.2.25, נשארו 2 דוחות עופר ברקוביץ , נשלח בגין 2 הדוחות בבקשה להסבה לעובד 13.3.25, עירייה לא מוכנה להסב ועובד לא מוכן לשלם בלי לערער ובפועל לא ניתן לערער כי זה על שמנו, נשלח בקשה לאלירן מה לעשות 7.5.25 בוואטצאפ</t>
  </si>
  <si>
    <t>, שולמו דוחות עופר ב18.5.25</t>
  </si>
  <si>
    <t>15.4.24</t>
  </si>
  <si>
    <t>העמדת רכב במקום אסור-תל אביב</t>
  </si>
  <si>
    <t>נשלח מייל לעובדת 22.5.24, שולם דוח ב29.5.24</t>
  </si>
  <si>
    <t>24.5.22</t>
  </si>
  <si>
    <t>חנייה-אשדוד</t>
  </si>
  <si>
    <t>דוח שולם 23.5.24</t>
  </si>
  <si>
    <t>934891-8-5</t>
  </si>
  <si>
    <t>29.3.24</t>
  </si>
  <si>
    <t>עיריית הרצליה</t>
  </si>
  <si>
    <t>נשלח דוח לאוריאל מנדלסון להסדרת תשלום, שולם ב23.5.24</t>
  </si>
  <si>
    <t>3.5.24</t>
  </si>
  <si>
    <t>נשלח בקשה להסבה לעיריית תל אביב 29.5.24, נשלח לספיר נוהל רכב לחתימה, נשלח תיקון לעיריית ת"א 30.5.24, 
דוח הוסב ב5.6.24, נשלח עדכון לעובדת ב6.6.24</t>
  </si>
  <si>
    <t>נשלח דוח לעובד לצורך תשלום, 23.6.24, שולם 25.6.24</t>
  </si>
  <si>
    <t>הוגשה בקשה להסבה לעיריית רחובות ב25.6.24, הדוח הוסב ב 26.6.24</t>
  </si>
  <si>
    <t>342357-7-0</t>
  </si>
  <si>
    <t>נשלחה בקשה לאורי אביקר לתשלום הדוח חנייה ב12.7.24, מס אישור 9999999</t>
  </si>
  <si>
    <t>30.7.22</t>
  </si>
  <si>
    <t>תוספת 73 ₪ עקב פיגור בתשלום, דוח הונח על שמשת העובדת, נשלח לעובדת ב14.7.24, העובדת לא משתפת פעולה 15.10.24, נשלח מייל בנושא לאלירן 20.10.24,שולם ב19.12.24 ע"י החברה ויקוזז לעובדת מהשכר</t>
  </si>
  <si>
    <t xml:space="preserve">, </t>
  </si>
  <si>
    <t>נשלח מייל לעירייה לבדוק סטטוס האם שולם או לא, עיינה ראתה חיוב באשראי 5.8.24, שולם דוח 18.8.24</t>
  </si>
  <si>
    <t>נשלח עדכון לאתי 11.8.24, דוח שולם ע"י העובדת 12.8.24</t>
  </si>
  <si>
    <t>חן ביטון</t>
  </si>
  <si>
    <t>ישנה קרן של 268 שח בבירור מול לשכה משפטית, דוח הגיע אלינו באיחור ולא ניתן להסבה 14.8.24,דוח שולם ב4.9.24</t>
  </si>
  <si>
    <t>חנייה ראשון לציון</t>
  </si>
  <si>
    <t>עובד שילם דוח ב24.8.24</t>
  </si>
  <si>
    <t>נתצ תל אביב</t>
  </si>
  <si>
    <t>דוח נתצ, נשלחה בקשה להסבה לעיריית תל אביב 12.9.24</t>
  </si>
  <si>
    <t>יש להסב את הדוח על העובד, כרגע עומד על סכום תאגיד, נשלח טופס הסבה לליסקאר לצורך הסבה על הנהג, הוסב דוח 4.11.24</t>
  </si>
  <si>
    <t>20.8.24</t>
  </si>
  <si>
    <t>טלפון</t>
  </si>
  <si>
    <t>נשלחה בקשה להסבה 10.10.24+בקשה נוספת ב21.10.24, דוח הוסב על עובדת ב20.11.24</t>
  </si>
  <si>
    <t>נשלחה בקשה לעובד לשלם 15.10.24, עובד שילם דוח ב15.10.24</t>
  </si>
  <si>
    <t>16.11.24</t>
  </si>
  <si>
    <t>עובדת שילמה ב 17.11.24</t>
  </si>
  <si>
    <t>19.1.24</t>
  </si>
  <si>
    <t>חנייה עם ריבית פיגורים, עובדת אמרה שהיא מטפלת מול העירייה 1.1.25, שולם ב29.1.25 עי החברה ויקוזז חלק יחסי מהעובדת בשכר</t>
  </si>
  <si>
    <t>29.11.24</t>
  </si>
  <si>
    <t>מחכה לאישור הסבה על עובד,דוח הוסב ע"י ליסקאר 6.1.25</t>
  </si>
  <si>
    <t>26.1.25</t>
  </si>
  <si>
    <t>ממתין לחתימת טפסים ע"י העובד והסבת דוח 26.1.25, בוצעה הסבת דוח 3.2.25</t>
  </si>
  <si>
    <t>14.8.23</t>
  </si>
  <si>
    <t>דוח חנייה של אור סילם, ממתין שישלם , שולם 2.2.25</t>
  </si>
  <si>
    <t>נשלח לעובדת לתשלום ב5.2.25, שולם ב17.2.25 עי עובדת</t>
  </si>
  <si>
    <t>השארת רכב בגן</t>
  </si>
  <si>
    <t>נשלח לעובד לשלם דוח ב12.3.25, ניתן לשלם עד 28.5.25, נשלחה בקשה להסבה 13.3.25, יש להשלים תצהיר עובד טרם ענה לי 23.3.25, בוטל קנס על שם החברה 22.4.25</t>
  </si>
  <si>
    <t>27.1.25</t>
  </si>
  <si>
    <t xml:space="preserve">נשלחה בקשה להסבה ב13.3.25, דוח שולם עי העובד </t>
  </si>
  <si>
    <t>20.2.25</t>
  </si>
  <si>
    <t>נשלח דוח לעובד לתשלום הדוח, 17.3.25, שולם ב17.3.25</t>
  </si>
  <si>
    <t>19.2.25</t>
  </si>
  <si>
    <t>נשלח לעובדת טופס הסכמה להסבה 23.3.25, טרם מילאה , נשלח טופס הסבה 27.3.25, ליסקאר מסבים 1.4.25</t>
  </si>
  <si>
    <t xml:space="preserve">קו הפרדה רצוף </t>
  </si>
  <si>
    <t>נועם יוספוב</t>
  </si>
  <si>
    <t>יש להסב דוח משטרה , תוספת 6 נקודות , נשלחה בקשה להסבה ב31.3.25, נשלחה בקשה מתוקנת נוספת ב22.4.25,דוח הוסב 28.4.25</t>
  </si>
  <si>
    <t>נשלח לעובד ב21.4.25, ממתין שישלם , שולם ב27.4.25</t>
  </si>
  <si>
    <t>יש צורך להסב דוח , בוצעה הסבה 11.5.25,נשלח בירור לבקשה 26.6.25,שולם לאחר שיחה מול עיריית תל אביב במאי 25</t>
  </si>
  <si>
    <t>0250924-9</t>
  </si>
  <si>
    <t>נשלח דוח לעובדת, יש לשלם בסכומו המקורי 12.5.25, נשלח מייל לאלירן בנושא 21.7.25, שולם עי העובדת ב23.7.25</t>
  </si>
  <si>
    <t>0864554-2</t>
  </si>
  <si>
    <t>נשלח הודעה לעובד לתשלום 18.5.25, שולם עי העובד ב26.5.25</t>
  </si>
  <si>
    <t>0854194-9</t>
  </si>
  <si>
    <t>נשלח הודעה לעובד לתשלום 18.5.26, שולם ע"י העובד ב22.5.25</t>
  </si>
  <si>
    <t>24.10.24</t>
  </si>
  <si>
    <t xml:space="preserve">יש צורך בהסבה , נשלחה בקשה להסבה על מנת להוריד את סכום דוח התאגיד שהצטבר 26.5.25,נשלח בירור לבקשה 26.6.25, שולם על ידנו 1182 ב21.7.25, יש לגבות מהעובדת 500 ₪ מהשכר </t>
  </si>
  <si>
    <t>אריק לוקאר</t>
  </si>
  <si>
    <t>דוח עומד על סכומו המקורי, נשלח לעובד לתשלום בתאריך 21.5.25, שולם עי העובד ב26.5.25</t>
  </si>
  <si>
    <t>10.2.25</t>
  </si>
  <si>
    <t>מהירות עד 25 קמש</t>
  </si>
  <si>
    <t xml:space="preserve">מהירות יש להסב את הדוח , בוצעה הסבת דוח ב25.5.25, דוח הוסב 12.6.25 על העובד </t>
  </si>
  <si>
    <t xml:space="preserve">נשלחה בקשה להסבה לעובדת, הגיע באיחור תשלום עקב טעות בכתובת הדואר, נשלחה בקשה להחזר לתשלום המקורי 26.5.25, נשלח בירור לבקשה 26.6.25, שולם על ידנו 325 ב21.7.25, יש לחייב עובדת ב250 ₪ </t>
  </si>
  <si>
    <t>14.4.25</t>
  </si>
  <si>
    <t>סכום מקורי, נשלח לעובד לתשלום 26.6.25, עובד מעוניין בהסבה ממתין למסמכים שישלח אליי 26.6.25, נשלח תזכורת לעובד לתשלום ב21.7.25, שולם ב12.9.25</t>
  </si>
  <si>
    <t>יש צורך בהסבה הגיע כדוח תאגיד, נשלח לעובד לחתום על מסמכים 26.6.25, נשלח הסבה לדוח לעובד ב30.6.25, אושרה הסבה מעיריית תל אביב 09.7.25</t>
  </si>
  <si>
    <t>5.4.25</t>
  </si>
  <si>
    <t>נשלח לעובדת לתשלום, דוח עומד על סכומו המקורי 26.6.25, שולם על ידי אתי ב26.6.25</t>
  </si>
  <si>
    <t>30.3.25</t>
  </si>
  <si>
    <t>מהירות</t>
  </si>
  <si>
    <t>נשלחה בקשה להסבה לעובד 26.6.25,קיבלנו אישור על הסבת דוח 8.7.25</t>
  </si>
  <si>
    <t>31.1.25</t>
  </si>
  <si>
    <t>לא קיבלנו את הדוח, שלחתי פנייה למשטרה לקבל את הדוח , נשלח בקשה להסבה 30.6.25, לאחר מכתב שקיבלנו נשלחה בקשה נוספת להסבת הדוח על העובד 21.8.25, דיברתי עם אלירן ממתין לעדכונו 10.9.25, שולם הדוח ב21.9.25</t>
  </si>
  <si>
    <t xml:space="preserve">רשות שדות התעופה </t>
  </si>
  <si>
    <t>5.1.25
9.1.24</t>
  </si>
  <si>
    <t>87612102
50258603</t>
  </si>
  <si>
    <t>דוחות על הרכבים של יפתח ודותן צריכים לשלם , יפתח שילה ודותן סלע  שילמו ושלחו אישור תשלום 29.6.25</t>
  </si>
  <si>
    <t>2.5.25</t>
  </si>
  <si>
    <t>עובד שילם את הדוח ב7.7.25</t>
  </si>
  <si>
    <t>9319148-5</t>
  </si>
  <si>
    <t>14.2.25</t>
  </si>
  <si>
    <t>נשלחה הודעה לעובד שצריך לשלם, דוח עומד על סכומו המקורי 7.7.25 , נשלחה בקשה להסבת דוח 29.7.25, דוח הוסב 30.7.25</t>
  </si>
  <si>
    <t>1.6.25</t>
  </si>
  <si>
    <t>שלח לעובדת לתשלום ב5.8.25, סכום מקור 250 ₪ , שולם עי העובדת 25.8.25</t>
  </si>
  <si>
    <t>20.3.25</t>
  </si>
  <si>
    <t>ממתין שהעובדת תמלא נוהל רכב על המספר רכב שלה 5.8.25, נשלחה בקשה להסבה לדוח ב10.8.25 מס בקשה  5509121, הוסב דוח 30.11.25,עובדת שילמה דוח 24.5.26</t>
  </si>
  <si>
    <t>נשלח לעובדת לשלם את הדוח בסכומו המקורי 5.8.25, נשלחה בקשה להסבה 17.8.25, מס בקשה 2025-852573, הדוח הוסב 31.10.25</t>
  </si>
  <si>
    <t>5.3.25</t>
  </si>
  <si>
    <t>חניית נכה, נשלח לעובד לתשלום ב6.8.25</t>
  </si>
  <si>
    <t>011990-5-8</t>
  </si>
  <si>
    <t>28.5.25</t>
  </si>
  <si>
    <t>נשלח לעובד לשלם בסכומו המקורי ב10.8.25, שולם ב17.8.25</t>
  </si>
  <si>
    <t>8.9.23</t>
  </si>
  <si>
    <t>צריך לשלם הגיע בריבית פיגורים עקב בעיה בכתובת , הסכום המלא 449 ₪שולם על ידנו יש לגבות מהעובדת 250 שח מהשכר 21.9.25</t>
  </si>
  <si>
    <t>9.1.25</t>
  </si>
  <si>
    <t>דוח חנייה , עומד על סכומו המקורי נשלח לעובד לתשלום ב18.9.25 ,שולם 9.11.25</t>
  </si>
  <si>
    <t>859638-1-7</t>
  </si>
  <si>
    <t xml:space="preserve">נשלח לעובד לשלם בסכומו המקורי 15.10.25, שולם ב15.10.25 ע"י העובד </t>
  </si>
  <si>
    <t>13.6.25</t>
  </si>
  <si>
    <t xml:space="preserve">גל וילמוש </t>
  </si>
  <si>
    <t>דוח מהירות, נשלחה בקשה להסבה 16.10.25, נשלחה הצהרה לדוח 10.11.25, דוח הוסב על עובד 25.11.25</t>
  </si>
  <si>
    <t>דוח מהירות, נשלחה בקשה להסבה 16.10.25, נשלח תצהיר קצבת לדוח 16.11.25,דוח הוסב 30.11.25</t>
  </si>
  <si>
    <t>15.5.25</t>
  </si>
  <si>
    <t>נשלח דוח לעובד שישלם בסכומו המקורי 13.11.25, שולם ב30.12.25</t>
  </si>
  <si>
    <t>22.10.25</t>
  </si>
  <si>
    <t>נשלחה בקשה להסבת דוח לעיריית תל אביב 13.11.25, נשלח תצהיר נהג לעובד למלא על מנת שנסב על שמו 30.11.25, נשלח תצהיר נהג ב7.12.25 לעירייה דרך הקישור , שולם ב30.12.25</t>
  </si>
  <si>
    <t>15.10.25</t>
  </si>
  <si>
    <t>נשלח בקשה למירי מליסקאר לצורך הסבת דוח 17.11.25</t>
  </si>
  <si>
    <t>28.6.25</t>
  </si>
  <si>
    <t>נשלח דוח לעובדת בסכומו המקורי על מנת שתשלם אותו 26.11.25, שולם ב10.2.26</t>
  </si>
  <si>
    <t>נשלחה בקשה להסבת דוח   לעיריית תל אביב 26.11.25, נשלח דוח בסכומו המקורי לעובד לתשלום ותצהיר למלא אם ירצה שנסב על שמו 30.11.25, שולם עי צליל</t>
  </si>
  <si>
    <t>נשלחה בקשה להסבת דוח 26.11.25 לעיריית תל אביב , נשלח דוח בסכומו המקורי לנדב ותצהיר אם ירצה להסב 30.11.25, שולם עי צליל מספר אישור 0923088611</t>
  </si>
  <si>
    <t>נשלח לעובדת בסכומו המקורי על מנת שתשלם 1.12.25, עובדת שילמה 8.12.25</t>
  </si>
  <si>
    <t>נשלי לעובד בסכומו המקורי לתשלום 9.12.25, שולם עי העובד 9.12.25</t>
  </si>
  <si>
    <t>19.9.25</t>
  </si>
  <si>
    <t>נשלחה בקשה להסבת דוח ב9.12.25, נשלחה בקשה למתן לחתום על תצהיר נהג 18.12.25, נשלח תצהיר חתום למשטרת ישראל 24.12.25, דוח הוסב ב1.1.26</t>
  </si>
  <si>
    <t>1931101-3-7</t>
  </si>
  <si>
    <t>4.7.25</t>
  </si>
  <si>
    <t>נשלח לעובד לשלם בסכומו המקורי באמצעות צליל , טרם שולם 4.1.26, שולם עי צליל מס אישור 0850143</t>
  </si>
  <si>
    <t>18.6.25</t>
  </si>
  <si>
    <t xml:space="preserve">להביא למתן לשלם את זה כולל הריבית פיגורים, הגיע אלינו באיחור 4.1.26,ממתין שסידי יחתום על תצהיר לצורך הסבה , נשלח בקשה להסבת דוח 7.1.26, שולם על ידנו ב12.1.26 ויקוזז מהחשבונית של העובד סכום הקרן על סך 250 שח , זה בגלל שאין יכולת להסב עקב כך שהדוח הגיע אלינו באיחור 12.1.26 </t>
  </si>
  <si>
    <t>82458910
83045112</t>
  </si>
  <si>
    <t>25.3,11.5-2024</t>
  </si>
  <si>
    <t xml:space="preserve">נשלח לעובדת לתשלום לא שילמה בזמן ו/או לא קיבלנו אותו בזמן, יש לשלמו עם ריבית פיגורים 7.1.26, כל דוח בסכומו המקורי 250 ₪ , שולם מאשראי נופר עקב דואר שהגיע באיחור ללא יכולת להסב כולל ריבית פיגורים, חיוב העובדת בסכום הקרן בשכר 500 שח על 2 דוחות 12.1.26 </t>
  </si>
  <si>
    <t>2.12.25</t>
  </si>
  <si>
    <t xml:space="preserve">נשלח לעובד לתשלום סכום מקורי 9.2.26, שולם ב9.2.26 עי העובד </t>
  </si>
  <si>
    <t>24.9.25</t>
  </si>
  <si>
    <t>הגיע כדוח תאגיד נשלחה בקשה להסבה 6180999 בתאריך 9.2.26, קיבלנו אישור על הסבת דוח ב19.2.26</t>
  </si>
  <si>
    <t xml:space="preserve">שולם דוח ב11.2.26, </t>
  </si>
  <si>
    <t xml:space="preserve">הילה סגל </t>
  </si>
  <si>
    <t>שולם 17.2.26</t>
  </si>
  <si>
    <t>הונח לעובד על השולחן ונאמר לו לתשלום סכום מקורי 23.2.26, נשלח תזכורת 23.4.26, שולם ב4.6.26</t>
  </si>
  <si>
    <t>2.1.26</t>
  </si>
  <si>
    <t>נשלח תצהיר דוח לעובד לחתימה על מנת להסב 10.3.26, נשלחה בקשה 6305980 להסבת דוח בתאריך 14.3.26, דוח הוסב 15.3.26</t>
  </si>
  <si>
    <t>2014132/25</t>
  </si>
  <si>
    <t>נשלח לעובד לתשלום הדוח, לא ניתן להסב דוח ישן 23.3.26, דוח שולם ב25.3.26</t>
  </si>
  <si>
    <t>דוח שולם עי גוסטבו בתאריך 11.2.26 מס אישור 8651666 חנייה עיריית באר שבע , מחכים שהעירייה תשלח זיכוי על תשלום אחד כי דוח שולם גם עי הבנק וגם עי העובד  נשלח מייל בנושא 26.3.26, שוב נשלח ב23.4.26,,טופל</t>
  </si>
  <si>
    <t>נשלח לעובד בסכומו המקורי לתשלום ב29.3.26, נשלח תזכורת ב23.4.26,העובד טוען ששילם את הדוח ב25.5.26 והוא לא מוצא את ההודעת קנס, באתר לא נמצאה רשומה 25.5.26</t>
  </si>
  <si>
    <t>31.7.25</t>
  </si>
  <si>
    <t>נשלח לעובד לתשלום בסכום המקורי ב31.3.26 , שולם דוח ב31.3.26</t>
  </si>
  <si>
    <t>מס תיק 632052046</t>
  </si>
  <si>
    <t xml:space="preserve">עופר ינאי ושחר גרשון </t>
  </si>
  <si>
    <t>4332532
45366802</t>
  </si>
  <si>
    <t>דוחות מ2021 של שחר גרשון ועופר ינאי נשלח מייל לנועה על מנת לקבל אישור האם לשלמם 9.4.26, שולם ב12.4.26 מס אישור 2270880</t>
  </si>
  <si>
    <t>נשלח לעובד בסכומו המקורי על מנת שיסדיר תשלום 16.4.26, נשלח תזכורת ב23.4.26, שולם מספר אישור 0484568</t>
  </si>
  <si>
    <t xml:space="preserve">נשלח  לעובד תצהיר לחתימה לצורך הסבת דוח ב16.4.26, נשלח בקשה להסבת דוח לעיריית תל אביב 16.4.26, דוח הוסב ב20.4.26 </t>
  </si>
  <si>
    <t>19.3.26</t>
  </si>
  <si>
    <t xml:space="preserve">נשלח בקשה  6407831 להסבת דוח נדב ברקן 16.4.26, נשלח עוד בקשה להסבה ב23.4.26, דוח הוסב ב27.4.26 </t>
  </si>
  <si>
    <t>25.3.26</t>
  </si>
  <si>
    <t>נשלחה בקשה להסבה בתאריך 23.4.26 ,דוח הוסב ב27.4.26</t>
  </si>
  <si>
    <t>21.11.25</t>
  </si>
  <si>
    <t xml:space="preserve">הדס גל </t>
  </si>
  <si>
    <t>נשלח תצהיר נהג לעובדת שתחתום 23.4.26 , הוסב דוח בשנית לאחר מילוי תצהיר של העובדת 27.4.26 , דוח הוסב ב30.4.26</t>
  </si>
  <si>
    <t xml:space="preserve">אייל לוצאטו </t>
  </si>
  <si>
    <t xml:space="preserve">עיריית באר שבע נשלח לעובד לתשלום במייל בתאריך 27.4.26 </t>
  </si>
  <si>
    <t>13.3.26</t>
  </si>
  <si>
    <t xml:space="preserve">מוטי עמנואל </t>
  </si>
  <si>
    <t>נשלחה בקשה להסבת דוח 17.5.26,דוח הוסב על העובד ב27.5.26</t>
  </si>
  <si>
    <t>נשלחה בקשה להסבת דוח ב17.5.26,דוח הוסב ב20.5.26</t>
  </si>
  <si>
    <t>4.1.26</t>
  </si>
  <si>
    <t>מתי אשכנזי</t>
  </si>
  <si>
    <t>25255150
25288931</t>
  </si>
  <si>
    <t>18.8.25
1.8.25</t>
  </si>
  <si>
    <t>6000
1000</t>
  </si>
  <si>
    <t>31404502
54818003</t>
  </si>
  <si>
    <t>דניאל בוחבוט והילה סגל הגיע אלינו ב5.5.26 דוחות מ2025 עם סכום פיגורים ודוחות תאגיד מלאים, נשלחה בקשה לרשות האכיפה לגבייה להסבה על העובדים ב26.5.26, מס בקשה 396372, נשלחה בקשה להסבה נוספת 6620895</t>
  </si>
  <si>
    <t>דוח עיריית תל אביב בסכומו המקורי נשלח לעובד לתשלום ב28.5.26 , שילם דוח ב7.6.26</t>
  </si>
  <si>
    <t>דוח חנייה נשלח לעובד לתשלום 3.6.26</t>
  </si>
  <si>
    <t xml:space="preserve">אוהד </t>
  </si>
  <si>
    <t>אורבך</t>
  </si>
  <si>
    <t>משפטית</t>
  </si>
  <si>
    <t xml:space="preserve">יועהמ"ש בכיר </t>
  </si>
  <si>
    <r>
      <rPr>
        <sz val="11"/>
        <color theme="10"/>
        <rFont val="Arial"/>
      </rPr>
      <t>Ohad.o</t>
    </r>
    <r>
      <rPr>
        <u/>
        <sz val="11"/>
        <color theme="10"/>
        <rFont val="Arial"/>
      </rPr>
      <t>@nofar-energy.co.il</t>
    </r>
  </si>
  <si>
    <t>אדי</t>
  </si>
  <si>
    <t>אברהם</t>
  </si>
  <si>
    <t>תפעול</t>
  </si>
  <si>
    <t>ראש צוות פיקוח</t>
  </si>
  <si>
    <t>Eddie@nofar-energy.co.il</t>
  </si>
  <si>
    <t xml:space="preserve">אורטל </t>
  </si>
  <si>
    <t xml:space="preserve">ביאלסקי </t>
  </si>
  <si>
    <t xml:space="preserve">b.ortal@nofar-energy.co.il </t>
  </si>
  <si>
    <t>אדם</t>
  </si>
  <si>
    <t>אזולאי</t>
  </si>
  <si>
    <t>052-5236026</t>
  </si>
  <si>
    <t>כספים</t>
  </si>
  <si>
    <t>עוזר חשב</t>
  </si>
  <si>
    <t>adam@nofar-energy.co.il</t>
  </si>
  <si>
    <t>קילונובסקי</t>
  </si>
  <si>
    <t>054-9459258</t>
  </si>
  <si>
    <t>רישוי</t>
  </si>
  <si>
    <t>מנהלת מחלקת רישוי</t>
  </si>
  <si>
    <t>ola@nofar-energy.co.il</t>
  </si>
  <si>
    <t>אור</t>
  </si>
  <si>
    <t>איתן</t>
  </si>
  <si>
    <t>054-4589539</t>
  </si>
  <si>
    <t>פיתוח עסקי</t>
  </si>
  <si>
    <t>מנהל פיתוח עסקי ישראל</t>
  </si>
  <si>
    <t>or@nofar-energy.co.il</t>
  </si>
  <si>
    <t xml:space="preserve">אור </t>
  </si>
  <si>
    <t>בידוש</t>
  </si>
  <si>
    <t xml:space="preserve">0504956181  </t>
  </si>
  <si>
    <t>טכנאי שירות</t>
  </si>
  <si>
    <t>Bidush.or@nofar-energy.co.il</t>
  </si>
  <si>
    <t>סילם</t>
  </si>
  <si>
    <t>05-48181305</t>
  </si>
  <si>
    <t>הנדסה</t>
  </si>
  <si>
    <t>מהנדס תמיכה טכנית</t>
  </si>
  <si>
    <t>sillam.or@nofar-energy.co.il</t>
  </si>
  <si>
    <t>אוריאל</t>
  </si>
  <si>
    <t>מנדלסון</t>
  </si>
  <si>
    <t>052-5560590</t>
  </si>
  <si>
    <t>uriel@nofar-energy.co.il</t>
  </si>
  <si>
    <t>אורלי</t>
  </si>
  <si>
    <t>דולב</t>
  </si>
  <si>
    <t>054-5325551</t>
  </si>
  <si>
    <t>נהל פיתוח עיסקי חול</t>
  </si>
  <si>
    <t>D.orly@nofar-energy.co.il</t>
  </si>
  <si>
    <t>אורן</t>
  </si>
  <si>
    <t>בן שימול</t>
  </si>
  <si>
    <t>054-9722074</t>
  </si>
  <si>
    <t>חשב ראשי</t>
  </si>
  <si>
    <t>benshimol@nofar-energy.co.il</t>
  </si>
  <si>
    <t>אייל</t>
  </si>
  <si>
    <t>לוצאטו</t>
  </si>
  <si>
    <t>054-6564412</t>
  </si>
  <si>
    <t>מנהל פרויקטים</t>
  </si>
  <si>
    <t>eyal@nofar-energy.co.il</t>
  </si>
  <si>
    <t>איתי</t>
  </si>
  <si>
    <t>רפל</t>
  </si>
  <si>
    <t>054-7214153</t>
  </si>
  <si>
    <t>מנהל סיכונים ומימון פרויקטים</t>
  </si>
  <si>
    <t>etai@nofar-energy.co.il</t>
  </si>
  <si>
    <t xml:space="preserve">איתן </t>
  </si>
  <si>
    <t xml:space="preserve">כהן </t>
  </si>
  <si>
    <t>052-4261713</t>
  </si>
  <si>
    <t>תכנון ופיתוח</t>
  </si>
  <si>
    <t>מנהל תחום מוניצפלי</t>
  </si>
  <si>
    <t>Eitan.c@nofar-energy.co.il</t>
  </si>
  <si>
    <t>אלברט</t>
  </si>
  <si>
    <t>פיש</t>
  </si>
  <si>
    <t>054-5660211</t>
  </si>
  <si>
    <t>שירות</t>
  </si>
  <si>
    <t>סמנכ"ל שירות</t>
  </si>
  <si>
    <t>avi@nofar-energy.co.il</t>
  </si>
  <si>
    <t>אלה</t>
  </si>
  <si>
    <t>מרשאק</t>
  </si>
  <si>
    <t>053-7531063</t>
  </si>
  <si>
    <t>אחראית תיאום ורישוי</t>
  </si>
  <si>
    <t>ella@nofar-energy.co.il</t>
  </si>
  <si>
    <t>אליאנה</t>
  </si>
  <si>
    <t>ימין הרזיו</t>
  </si>
  <si>
    <t>054-5489894</t>
  </si>
  <si>
    <t>חשבת שכר ומנהלת מחלקת הנה"ח</t>
  </si>
  <si>
    <t>liana@nofar-energy.co.il</t>
  </si>
  <si>
    <t>אלירן</t>
  </si>
  <si>
    <t>אביטן</t>
  </si>
  <si>
    <t>050-2036094</t>
  </si>
  <si>
    <t>מנהל רכש</t>
  </si>
  <si>
    <t>eliran@nofar-energy.co.il</t>
  </si>
  <si>
    <t>אלכס</t>
  </si>
  <si>
    <t>גרינברג</t>
  </si>
  <si>
    <t>054-5494421</t>
  </si>
  <si>
    <t>יועץ משפטי</t>
  </si>
  <si>
    <t>alex@nofar-energy.co.il</t>
  </si>
  <si>
    <t xml:space="preserve">אלעד </t>
  </si>
  <si>
    <t>מיכאלי</t>
  </si>
  <si>
    <t>050-2152627</t>
  </si>
  <si>
    <t>מטה</t>
  </si>
  <si>
    <t>סמנכ"ל</t>
  </si>
  <si>
    <t>M.elad@nofar-energy.co.il</t>
  </si>
  <si>
    <t>אמיר</t>
  </si>
  <si>
    <t>אבנון</t>
  </si>
  <si>
    <t>054-7702152</t>
  </si>
  <si>
    <t>amir@nofar-energy.co.il</t>
  </si>
  <si>
    <t xml:space="preserve">אמיר </t>
  </si>
  <si>
    <t>פזי</t>
  </si>
  <si>
    <t>050-9832000</t>
  </si>
  <si>
    <t>מנהל תפעול הנדסי</t>
  </si>
  <si>
    <t>Pazi.Amir@nofar-energy.co.il</t>
  </si>
  <si>
    <t>אסף</t>
  </si>
  <si>
    <t>גבעון</t>
  </si>
  <si>
    <t>054-3163579</t>
  </si>
  <si>
    <t>מנהל פיתוח עסקי חו"ל</t>
  </si>
  <si>
    <t>assaf@nofar-energy.co.il</t>
  </si>
  <si>
    <t>אסתר</t>
  </si>
  <si>
    <t>חן</t>
  </si>
  <si>
    <t>054-6328404</t>
  </si>
  <si>
    <t>גזברית ומנהלת מימון פרויקטים</t>
  </si>
  <si>
    <t>ety@nofar-energy.co.il</t>
  </si>
  <si>
    <t>אפרים</t>
  </si>
  <si>
    <t>ברק</t>
  </si>
  <si>
    <t>054-9763051</t>
  </si>
  <si>
    <t>efi@nofar-energy.co.il</t>
  </si>
  <si>
    <t xml:space="preserve">אריאל </t>
  </si>
  <si>
    <t xml:space="preserve">ריבני </t>
  </si>
  <si>
    <t xml:space="preserve">מטה </t>
  </si>
  <si>
    <t>הנדסה ישראל</t>
  </si>
  <si>
    <t>ariel.rivni@nofar-energy.co.il</t>
  </si>
  <si>
    <t>אריאל אשר</t>
  </si>
  <si>
    <t>לוי</t>
  </si>
  <si>
    <t>054-6997185</t>
  </si>
  <si>
    <t>Ariel.al@nofar-energy.co.il</t>
  </si>
  <si>
    <t>ג'ואנה</t>
  </si>
  <si>
    <t>סטרוק</t>
  </si>
  <si>
    <t>054-6330300</t>
  </si>
  <si>
    <t>johanna@nofar-energy.co.il</t>
  </si>
  <si>
    <t xml:space="preserve">ג'מיל </t>
  </si>
  <si>
    <t>פאחורי</t>
  </si>
  <si>
    <t>053-3033115</t>
  </si>
  <si>
    <t>מהנדס חשמל</t>
  </si>
  <si>
    <t>jamil@nofar-energy.co.il</t>
  </si>
  <si>
    <t xml:space="preserve">גוסטבו </t>
  </si>
  <si>
    <t>רוצ'מן</t>
  </si>
  <si>
    <t>052-5013028</t>
  </si>
  <si>
    <t>מנהל מחלקת פיתוח עסקי ישראל</t>
  </si>
  <si>
    <t>gustavo@nofar-energy.co.il</t>
  </si>
  <si>
    <t>גיא</t>
  </si>
  <si>
    <t>הרטשטיין</t>
  </si>
  <si>
    <t>054-5984389</t>
  </si>
  <si>
    <t>חשב אירופה</t>
  </si>
  <si>
    <t>guy.h@nofar-energy.co.il</t>
  </si>
  <si>
    <t>גילי</t>
  </si>
  <si>
    <t>אלמגור</t>
  </si>
  <si>
    <t>a.gili@nofar-energy.co.il</t>
  </si>
  <si>
    <t>גל</t>
  </si>
  <si>
    <t>וילמוש</t>
  </si>
  <si>
    <t>050-3323290</t>
  </si>
  <si>
    <t>הקמה</t>
  </si>
  <si>
    <t>gal.vilmosh@nofar-energy.co.il</t>
  </si>
  <si>
    <t>דוד</t>
  </si>
  <si>
    <t>כהן</t>
  </si>
  <si>
    <t>054-2476702</t>
  </si>
  <si>
    <t>מתכנן חשמל</t>
  </si>
  <si>
    <t>David@nofar-energy.co.il</t>
  </si>
  <si>
    <t>דותן</t>
  </si>
  <si>
    <t>סלע</t>
  </si>
  <si>
    <t>054-3236192</t>
  </si>
  <si>
    <t>dotan@nofar-energy.co.il</t>
  </si>
  <si>
    <t>דימיטרי</t>
  </si>
  <si>
    <t>ויימן</t>
  </si>
  <si>
    <t>051-5533651</t>
  </si>
  <si>
    <t>מפקח</t>
  </si>
  <si>
    <t>dima@nofar-energy.co.il</t>
  </si>
  <si>
    <t>דן</t>
  </si>
  <si>
    <t>מויאל</t>
  </si>
  <si>
    <t>טכנאי</t>
  </si>
  <si>
    <t>m.dan@nofar-energy.co.il</t>
  </si>
  <si>
    <t>דני</t>
  </si>
  <si>
    <t>חנצינסקי</t>
  </si>
  <si>
    <t>054-4512989</t>
  </si>
  <si>
    <t>danny@nofar-energy.co.il</t>
  </si>
  <si>
    <t>דניאל</t>
  </si>
  <si>
    <t>שרישבסקי</t>
  </si>
  <si>
    <t>054-7420085</t>
  </si>
  <si>
    <t>daniel@nofar-energy.co.il</t>
  </si>
  <si>
    <t>בוחבוט</t>
  </si>
  <si>
    <t>054-7995055</t>
  </si>
  <si>
    <t>פיתוח עסקי ישראל</t>
  </si>
  <si>
    <t>סמנכ"ל כספים</t>
  </si>
  <si>
    <t>buhbut.daniel@nofar-energy.co.il</t>
  </si>
  <si>
    <t xml:space="preserve">דניאל </t>
  </si>
  <si>
    <t>כחלון</t>
  </si>
  <si>
    <t>052-8787535</t>
  </si>
  <si>
    <t>Kachlon.daniel@nofar-energy.co.il</t>
  </si>
  <si>
    <t>052-4253728</t>
  </si>
  <si>
    <t>חשבת ארה"ב</t>
  </si>
  <si>
    <t>hadas@nofar-energy.co.il</t>
  </si>
  <si>
    <t>הילה</t>
  </si>
  <si>
    <t>סגל</t>
  </si>
  <si>
    <t>050-2088495</t>
  </si>
  <si>
    <t>מנהלת משאבי אנוש</t>
  </si>
  <si>
    <t>segalh@nofar-energy.co.il</t>
  </si>
  <si>
    <t xml:space="preserve">הגר </t>
  </si>
  <si>
    <t>שוקרון</t>
  </si>
  <si>
    <t>054-4250114</t>
  </si>
  <si>
    <t xml:space="preserve">הקמה </t>
  </si>
  <si>
    <t>מנהלת פרוייקטים</t>
  </si>
  <si>
    <t>hagar.c@nofar-energy.co.il</t>
  </si>
  <si>
    <t>הראל</t>
  </si>
  <si>
    <t>דרוקר</t>
  </si>
  <si>
    <t>054-7129308</t>
  </si>
  <si>
    <t>שוטף</t>
  </si>
  <si>
    <t>hareldruker@gmail.com</t>
  </si>
  <si>
    <t>זאב</t>
  </si>
  <si>
    <t>סונא</t>
  </si>
  <si>
    <t>052-3698953</t>
  </si>
  <si>
    <t>מנהל תחום אסטרטגיה</t>
  </si>
  <si>
    <t>zev@nofar-energy.co.il</t>
  </si>
  <si>
    <t xml:space="preserve">חן </t>
  </si>
  <si>
    <t>ביטון</t>
  </si>
  <si>
    <t>052-6993605</t>
  </si>
  <si>
    <t>מנהלת פרויקטים</t>
  </si>
  <si>
    <t>chen@nofar-energy.co.il</t>
  </si>
  <si>
    <t>טל</t>
  </si>
  <si>
    <t>דין</t>
  </si>
  <si>
    <t>052-5547647</t>
  </si>
  <si>
    <t>מנהל תחום PV ישראל</t>
  </si>
  <si>
    <t>tald@nofar-energy.co.il</t>
  </si>
  <si>
    <t>קרוגר</t>
  </si>
  <si>
    <t>052-2345305</t>
  </si>
  <si>
    <t>מנהלת משרד כפ"ס</t>
  </si>
  <si>
    <t>k.tal@nofar-energy.co.il</t>
  </si>
  <si>
    <t>טלי</t>
  </si>
  <si>
    <t>רויטנשטיין</t>
  </si>
  <si>
    <t>מנהלת שותפויות</t>
  </si>
  <si>
    <t>r.taly@nofar-energy.co.il</t>
  </si>
  <si>
    <t>יאיר</t>
  </si>
  <si>
    <t>פנקר</t>
  </si>
  <si>
    <t>050-9050410</t>
  </si>
  <si>
    <t>ראש צוות טכנאים</t>
  </si>
  <si>
    <t>yair@nofar-energy.co.il</t>
  </si>
  <si>
    <t xml:space="preserve">יוחאי </t>
  </si>
  <si>
    <t xml:space="preserve">תירוש </t>
  </si>
  <si>
    <t>050-2396908</t>
  </si>
  <si>
    <t>תכנון ורישוי</t>
  </si>
  <si>
    <t>מנהל תחום תכנון</t>
  </si>
  <si>
    <t>Tirosh.yochai@nofar-energy.co.il</t>
  </si>
  <si>
    <t xml:space="preserve">יוסף </t>
  </si>
  <si>
    <t>הירש</t>
  </si>
  <si>
    <t>054-2315057</t>
  </si>
  <si>
    <t>yoseph@nofar-energy.co.il</t>
  </si>
  <si>
    <t xml:space="preserve">יותם </t>
  </si>
  <si>
    <t>מן</t>
  </si>
  <si>
    <t>054-4490052</t>
  </si>
  <si>
    <t>yotam@nofar-energy.co.il</t>
  </si>
  <si>
    <t>יחיאל</t>
  </si>
  <si>
    <t>סלאמה</t>
  </si>
  <si>
    <t>055-6892007</t>
  </si>
  <si>
    <t>yehiel@nofar-energy.co.il</t>
  </si>
  <si>
    <t>יפתח</t>
  </si>
  <si>
    <t>שלה</t>
  </si>
  <si>
    <t>054-4999151</t>
  </si>
  <si>
    <t>iftah@nofar-energy.co.il</t>
  </si>
  <si>
    <t>יריב</t>
  </si>
  <si>
    <t>טולדנו</t>
  </si>
  <si>
    <t>050-3515040</t>
  </si>
  <si>
    <t>yariv@nofar-energy.co.il</t>
  </si>
  <si>
    <t>ליאוניד</t>
  </si>
  <si>
    <t>מרחסין</t>
  </si>
  <si>
    <t>050-7366967</t>
  </si>
  <si>
    <t>מנהל טכני</t>
  </si>
  <si>
    <t>leonid@nofar-energy.co.il</t>
  </si>
  <si>
    <t>ליאור</t>
  </si>
  <si>
    <t>ברון</t>
  </si>
  <si>
    <t>פתוח עסקי</t>
  </si>
  <si>
    <t xml:space="preserve">מנהל פתוח עסקי </t>
  </si>
  <si>
    <t>Lior.b@nofar-energy.co.il</t>
  </si>
  <si>
    <t>חודש</t>
  </si>
  <si>
    <t>052-6363363</t>
  </si>
  <si>
    <t>שרטטת</t>
  </si>
  <si>
    <t>liliya@nofar-energy.co.il</t>
  </si>
  <si>
    <t>מאיה</t>
  </si>
  <si>
    <t>כתבי</t>
  </si>
  <si>
    <t>052-6066642</t>
  </si>
  <si>
    <t>אנליסטית אסטרטגיה</t>
  </si>
  <si>
    <t>maya@nofar-energy.co.il</t>
  </si>
  <si>
    <t>מוטי</t>
  </si>
  <si>
    <t>עמנואל</t>
  </si>
  <si>
    <t>050-6515715</t>
  </si>
  <si>
    <t>סמנכ"ל תכנון ופיתוח ישראל</t>
  </si>
  <si>
    <t>moti.e@nofar-energy.co.il</t>
  </si>
  <si>
    <t>מיה</t>
  </si>
  <si>
    <t>קטבי</t>
  </si>
  <si>
    <t>מעין</t>
  </si>
  <si>
    <t>תורג'מן</t>
  </si>
  <si>
    <t>052-4492760</t>
  </si>
  <si>
    <t>tmaayan@nofar-energy.co.il</t>
  </si>
  <si>
    <t>אס</t>
  </si>
  <si>
    <t>054-7883100</t>
  </si>
  <si>
    <t>מנהלת תחום אגירה</t>
  </si>
  <si>
    <t>as.maayan@nofar-energy.co.il</t>
  </si>
  <si>
    <t>מתן</t>
  </si>
  <si>
    <t>054-8132198</t>
  </si>
  <si>
    <t>matan@nofar-energy.co.il</t>
  </si>
  <si>
    <t>מיגל</t>
  </si>
  <si>
    <t>ממן</t>
  </si>
  <si>
    <t>מנהל פיתוח עסקי ובקרה תקציבית</t>
  </si>
  <si>
    <t>Miguel.m@nofar-energy.co.il</t>
  </si>
  <si>
    <t>סידי</t>
  </si>
  <si>
    <t>ראש מערך תקשורת והידברות</t>
  </si>
  <si>
    <t>sidi@nofar-energy.co.il</t>
  </si>
  <si>
    <t xml:space="preserve">מתן </t>
  </si>
  <si>
    <t>אטיאס</t>
  </si>
  <si>
    <t>חשב</t>
  </si>
  <si>
    <t>a.matan@nofar-energy.co.il</t>
  </si>
  <si>
    <t>נדב</t>
  </si>
  <si>
    <t>טנא</t>
  </si>
  <si>
    <t>054-4431529</t>
  </si>
  <si>
    <t>מנכ"ל</t>
  </si>
  <si>
    <t>nadav@nofar-energy.co.il</t>
  </si>
  <si>
    <t>מרציאנו</t>
  </si>
  <si>
    <t>054-2840258</t>
  </si>
  <si>
    <t xml:space="preserve">קצין רכב </t>
  </si>
  <si>
    <t>cars@nofar-energy.co.il</t>
  </si>
  <si>
    <t>דהן</t>
  </si>
  <si>
    <t>0537736447</t>
  </si>
  <si>
    <t>dahan.nadav@nofar-energy.co.il</t>
  </si>
  <si>
    <t xml:space="preserve">נדב </t>
  </si>
  <si>
    <t>ברקן</t>
  </si>
  <si>
    <t>0507273630</t>
  </si>
  <si>
    <t>Barkan.Nadav@nofar-energy.co.il</t>
  </si>
  <si>
    <t>נועה</t>
  </si>
  <si>
    <t>בית דגן</t>
  </si>
  <si>
    <t>סמנכלית תפעול</t>
  </si>
  <si>
    <t>noa@nofar-energy.co.il</t>
  </si>
  <si>
    <t>נועם</t>
  </si>
  <si>
    <t>יוסופוב</t>
  </si>
  <si>
    <t>054-9248855</t>
  </si>
  <si>
    <t>yusupov@nofar-energy.co.il</t>
  </si>
  <si>
    <t>וסדזה</t>
  </si>
  <si>
    <t>054-7729202</t>
  </si>
  <si>
    <t>מנהלת רישוי ורגולציה</t>
  </si>
  <si>
    <t>natia@nofar-energy.co.il</t>
  </si>
  <si>
    <t>ניצן</t>
  </si>
  <si>
    <t>רגי'אנו</t>
  </si>
  <si>
    <t>nitzan@nofar-energy.co.il</t>
  </si>
  <si>
    <t>נעם</t>
  </si>
  <si>
    <t>פישר</t>
  </si>
  <si>
    <t>052-6031660</t>
  </si>
  <si>
    <t>noam@nofar-energy.co.il</t>
  </si>
  <si>
    <t>נעמה</t>
  </si>
  <si>
    <t>לוק</t>
  </si>
  <si>
    <t>052-8870709</t>
  </si>
  <si>
    <t>אחראית Back Office</t>
  </si>
  <si>
    <t>naama@nofar-energy.co.il</t>
  </si>
  <si>
    <t>נמרוןד</t>
  </si>
  <si>
    <t xml:space="preserve">זוהר </t>
  </si>
  <si>
    <t xml:space="preserve">יועמש </t>
  </si>
  <si>
    <t>Nimrod Zohar | Nofar Energy &lt;z.nimrod@nofar-energy.co.il&gt;</t>
  </si>
  <si>
    <t>נתנאל</t>
  </si>
  <si>
    <t>חזות</t>
  </si>
  <si>
    <t>055-6672802</t>
  </si>
  <si>
    <t>netanel@nofar-energy.co.il</t>
  </si>
  <si>
    <t xml:space="preserve">סופי </t>
  </si>
  <si>
    <t>בלקסטון</t>
  </si>
  <si>
    <t>054-3061979</t>
  </si>
  <si>
    <t>יועצת משפטית</t>
  </si>
  <si>
    <t>sophie@nofar-energy.co.il</t>
  </si>
  <si>
    <t>ספיר</t>
  </si>
  <si>
    <t>נעמן</t>
  </si>
  <si>
    <t>052-8601371</t>
  </si>
  <si>
    <t>מנהלת פרויקטים חו"ל</t>
  </si>
  <si>
    <t>sapir@nofar-energy.co.il</t>
  </si>
  <si>
    <t>עדי</t>
  </si>
  <si>
    <t>גלסמן</t>
  </si>
  <si>
    <t>050-2456806</t>
  </si>
  <si>
    <t>מנהל תשתיות הנדסיות</t>
  </si>
  <si>
    <t>glassman@nofar-energy.co.il</t>
  </si>
  <si>
    <t>בר משה</t>
  </si>
  <si>
    <t>054-4691892</t>
  </si>
  <si>
    <t>Adiel@nofar-energy.co.il</t>
  </si>
  <si>
    <t>עופר</t>
  </si>
  <si>
    <t>אוברלנדר</t>
  </si>
  <si>
    <t>050-6207334</t>
  </si>
  <si>
    <t>דירקטור פיתוח עסקי חו"ל</t>
  </si>
  <si>
    <t>oberlander@nofar-energy.co.il</t>
  </si>
  <si>
    <t>עידן</t>
  </si>
  <si>
    <t>052-3458279</t>
  </si>
  <si>
    <t>idan.avraham10@gmail.com</t>
  </si>
  <si>
    <t>עיינה</t>
  </si>
  <si>
    <t>וקסלר</t>
  </si>
  <si>
    <t>052-5993202</t>
  </si>
  <si>
    <t>סמנכ"לית משפטית</t>
  </si>
  <si>
    <t>ayana@nofar-energy.co.il</t>
  </si>
  <si>
    <t>אמזלג</t>
  </si>
  <si>
    <t>052-6831233</t>
  </si>
  <si>
    <t>אחראית ניטור</t>
  </si>
  <si>
    <t>atalya@nofar-energy.co.il</t>
  </si>
  <si>
    <t>פיני</t>
  </si>
  <si>
    <t>בראט</t>
  </si>
  <si>
    <t>054-5690949</t>
  </si>
  <si>
    <t>Pini@nofar-energy.co.il</t>
  </si>
  <si>
    <t xml:space="preserve">פלג </t>
  </si>
  <si>
    <t>סלוק</t>
  </si>
  <si>
    <t>054-5349051</t>
  </si>
  <si>
    <t>אחראי תיאום ורישוי</t>
  </si>
  <si>
    <t>peleg@nofar-energy.co.il</t>
  </si>
  <si>
    <t>צור</t>
  </si>
  <si>
    <t>לנס</t>
  </si>
  <si>
    <t>050-6977005</t>
  </si>
  <si>
    <t>סמנכ"ל תפעול</t>
  </si>
  <si>
    <t>zur@nofar-energy.co.il</t>
  </si>
  <si>
    <t>גרונר</t>
  </si>
  <si>
    <t>058-7824465</t>
  </si>
  <si>
    <t>מנהל תחום SCADA</t>
  </si>
  <si>
    <t>tzurg@nofar-energy.co.il</t>
  </si>
  <si>
    <t>צחי</t>
  </si>
  <si>
    <t>רייך</t>
  </si>
  <si>
    <t>מנהל מדינה</t>
  </si>
  <si>
    <t>tsahi@nofar-energy.co.il</t>
  </si>
  <si>
    <t>ציון</t>
  </si>
  <si>
    <t>יחזקאל</t>
  </si>
  <si>
    <t>052-5705522</t>
  </si>
  <si>
    <t>tzion@nofar-energy.co.il</t>
  </si>
  <si>
    <t>צליל</t>
  </si>
  <si>
    <t>054-5346678</t>
  </si>
  <si>
    <t>מנהלת משרד</t>
  </si>
  <si>
    <t>tzlil@nofar-energy.co.il</t>
  </si>
  <si>
    <t>קיילי</t>
  </si>
  <si>
    <t>פרכטמן</t>
  </si>
  <si>
    <t>050-5759996</t>
  </si>
  <si>
    <t>תפעול גלובאלי</t>
  </si>
  <si>
    <t>מנהלת נכסים</t>
  </si>
  <si>
    <t>Kayley@nofar-energy.co.il</t>
  </si>
  <si>
    <t>קרן</t>
  </si>
  <si>
    <t>גרינולד</t>
  </si>
  <si>
    <t>052-8231972</t>
  </si>
  <si>
    <t>אחראית רכש ולוגיסטיקה</t>
  </si>
  <si>
    <t>keren@nofar-energy.co.il</t>
  </si>
  <si>
    <t>מרעב</t>
  </si>
  <si>
    <t>054-7995012</t>
  </si>
  <si>
    <t>rafat@nofar-energy.co.il</t>
  </si>
  <si>
    <t>רוית</t>
  </si>
  <si>
    <t>לוז</t>
  </si>
  <si>
    <t>052-6157243</t>
  </si>
  <si>
    <t>מנהלת פיתוח עסקי ישראל</t>
  </si>
  <si>
    <t>ravit@nofar-energy.co.il</t>
  </si>
  <si>
    <t>רון</t>
  </si>
  <si>
    <t>אלקיים</t>
  </si>
  <si>
    <t>052-2262200</t>
  </si>
  <si>
    <t>rone@nofar-energy.co.il</t>
  </si>
  <si>
    <t>רועי</t>
  </si>
  <si>
    <t>קרבל</t>
  </si>
  <si>
    <t>מנהל מערכות מידע</t>
  </si>
  <si>
    <t>roey.k@nofar-energy.co.il</t>
  </si>
  <si>
    <t xml:space="preserve">רותם </t>
  </si>
  <si>
    <t>שמר</t>
  </si>
  <si>
    <t>054-7697694</t>
  </si>
  <si>
    <t>מנהלת קשרי משקיעים ישראל</t>
  </si>
  <si>
    <t>rotem@nofar-energy.co.il</t>
  </si>
  <si>
    <t xml:space="preserve">רוני </t>
  </si>
  <si>
    <t xml:space="preserve">פינסקי </t>
  </si>
  <si>
    <t>052-9278408</t>
  </si>
  <si>
    <t xml:space="preserve">מנהל אתר </t>
  </si>
  <si>
    <t>roni.p@nofar-energy.co.il</t>
  </si>
  <si>
    <t>סודרי</t>
  </si>
  <si>
    <t>052-4765633</t>
  </si>
  <si>
    <t>S.rotem@nofar-energy.co.il</t>
  </si>
  <si>
    <t>רעות</t>
  </si>
  <si>
    <t>בן עזרי</t>
  </si>
  <si>
    <t>050-3637411</t>
  </si>
  <si>
    <t>reutb@nofar-energy.co.il</t>
  </si>
  <si>
    <t>רפאל</t>
  </si>
  <si>
    <t>בן מלך</t>
  </si>
  <si>
    <t>054-9151605</t>
  </si>
  <si>
    <t>מנהל תחום אגירה</t>
  </si>
  <si>
    <t>refaelb@nofar-energy.co.il</t>
  </si>
  <si>
    <t>רשף</t>
  </si>
  <si>
    <t>אגרנוב</t>
  </si>
  <si>
    <t>050-7641295</t>
  </si>
  <si>
    <t>מהנדס סקדה</t>
  </si>
  <si>
    <t>reshef@nofar-energy.co.il</t>
  </si>
  <si>
    <t>שגיא</t>
  </si>
  <si>
    <t>סנדלר</t>
  </si>
  <si>
    <t>050-7509516</t>
  </si>
  <si>
    <t>סמנכ"ל הנדסה</t>
  </si>
  <si>
    <t>sagi@nofar-energy.co.il</t>
  </si>
  <si>
    <t>שחר</t>
  </si>
  <si>
    <t>גרשון</t>
  </si>
  <si>
    <t>050-6977055</t>
  </si>
  <si>
    <t>סמנכ"ל פיתוח עסקי</t>
  </si>
  <si>
    <t>shahar@nofar-energy.co.il</t>
  </si>
  <si>
    <t>c.shahar@nofar-energy.co.il</t>
  </si>
  <si>
    <t>שי</t>
  </si>
  <si>
    <t>050-9426111</t>
  </si>
  <si>
    <t>shaic@nofar-energy.co.il</t>
  </si>
  <si>
    <t>שירה</t>
  </si>
  <si>
    <t xml:space="preserve">גרינבאום </t>
  </si>
  <si>
    <t>054-6865842</t>
  </si>
  <si>
    <t>shira.g@nofar-energy.co.il</t>
  </si>
  <si>
    <t>שמרית</t>
  </si>
  <si>
    <t>טביב</t>
  </si>
  <si>
    <t>054-5589577</t>
  </si>
  <si>
    <t>shimrit@nofar-energy.co.il</t>
  </si>
  <si>
    <t>תומר</t>
  </si>
  <si>
    <t>פלד</t>
  </si>
  <si>
    <t>055-6852861</t>
  </si>
  <si>
    <t>tomer@nofar-energy.co.il</t>
  </si>
  <si>
    <t>תמי</t>
  </si>
  <si>
    <t>פישמן</t>
  </si>
  <si>
    <t>סמנכלית משפטית</t>
  </si>
  <si>
    <t>Inna.r@nofar-energy.co.il</t>
  </si>
  <si>
    <t xml:space="preserve">מספר רכב: </t>
  </si>
  <si>
    <t>שם העובד :</t>
  </si>
  <si>
    <t xml:space="preserve">תאריך ארוע:  </t>
  </si>
  <si>
    <t>ביטוח/ליסינג:</t>
  </si>
  <si>
    <t>מס ארוע/דיווח:</t>
  </si>
  <si>
    <t>סכום נזק:</t>
  </si>
  <si>
    <t>עלות השתתפות עצמית:</t>
  </si>
  <si>
    <t>יש לציין שיש פטור השתתפות עצמית לרכבי ליסקאר החל מ8.12.23</t>
  </si>
  <si>
    <t xml:space="preserve">נופר -  נזק  למתלה צמיג </t>
  </si>
  <si>
    <t>יש לציין שיש פטור השתתפות עצמית לרכבי שלמה סיקסט</t>
  </si>
  <si>
    <t>10.11.21</t>
  </si>
  <si>
    <t>נופר-אי שמירת מרחק</t>
  </si>
  <si>
    <t xml:space="preserve"> השתתפות 4000</t>
  </si>
  <si>
    <t>12.7.21</t>
  </si>
  <si>
    <t xml:space="preserve">נופר - נק לצמיג </t>
  </si>
  <si>
    <t>14.12.21</t>
  </si>
  <si>
    <t>צ"ג</t>
  </si>
  <si>
    <t>ללא פגיעה ברכוש,רוכב קטנוע רוצה לתבוע</t>
  </si>
  <si>
    <t>ללא חיוב-פטור השתתפות עצמית</t>
  </si>
  <si>
    <t>תאונה קשה</t>
  </si>
  <si>
    <t>נזק עצמי,עובדת נכנסה בצד ג</t>
  </si>
  <si>
    <t>24.11.22</t>
  </si>
  <si>
    <t>נזק עצמי,רוורס על מיכלית</t>
  </si>
  <si>
    <t>24.8.22</t>
  </si>
  <si>
    <t>נזק עצמי</t>
  </si>
  <si>
    <t xml:space="preserve">אורן בן שימול </t>
  </si>
  <si>
    <t>24.9.21</t>
  </si>
  <si>
    <t>גניבת רכב</t>
  </si>
  <si>
    <t>אין תיעוד לחיוב</t>
  </si>
  <si>
    <t>29.1.22</t>
  </si>
  <si>
    <t xml:space="preserve">נופר - אי שמירת מרחק </t>
  </si>
  <si>
    <t>26.6.22</t>
  </si>
  <si>
    <t>נגד צד ג-טרם תוקן לבקשת הלקוחה</t>
  </si>
  <si>
    <t>לא חוייבנו כרגע</t>
  </si>
  <si>
    <t>29.7.22</t>
  </si>
  <si>
    <t>נגד צד ג</t>
  </si>
  <si>
    <t>5.5.22</t>
  </si>
  <si>
    <t>8.9.22</t>
  </si>
  <si>
    <t>שפשוף רכב בחנייה</t>
  </si>
  <si>
    <t>ללא חיוב-נגד צד ג</t>
  </si>
  <si>
    <t xml:space="preserve">נופר - נזק לצמיג </t>
  </si>
  <si>
    <t>ללא חיוב</t>
  </si>
  <si>
    <t>14.12.22</t>
  </si>
  <si>
    <t>נגד צד ג,נזק קטן.</t>
  </si>
  <si>
    <t>נזק עצמי-צד ג לא נמצא, נזק קטן בדלת</t>
  </si>
  <si>
    <t>11.1.23</t>
  </si>
  <si>
    <t>נזק לתמרור בנסיעה ברוורס</t>
  </si>
  <si>
    <t>ללא חיוב-כנראה ללא נזק ברכב בעת החזרה</t>
  </si>
  <si>
    <t>דוח לפוליסה, נכנס ברכב צד ג'</t>
  </si>
  <si>
    <t>14.2.23</t>
  </si>
  <si>
    <t>מעורב צד ג,עובד שלנו אשם</t>
  </si>
  <si>
    <t>לא חוייב  לא תוקן</t>
  </si>
  <si>
    <t>אירוע פח"ע</t>
  </si>
  <si>
    <t>ללא חיוב-אירוע פח"ע</t>
  </si>
  <si>
    <t>12.7.22</t>
  </si>
  <si>
    <t>לא חוייב -לא תוקן</t>
  </si>
  <si>
    <t>23.1.23</t>
  </si>
  <si>
    <t>נגד צד ג,מוקד אח</t>
  </si>
  <si>
    <t>לא חוייב</t>
  </si>
  <si>
    <t>15.3.23</t>
  </si>
  <si>
    <t>נזק עצמי-השתתפות 250</t>
  </si>
  <si>
    <t>נזק עצמי-שילם והגיש להוצאות-השתתפות 250 ₪</t>
  </si>
  <si>
    <t>18.3.23</t>
  </si>
  <si>
    <t>טרם חוייב כי טרם תוקן/הוחזר רכב</t>
  </si>
  <si>
    <t>17.3.23</t>
  </si>
  <si>
    <t>שמשה</t>
  </si>
  <si>
    <t>לא חוייב - לא תוקן</t>
  </si>
  <si>
    <t>דני חנצי'נסקי</t>
  </si>
  <si>
    <t>6.4.23</t>
  </si>
  <si>
    <t>מוקד אח,רכב פגע בו ולא השאיר פרטים</t>
  </si>
  <si>
    <t>7.4.23</t>
  </si>
  <si>
    <t>מראה ימ נשברה</t>
  </si>
  <si>
    <t>24.4.23</t>
  </si>
  <si>
    <t>לא חוייב-לא תוקן</t>
  </si>
  <si>
    <t>26.4.23</t>
  </si>
  <si>
    <t>נזק עצמי-שבר פנס אח ימ</t>
  </si>
  <si>
    <t>לא חוייב-תוקן, שילם השתתפות 250 מכספו</t>
  </si>
  <si>
    <t>11.5.23</t>
  </si>
  <si>
    <t>נזק עצמי-איבוד מפתח</t>
  </si>
  <si>
    <t xml:space="preserve">חוייבנו 1709.40 לא כולל מע"מ </t>
  </si>
  <si>
    <t>רועי אדר</t>
  </si>
  <si>
    <t>נגד צד ג- לא חוייב</t>
  </si>
  <si>
    <t>מסתמן שלא יחוייב-פטור השתתפות</t>
  </si>
  <si>
    <t>טרם חוייב</t>
  </si>
  <si>
    <t>גמיל פאחורי</t>
  </si>
  <si>
    <t>לא יחוייב-נגד צד ג</t>
  </si>
  <si>
    <t>כרגע דוח חוזר לפוליסה,עקב כך שלצד ג לא היה ביטוח</t>
  </si>
  <si>
    <t>עצמי</t>
  </si>
  <si>
    <t>לבדוק אם קשור לנזק ישן- לא ידוע תאריך מקרה, נזק חזית</t>
  </si>
  <si>
    <t>4.9.23</t>
  </si>
  <si>
    <t>נזק גחון- עצמי</t>
  </si>
  <si>
    <t>נזק עצמי-נכנס בבטונדה</t>
  </si>
  <si>
    <t xml:space="preserve"> ליסקאר</t>
  </si>
  <si>
    <t>תוקן ע"י צד ג ונסגר</t>
  </si>
  <si>
    <t>עובד אשם בתאונה נגד צד ג</t>
  </si>
  <si>
    <t>נופר אנרגי-קרסו</t>
  </si>
  <si>
    <t>צד ג נגדנו</t>
  </si>
  <si>
    <t>עובד אשם בתאונה נגד צד ג-צד ג ויתר על התערבות ביטוח
עקב נזק קטן בין שני הרכבים</t>
  </si>
  <si>
    <t>7.10.23</t>
  </si>
  <si>
    <t>מעין אס</t>
  </si>
  <si>
    <t>13.10.23</t>
  </si>
  <si>
    <t>אשמת עובדת,פוליסה,פנס שבור</t>
  </si>
  <si>
    <t>עובדת לקחה אשמה על עצמה</t>
  </si>
  <si>
    <t>מוקד אחורי שמאלי, גיליתי את הנזק בדיעבד בביקורת לרכב</t>
  </si>
  <si>
    <t>פוליסה, אשמת עובד</t>
  </si>
  <si>
    <t>עובד פגע עם חזית רכבו במוקד אח שמ-איזור פגוש ברכב צד ג</t>
  </si>
  <si>
    <t>31.10.23</t>
  </si>
  <si>
    <t>אשמת עובד -נופר שילמה על הנזק</t>
  </si>
  <si>
    <t>עובד שבר מראה באשמתו,אין ביטוח פנסים ומראות, נזק פחות מהשתתפות</t>
  </si>
  <si>
    <t>4.11.23</t>
  </si>
  <si>
    <t>אשמת עובד-איבדה את השלט של הרכב</t>
  </si>
  <si>
    <t>10.11.23</t>
  </si>
  <si>
    <t>מוקד אחורי שמאלי, רכב צד ג נכנס ברכב מבוטח</t>
  </si>
  <si>
    <t>12.11.23</t>
  </si>
  <si>
    <t>רשלנות נהג</t>
  </si>
  <si>
    <t>עובד תדלק אוריאה בפתח של הדלק-תביעה לפוליסה,אין השתתפות לאחר בירור</t>
  </si>
  <si>
    <t>סופי בלקסטון</t>
  </si>
  <si>
    <t>רכב צד ג נכנס ברכב שלנו</t>
  </si>
  <si>
    <t>כנראה תביעה לפוליסה</t>
  </si>
  <si>
    <t>נכנסו ברכב שלנו, אין פרטי צד ג.</t>
  </si>
  <si>
    <t>רכב נכנס ברכב של עובד שלנו מאחורה ברמזור</t>
  </si>
  <si>
    <t>עובד של אשם,תביעה לפוליסה</t>
  </si>
  <si>
    <t>רכב שלנו שפשף רכב חונה</t>
  </si>
  <si>
    <t>עובד אשם תאונה עצמית</t>
  </si>
  <si>
    <t>דפק את הרכב בסופר</t>
  </si>
  <si>
    <t>29.12.23</t>
  </si>
  <si>
    <t xml:space="preserve">רכב נכנס ברכב של העובדת </t>
  </si>
  <si>
    <t>28.1.24</t>
  </si>
  <si>
    <t>רכב נכנס ברכב של העובד שלנו</t>
  </si>
  <si>
    <t>31.1.24</t>
  </si>
  <si>
    <t>כנראה שרכב נכנס בו מבלי להשאיר פרטים- נזק ברדאר קד</t>
  </si>
  <si>
    <t>28.2.24</t>
  </si>
  <si>
    <t>רכב נכנס בו מאחור</t>
  </si>
  <si>
    <t>1.3.24</t>
  </si>
  <si>
    <t>נזק עצמי בגחון מפגיעה במדרכה</t>
  </si>
  <si>
    <t>5.4.24</t>
  </si>
  <si>
    <t>נגד צד ג/ עצמי</t>
  </si>
  <si>
    <t>כנראה לא לתיקון</t>
  </si>
  <si>
    <t>הגיע לרכב וראה שריטה גדולה על הצד</t>
  </si>
  <si>
    <t>פגעה בקיר נמוך בחזית הרכב, תאריך משוערך</t>
  </si>
  <si>
    <t>נכנס ברכב מאחורה</t>
  </si>
  <si>
    <t>17.5.24</t>
  </si>
  <si>
    <t>אירוע פריצה</t>
  </si>
  <si>
    <t>שברו שמשה קטנה אח שמ</t>
  </si>
  <si>
    <t>נזק כנגד צד ג</t>
  </si>
  <si>
    <t>20.5.24</t>
  </si>
  <si>
    <t>פגעו ברכב ללא השארת פרטים</t>
  </si>
  <si>
    <t>מראות</t>
  </si>
  <si>
    <t>שבר בכיסוי מראה קד שמ</t>
  </si>
  <si>
    <t>שבר לרוכב קטנוע את הידית- עלות של 100 ₪, סגירה מול לקוח</t>
  </si>
  <si>
    <t>1.6.24</t>
  </si>
  <si>
    <t>נזק עצמי של עובדת, נכנסה במעקה בטיחות</t>
  </si>
  <si>
    <t>6.6.24</t>
  </si>
  <si>
    <t>עובד הגיע לחניון ומצא את הרכב עם שריטות</t>
  </si>
  <si>
    <t>עלתה על ברזל בכביש וכתוצאה התפוצץ צמיג והתעקם גנט</t>
  </si>
  <si>
    <t>עצמי/נגד צד ג</t>
  </si>
  <si>
    <t>לא ברור מי אשם,מוקד חזית שמ</t>
  </si>
  <si>
    <t>רכב פגע במבוטחת והשאיר פרטים</t>
  </si>
  <si>
    <t>19.6.24</t>
  </si>
  <si>
    <t>עובד שלנו שפשף רכב צד ג</t>
  </si>
  <si>
    <t>28.6.24</t>
  </si>
  <si>
    <t>עובד תדלק אוריאה במקום סולר</t>
  </si>
  <si>
    <t>נזק עצמי בטמבון קדמי</t>
  </si>
  <si>
    <t>רכב על ברזל ונתקע בשטח, עלות חילוץ 2000 ₪, ה.ע 1611 ₪</t>
  </si>
  <si>
    <t>28.7.24</t>
  </si>
  <si>
    <t>נזק קטן,ממתינים להתפתחויות</t>
  </si>
  <si>
    <t>רכב צד ג נכנס ברכב שלנו מאחורה</t>
  </si>
  <si>
    <t xml:space="preserve">עובד שפשף רכב צד ג מסוג אאודי </t>
  </si>
  <si>
    <t>31.8.24</t>
  </si>
  <si>
    <t>עובד נכנס בחזיר בר</t>
  </si>
  <si>
    <t>בגין נזקים ברכב שכור שהוחזר להשכרה</t>
  </si>
  <si>
    <t>שבר בפנס- נזק עצמי</t>
  </si>
  <si>
    <t>כלול השתתפות עצמית</t>
  </si>
  <si>
    <t>7.9.24</t>
  </si>
  <si>
    <t>בעלה של העובדת (רוית לוז) עבר באדום ונכנס ברכב צד ג</t>
  </si>
  <si>
    <t>נהג נכנס ברכב שלנו מאחורה</t>
  </si>
  <si>
    <t>13.9.24</t>
  </si>
  <si>
    <t>אוטובוס של מטרופולין נכנס ברכב של עובדת מאחורה</t>
  </si>
  <si>
    <t>נגד עיריית אשדוד</t>
  </si>
  <si>
    <t>שני צמיגים התפוצצו מברזל שהיה בכביש אשדוד, נבדק מול העירייה ע"י צליל לגבי פיצוי</t>
  </si>
  <si>
    <t>מישהו חלף ושבר כיסוי מראה קד שמ</t>
  </si>
  <si>
    <t>עובדת נכנסה ברכב צד ג מאחורה</t>
  </si>
  <si>
    <t xml:space="preserve">בעלה של העובדת עלה על אבן בעת הישמע אזעקה </t>
  </si>
  <si>
    <t>תיעוד בלבד, אשמת צד ג</t>
  </si>
  <si>
    <t>29.10.24</t>
  </si>
  <si>
    <t>רכב צד ג נכנס ברכב שלנו מאחורה, אין ביטוח לרכב שפגע</t>
  </si>
  <si>
    <t>החזיר רכב עם מכה בכנף קד ימ</t>
  </si>
  <si>
    <t>22.10.24</t>
  </si>
  <si>
    <t>עובד לא דיווח, קיבלנו הודעה מצד ג</t>
  </si>
  <si>
    <t>נהג אשם</t>
  </si>
  <si>
    <t>רכב נכנס ברכב שלו מאחורה בכיכר</t>
  </si>
  <si>
    <t>468 לפני</t>
  </si>
  <si>
    <t>החזיר רכב עם שפשוף חזית שמ</t>
  </si>
  <si>
    <t>אשמת נהג</t>
  </si>
  <si>
    <t>30.12.24</t>
  </si>
  <si>
    <t>אשמת עובד</t>
  </si>
  <si>
    <t>250 שח השתתפות עצמית</t>
  </si>
  <si>
    <t>נתקע בגדר ושבר פנס אח ימ</t>
  </si>
  <si>
    <t>רכב שרט רכב עובד</t>
  </si>
  <si>
    <t>1900 השתתפות</t>
  </si>
  <si>
    <t>תאונה עם משאית</t>
  </si>
  <si>
    <t>עובד אשם בתאונה</t>
  </si>
  <si>
    <t>תאונה עם מעקה בטיחות/אי תנועה</t>
  </si>
  <si>
    <t>עובד אשם</t>
  </si>
  <si>
    <t>21.1.25</t>
  </si>
  <si>
    <t>נהג של מוסך עשה תאונה עם הרכב,אשמת צד ג</t>
  </si>
  <si>
    <t>אין, יתוקן על ידי המוסך ללא עלות, כולל רכב חלופי על חשבונם</t>
  </si>
  <si>
    <t>עובד עשה רוורס על קיר בחניון בכפר סבא,אשמת עובד</t>
  </si>
  <si>
    <t>כרגע לא מתוקן, לצורך תיעוד בלבד</t>
  </si>
  <si>
    <t>תאונת שרשרת, עובדת פגעה ראשונה,אשמת עובדת</t>
  </si>
  <si>
    <t>פגיעה קלה מאחור, עובד אשם</t>
  </si>
  <si>
    <t>עובד נכנס ברכב מאחור, כרגע צד ג החליט לא להפעיל ביטוח נוכח הנזק המינורי</t>
  </si>
  <si>
    <t xml:space="preserve">אשמת עובד </t>
  </si>
  <si>
    <t>עובד נכנס ברכב צד ג מאחורה, עובד סגר את זה באופן פרטי בטענה שהיה חולה ולא הרגיש טוב למרות שבוצע לו הסדר ביטוחי לאירוע</t>
  </si>
  <si>
    <t>כנראה 250 ה.ע</t>
  </si>
  <si>
    <t>עובדת שברה מראה קד שמ</t>
  </si>
  <si>
    <t>כנראה 290 ₪ ה.ע</t>
  </si>
  <si>
    <t>עובד עשה רוורס ושבר פנס ועשה גם נזק קאן למוקד אחורי שמאלי שכרגע לא יתוקן</t>
  </si>
  <si>
    <t>27.2.25</t>
  </si>
  <si>
    <t>אשמת עובדת</t>
  </si>
  <si>
    <t>שבר מראה קד שמ</t>
  </si>
  <si>
    <t>11.3.25</t>
  </si>
  <si>
    <t xml:space="preserve">עובד נכנס בעדר כבשים, אשמת עובד, רכב לא לתיקון </t>
  </si>
  <si>
    <t>שבר פנס קד ימ</t>
  </si>
  <si>
    <t>21.3.25</t>
  </si>
  <si>
    <t>אשמת צד ג</t>
  </si>
  <si>
    <t>מוקד אח שמ, צד ג שפשף רכב שלנו</t>
  </si>
  <si>
    <t>6.4.25</t>
  </si>
  <si>
    <t>מוקד אחורי,יתוקן כנראה עצמאית ע"י צד ג, נזק קטן ממש</t>
  </si>
  <si>
    <t xml:space="preserve">אשמת עובד, נכנס ברכב צד ג </t>
  </si>
  <si>
    <t xml:space="preserve">אשמת צד ג </t>
  </si>
  <si>
    <t xml:space="preserve">רכב צד ג נכנס ברכב עובד מאחור, תשלום 600 ה.ע </t>
  </si>
  <si>
    <t>16.4.25</t>
  </si>
  <si>
    <t>רכב צד ג נכנס ברכב עובד מאחורה</t>
  </si>
  <si>
    <t>מנורה</t>
  </si>
  <si>
    <t>עובד עשה רוורס על רכב צד ג,להכניס את הרכב לתיקון לצורך ביטול ה.ע, שולמה ה.ע 2963 למנורה</t>
  </si>
  <si>
    <t xml:space="preserve">דפקו לעובד את הרכב והשאירו פתק </t>
  </si>
  <si>
    <t>2.6.25</t>
  </si>
  <si>
    <t xml:space="preserve">כרגע אין נזק לדברי הנהג, יעדכן במידה ויש צורך בתהערבות ביטוח </t>
  </si>
  <si>
    <t>3.6.25</t>
  </si>
  <si>
    <t>מישהו נכנס לו ברכב ולא השאיר פרטים</t>
  </si>
  <si>
    <t>לא ידוע</t>
  </si>
  <si>
    <t>בטון עף לעובד על הרכב ולא יוצא בשטיפה</t>
  </si>
  <si>
    <t xml:space="preserve">נגד צד ג </t>
  </si>
  <si>
    <t xml:space="preserve">רכב צד ג נכנס ברכב עובד מאחורה </t>
  </si>
  <si>
    <t xml:space="preserve">עובד שפשף עמוד </t>
  </si>
  <si>
    <t xml:space="preserve">אופנוע נכנס ברכב שלנו מאחור, צד ג מנסה להתנער </t>
  </si>
  <si>
    <t>רכב נכנס ברכב של העובד מאחור</t>
  </si>
  <si>
    <t xml:space="preserve">נזק עצמי- אשמת עובד </t>
  </si>
  <si>
    <t>עובד נכנס ברכב צד ג מאחור</t>
  </si>
  <si>
    <t>תאונה עצמית כנראה</t>
  </si>
  <si>
    <t xml:space="preserve">מישהו דפק את הרכב של העובדת ולא השאיר פרטים </t>
  </si>
  <si>
    <t xml:space="preserve">חלון שמ אח נשבר </t>
  </si>
  <si>
    <t>4.4.25</t>
  </si>
  <si>
    <t>מישהו נכנס ברכב עובד מקדימה</t>
  </si>
  <si>
    <t xml:space="preserve">הבן של צור נהג, עובד לא אשם </t>
  </si>
  <si>
    <t>שפשף רכב של עובד אחר בחברה בחנייה (רובי)</t>
  </si>
  <si>
    <t>גואנה סטרוק</t>
  </si>
  <si>
    <t>8.8.25</t>
  </si>
  <si>
    <t xml:space="preserve">רכב צד ג נכנס ברכב עובדת מאחור </t>
  </si>
  <si>
    <t>נזק מרכב תחתון, אשמת עובדת , יחוייב כנראה בה.ע עקב נזק במרכב תחתון ללא פטור מה.ע</t>
  </si>
  <si>
    <t>עובד הגיע לאחר טיסה לחול וראה נזק ברכב בחניון בדלת מטען</t>
  </si>
  <si>
    <t xml:space="preserve">עובדת שפשה רכב בנתיב </t>
  </si>
  <si>
    <t xml:space="preserve"> שני מוקדי נזק , דלת מטען ומוקד ימני</t>
  </si>
  <si>
    <t xml:space="preserve">2758 ה.ע </t>
  </si>
  <si>
    <t xml:space="preserve">עובד שפשף נגרר, עובד אשם </t>
  </si>
  <si>
    <t>5.9.25</t>
  </si>
  <si>
    <t xml:space="preserve">אשמת בת של עובד </t>
  </si>
  <si>
    <t xml:space="preserve">בת של עובד (מוראל) עשתה תאונה , פרטים נוספים בבירור </t>
  </si>
  <si>
    <t>14.9.25</t>
  </si>
  <si>
    <t xml:space="preserve">1529+מעמ </t>
  </si>
  <si>
    <t xml:space="preserve">עובדת איבדה מפתח </t>
  </si>
  <si>
    <t>359.32+מעמ</t>
  </si>
  <si>
    <t xml:space="preserve">לעובד נשברה שמשת חזית, שולם השתתפות עצמית בגין זה </t>
  </si>
  <si>
    <t>2710 ה.ע</t>
  </si>
  <si>
    <t>אשתו של עובד שפשפה דלת וכנף ימ אח , בבדיקה אם יש עלות ה.עצמית</t>
  </si>
  <si>
    <t xml:space="preserve">עובד פתח דלת ושבר פנס של צד ג </t>
  </si>
  <si>
    <t>26.9.25</t>
  </si>
  <si>
    <t xml:space="preserve">שפשה רכב צד ג </t>
  </si>
  <si>
    <t xml:space="preserve">מוקד חזית, אשמת עובד, שפשף עמוד </t>
  </si>
  <si>
    <t>3.10.25</t>
  </si>
  <si>
    <t>ללא</t>
  </si>
  <si>
    <t>שבר בשמשת חזית, צריך לבדוק מה העלות</t>
  </si>
  <si>
    <t>27.10,5.10</t>
  </si>
  <si>
    <t>618 לפני מעמ</t>
  </si>
  <si>
    <t xml:space="preserve">נזק ל2 צמיגים בתאריכים שונים </t>
  </si>
  <si>
    <t xml:space="preserve">אלה מרשאק </t>
  </si>
  <si>
    <t xml:space="preserve">אשמת עובדת </t>
  </si>
  <si>
    <t xml:space="preserve">רכב שפשף רכב עובדת ולא השאיר פרטים </t>
  </si>
  <si>
    <t xml:space="preserve">לבדוק </t>
  </si>
  <si>
    <t xml:space="preserve">עובד החזיר רכב עם מכה בדלת מטען </t>
  </si>
  <si>
    <t>לא ברור מי אשם</t>
  </si>
  <si>
    <t xml:space="preserve">נזק משמעות נמוכה, לא יתוקן, נהג צד ג ירד מהתיק </t>
  </si>
  <si>
    <t>280 לפני</t>
  </si>
  <si>
    <t xml:space="preserve">אירוע אשמת עובדת </t>
  </si>
  <si>
    <t xml:space="preserve">בעלה של עובדת נכנס ברכב צד ג </t>
  </si>
  <si>
    <t>15.11.25</t>
  </si>
  <si>
    <t xml:space="preserve">אירוע באשמת צד ג </t>
  </si>
  <si>
    <t xml:space="preserve">רכב צד ג נכנס ברכב עובד מאחור </t>
  </si>
  <si>
    <t xml:space="preserve">שגיא סנדלר </t>
  </si>
  <si>
    <t xml:space="preserve">עובד עשה רוורס על רכב חונה </t>
  </si>
  <si>
    <t xml:space="preserve">עובד שפשף רכב צד ג </t>
  </si>
  <si>
    <t xml:space="preserve">שפך נוזל בטעות לכניסת usb, זה תקול </t>
  </si>
  <si>
    <t>309 לפני מעמ</t>
  </si>
  <si>
    <t>נזק לצמיג קד שמ</t>
  </si>
  <si>
    <t xml:space="preserve">נזק לצמיג קד שמ </t>
  </si>
  <si>
    <t>329 לפני מעמ</t>
  </si>
  <si>
    <t>נזק לצמיג אח ימ</t>
  </si>
  <si>
    <t xml:space="preserve">נסיעה בחוסר אוויר </t>
  </si>
  <si>
    <t>28.11.25</t>
  </si>
  <si>
    <t>עצמי-נזק בכנף ימ אח</t>
  </si>
  <si>
    <t xml:space="preserve">אשמת עובד, הגיע לרכב וראה נזק </t>
  </si>
  <si>
    <t>1574 לפני מעמ</t>
  </si>
  <si>
    <t xml:space="preserve">מגן גחון </t>
  </si>
  <si>
    <t xml:space="preserve">הח מגן גחון, הוחלף על ידנו, נקרע לעובד עקב נסיעה בשטח עבודה </t>
  </si>
  <si>
    <t>600 לפני מעמ</t>
  </si>
  <si>
    <t>עובד עלה על בור וקרע 2 צמיגים ימניים</t>
  </si>
  <si>
    <t>רכב צד ג נכנס ברכב עובד חזיתית</t>
  </si>
  <si>
    <t xml:space="preserve">עובד שפשף רכב צד ג והשאיר פתק </t>
  </si>
  <si>
    <t>25.12.25</t>
  </si>
  <si>
    <t xml:space="preserve">רכב עובד השתפשף ברכב צד ג </t>
  </si>
  <si>
    <t>בבירור</t>
  </si>
  <si>
    <t xml:space="preserve">נקרע מגן גחון </t>
  </si>
  <si>
    <t>עובד הגיע וראה שריטה ברכב</t>
  </si>
  <si>
    <t xml:space="preserve">2464 לפני </t>
  </si>
  <si>
    <t xml:space="preserve">עובד החזיר רכב עם נזק בצד שמאל </t>
  </si>
  <si>
    <t>14.1.26</t>
  </si>
  <si>
    <t xml:space="preserve">עובדת שפשה רכב צד ג </t>
  </si>
  <si>
    <t xml:space="preserve">2142.10 לפני </t>
  </si>
  <si>
    <t>איבוד מפתח</t>
  </si>
  <si>
    <t xml:space="preserve">משאית נכנסה ברכב עובד מאחור </t>
  </si>
  <si>
    <t xml:space="preserve">ניסים אזגרי </t>
  </si>
  <si>
    <t xml:space="preserve">1695 לפני מעמ </t>
  </si>
  <si>
    <t xml:space="preserve">נכנס בכלב באמצע כביש </t>
  </si>
  <si>
    <t xml:space="preserve">נזק מוקד חזית </t>
  </si>
  <si>
    <t xml:space="preserve">אסף גבעון </t>
  </si>
  <si>
    <t xml:space="preserve">נזק עצמי </t>
  </si>
  <si>
    <t xml:space="preserve">חפץ בכביש 6 </t>
  </si>
  <si>
    <t xml:space="preserve">עובד הגיע לרכב והבחין במכות , העביר פרטי צד ג לחברת השכרה </t>
  </si>
  <si>
    <t xml:space="preserve">רכב צד ג שפשף רכב של עובד שלנו -כנראה צד ג ללא ביטוח </t>
  </si>
  <si>
    <t>11.3.26</t>
  </si>
  <si>
    <t>צד ג אשם</t>
  </si>
  <si>
    <t xml:space="preserve">רכב פגע ברכב עובד, לצד ג אין ביטוח בודקים אפשרות לתיקון עצמאית , שולם 600 ₪ פיצוי על ידי צד ג </t>
  </si>
  <si>
    <t>12.3.26</t>
  </si>
  <si>
    <t xml:space="preserve">עובד הגיע והבחין בשפשוף ברכב </t>
  </si>
  <si>
    <t xml:space="preserve">נהג התחפר בשטח וגרם לנזק תחתון ומגן קדמי </t>
  </si>
  <si>
    <t xml:space="preserve">אורטל ביאלסקי </t>
  </si>
  <si>
    <t>29.3.26</t>
  </si>
  <si>
    <t>נגד אוטובוס אפיקים</t>
  </si>
  <si>
    <t xml:space="preserve">כרגע אין ככ פרטי צד ג, נהג אוטובוס שפשף עובדת וברח </t>
  </si>
  <si>
    <t xml:space="preserve">מוקד ימני קדמי באשמת עובדת </t>
  </si>
  <si>
    <t xml:space="preserve">הוחזר רכב להרץ עם שקע בכנף אחורית ימנית, לא ברור מה הגורם לנזק </t>
  </si>
  <si>
    <t xml:space="preserve">אשתו של עובד שפשפה את הרכב, כרגע לא עושים כלום </t>
  </si>
  <si>
    <t xml:space="preserve">מוקד שמאלי , אשמת צד ג </t>
  </si>
  <si>
    <t>רועי קרבל</t>
  </si>
  <si>
    <t>3.5.26</t>
  </si>
  <si>
    <t>150 לפני</t>
  </si>
  <si>
    <t xml:space="preserve">עובד לא הזיז את הרכב מעמדת טעינה בזמן וקיבל קנס של 150 ₪ </t>
  </si>
  <si>
    <t>309+מעמ</t>
  </si>
  <si>
    <t>עובד עלה על בור</t>
  </si>
  <si>
    <t xml:space="preserve">צמיג נקרע כתוצאה מרשלנות עובד </t>
  </si>
  <si>
    <t xml:space="preserve">רכב צד ג ניסה להשתלב ונכנס ברכב עובד </t>
  </si>
  <si>
    <t>מוקד חזית ימ,אשמה הדדית כנראה, נשלח דוח שמאי ב25.5.26</t>
  </si>
  <si>
    <t>12.5.26</t>
  </si>
  <si>
    <t>רכב צד ג נכנס ברכב עובד מאחור ,אין פרטי צד ג נחשב נזק עצמי</t>
  </si>
  <si>
    <t>2142.10 משוערך</t>
  </si>
  <si>
    <t xml:space="preserve">אשמת נהג </t>
  </si>
  <si>
    <t xml:space="preserve">עובד החזיר רכב עם מפתח אחד </t>
  </si>
  <si>
    <t>אשמה הדדית</t>
  </si>
  <si>
    <t xml:space="preserve">רכב צד שפשף רכב עובד בחזית הרכב </t>
  </si>
  <si>
    <t xml:space="preserve">רכב חתך ופגע בדופן שמאלית של רכב עובד ולא השאיר פרטים </t>
  </si>
  <si>
    <t>יהיה  נזק עצמי</t>
  </si>
  <si>
    <t xml:space="preserve">רכב שפשף רכב עובד ולא השאיר פרטים </t>
  </si>
  <si>
    <t>31.5.26</t>
  </si>
  <si>
    <t xml:space="preserve">אשמה הדדית </t>
  </si>
  <si>
    <t xml:space="preserve">רכב עובד ורכב צד ג השתפשפו זה בזה </t>
  </si>
  <si>
    <t>אשמת נהגת</t>
  </si>
  <si>
    <t xml:space="preserve">בת של עובדת נכנסה במחסון צבאי ליד אבני חפץ </t>
  </si>
  <si>
    <t>סוג החלק</t>
  </si>
  <si>
    <t>מוסך האומנים אשדוד</t>
  </si>
  <si>
    <t>הערות</t>
  </si>
  <si>
    <t>הנחות מוסכים על פי הסכמים:</t>
  </si>
  <si>
    <t>שמן מנוע 0W/20RN17-ליטר אחד-מגאן</t>
  </si>
  <si>
    <t>הוד נהריה: חליפי 15%  מקורי 10%, עבודה 10%</t>
  </si>
  <si>
    <t>מסנן שמן מקורי-רנו מגאן</t>
  </si>
  <si>
    <t>רפידות בלם קד חליפי-רנו מגאן</t>
  </si>
  <si>
    <t>האומנים אשדוד: חלפים: 10%, עבודה 15%</t>
  </si>
  <si>
    <t>צלחות בלם קד חליפי-רנו מגאן</t>
  </si>
  <si>
    <t>רפידות בלם קד מקורי-גראנד קופה</t>
  </si>
  <si>
    <t>רון שטיין כפר סבא: חלפים מקוריים 10%, בלמים</t>
  </si>
  <si>
    <t>משולש קד חליפי-גראנד קופה</t>
  </si>
  <si>
    <t>מקוריים 15%, עבודה 15%.</t>
  </si>
  <si>
    <t>מסנן אוויר-רנו מגאן</t>
  </si>
  <si>
    <t>מסנן מזגן-רנו מגאן</t>
  </si>
  <si>
    <t>סט תזמון מושלם-רנו מגאן</t>
  </si>
  <si>
    <t>נוזל קירור לפי ליטר-מגאן</t>
  </si>
  <si>
    <t>נוזל בלם-מגאן/גראנד קופה-0.5 ליטר</t>
  </si>
  <si>
    <t>מסנן סולר מקורי-מגאן</t>
  </si>
  <si>
    <t>רפידות אח חליפי- מגאן</t>
  </si>
  <si>
    <t>צלחות אח עם מיסב חליפי-מגאן</t>
  </si>
  <si>
    <t>מסנן שמן מקורי-אקסטרייל</t>
  </si>
  <si>
    <t>שמן מנוע 5W30-ליטר</t>
  </si>
  <si>
    <t>מסנן שמן מקורי-5008</t>
  </si>
  <si>
    <t>שמן מנוע -קנגו</t>
  </si>
  <si>
    <t>מסנן שמן חליפי-קנגו</t>
  </si>
  <si>
    <t>מסנן אוויר חליפי-קנגו</t>
  </si>
  <si>
    <t>אוריאה לפי ליטר</t>
  </si>
  <si>
    <t>מסנן שמן מקורי ברלינגו /קנגו/ גראנד קופה</t>
  </si>
  <si>
    <t>צלחת בלם רנו קנגו חליפי</t>
  </si>
  <si>
    <t>רפידות בלם אח קנגו חליפי</t>
  </si>
  <si>
    <t>מסנן שמן ספורטאז דיזל מקורי</t>
  </si>
  <si>
    <t>מסנן אוויר ספורטאז דיזל מקורי</t>
  </si>
  <si>
    <t>מסנן מזגן ספורטאז דיזל חליפי</t>
  </si>
  <si>
    <t>מסנן שמן טויוטה סיטי חליפי</t>
  </si>
  <si>
    <t>מסנן אויר טויוטה סיטי חליפי</t>
  </si>
  <si>
    <t>מסנן מזגן טויוטה סיטי חליפי</t>
  </si>
  <si>
    <t>מסנן סולר טויוטה סיטי חליפי</t>
  </si>
  <si>
    <t>רפידות/דיסקיות קד' ספורטאז חליפי</t>
  </si>
  <si>
    <t>רפידות בלם קד' מקורי טויטה סיטי</t>
  </si>
  <si>
    <t>שמן מנוע 5W40-ליטר</t>
  </si>
  <si>
    <t>מסנן שמן חליפי אאוטלנדר</t>
  </si>
  <si>
    <t>מסנן אויר לחלל נוסעים חליפי אאוטלנדר</t>
  </si>
  <si>
    <t>מסנן אויר חליפי 5008</t>
  </si>
  <si>
    <t>מסנן מזגן חליפי 5008</t>
  </si>
  <si>
    <t>מסנן סולר חליפי ספורטאז דיזל</t>
  </si>
  <si>
    <t>רפידות בלם אח' חליפי ספורטאז דיזל</t>
  </si>
  <si>
    <t>מסנן שמן חליפי גראנד קופה</t>
  </si>
  <si>
    <t>מסנן אויר חליפי גראנד קופה</t>
  </si>
  <si>
    <t>מסנן מזגן חליפי גראנד קופה</t>
  </si>
  <si>
    <t>מסנן סולר מקורי גראנד קופה</t>
  </si>
  <si>
    <t>סט תזמון מושלם חליפי גראנד קופה</t>
  </si>
  <si>
    <t>פולי אלטרנטור קנגו חליפי</t>
  </si>
  <si>
    <t>מסנן סולר עם יחידת חימום קנגו חליפי</t>
  </si>
  <si>
    <t>מסנן אויר מקורי קנגו</t>
  </si>
  <si>
    <t>סט רצועות טיימינג קנגו מקורי</t>
  </si>
  <si>
    <t>סט רצועות מנוע קנגו מקורי</t>
  </si>
  <si>
    <t>נוזל בלם מקורי רנו קנגו</t>
  </si>
  <si>
    <t>מסנן אויר ברלינגו מקורי</t>
  </si>
  <si>
    <t>מסנן סולר ברלינגו מקורי</t>
  </si>
  <si>
    <t>רפידות בלם קד' גראנד קופה חליפי</t>
  </si>
  <si>
    <t>מסנן אויר מקורי גראנד קופה</t>
  </si>
  <si>
    <t>מסנן מזגן מקורי גראנד קופה</t>
  </si>
  <si>
    <t>מסנן שמן אקסטרייל חליפי</t>
  </si>
  <si>
    <t>מסנן אויר אקסטרייל חליפי</t>
  </si>
  <si>
    <t>רפידות בלם קד' אקסטרייל חליפי</t>
  </si>
  <si>
    <t>צלחת בלם קד' חליפי אקסטרייל</t>
  </si>
  <si>
    <t>רפידות בלם אח גראנד קופה חליפי</t>
  </si>
  <si>
    <t>צלחת בלם עם מיסב גראנד קופה חליפי</t>
  </si>
  <si>
    <t>מסנן אויר חליפי אאוטלנדר</t>
  </si>
  <si>
    <t>מסנן מזגן חליפי אאוטלנדר</t>
  </si>
  <si>
    <t>מצת חליפי אאוטלנדר</t>
  </si>
  <si>
    <t>רפידות בלם קד' חליפי אאוטלנדר</t>
  </si>
  <si>
    <t>צלחת בלם קד' חליפי אאוטלנדר</t>
  </si>
  <si>
    <t>מסנן אויר למנוע מקורי דסטר</t>
  </si>
  <si>
    <t>מסנן אויר למזגן מקורי דסטר</t>
  </si>
  <si>
    <t>מסנן שמן דסטר מקורי דסטר</t>
  </si>
  <si>
    <t>דיסקיות בלם קד' מקורי דסטר</t>
  </si>
  <si>
    <t xml:space="preserve">מסנן שמן מ.ג חליפי </t>
  </si>
  <si>
    <t>מסנן אויר מ.ג חליפי</t>
  </si>
  <si>
    <t>צינור לחץ לחיישן  טורבו חליפי קנגו</t>
  </si>
  <si>
    <t>משולש שמ חליפי קנגו</t>
  </si>
  <si>
    <t>רפידות בלם קד' חליפי קנגו</t>
  </si>
  <si>
    <t>מסנן אויר קליאו מקורי</t>
  </si>
  <si>
    <t>מסנן אויר למזגן קליאו מקורי</t>
  </si>
  <si>
    <t>מסנן שמן קליאו מקורי</t>
  </si>
  <si>
    <t>מסנן סולר טויוטה סיטי מקורי</t>
  </si>
  <si>
    <t>רפידות בלם קד' סיטי חליפי</t>
  </si>
  <si>
    <t>תושבת לבולמי זעזועים קד' חליפי קנגו</t>
  </si>
  <si>
    <t>מוט מייצב חליפי קנגו</t>
  </si>
  <si>
    <t>שמן גיר CVT J4 ליטר</t>
  </si>
  <si>
    <t>שמן מנוע דיזל בלבד ליטר</t>
  </si>
  <si>
    <t>צלחת בלם קד' ספורטאז חליפי</t>
  </si>
  <si>
    <t>גומיה לצירייה קנגו חליפי קד'</t>
  </si>
  <si>
    <t>מסנן תא נוסעים כפול חליפי</t>
  </si>
  <si>
    <t>סט רפידות אח חליפי אקסטרייל</t>
  </si>
  <si>
    <t>צלחת בלם אח אקסטרייל</t>
  </si>
  <si>
    <t>פלג חימום למים חליפי גראנד קופה</t>
  </si>
  <si>
    <t>רפידות בלם אח' חליפי 5008</t>
  </si>
  <si>
    <t>צלחת בלם אח חליפי 5008</t>
  </si>
  <si>
    <t>רפידות בלם קד' חליפי 5008</t>
  </si>
  <si>
    <t>משולש תח' ימ תחליפי אקסטרייל</t>
  </si>
  <si>
    <t>מסנן מזגן ברלינגו מקורי</t>
  </si>
  <si>
    <t>רפידות קד' ברלינגו מקורי</t>
  </si>
  <si>
    <t>צלחת קד' ברלינגו מקורי</t>
  </si>
  <si>
    <t>סט רפידות בלם אח מקורי ברלינגו</t>
  </si>
  <si>
    <t>מאוורר מנוע מושלם מקורי גראנד קופה</t>
  </si>
  <si>
    <t>מסנן שמן חליפי ארונה</t>
  </si>
  <si>
    <t>מסנן אויר למנוע חליפי דסטר</t>
  </si>
  <si>
    <t>מסנן שמן מקורי ארונה</t>
  </si>
  <si>
    <t>מסנן תא נוסעים חליפי ארונה</t>
  </si>
  <si>
    <t>צלחת בלם קד גראנד קופה חליפי</t>
  </si>
  <si>
    <t>מחירון פוליסות ביטוח רכבי ליסקאר-נופר אנרג'י</t>
  </si>
  <si>
    <t>מס"ד:</t>
  </si>
  <si>
    <t>בעלות:</t>
  </si>
  <si>
    <t>יצרן:</t>
  </si>
  <si>
    <t>דגם:</t>
  </si>
  <si>
    <t>שנתון:</t>
  </si>
  <si>
    <t>קוד :</t>
  </si>
  <si>
    <t>שם עובד:</t>
  </si>
  <si>
    <t>חברת ביטוח/סוכן:</t>
  </si>
  <si>
    <t>מחיר ביטוח:</t>
  </si>
  <si>
    <t>0590-0234</t>
  </si>
  <si>
    <t>שלמה- מלכי</t>
  </si>
  <si>
    <t>מקיף 8289,חובה 1842, מתוך המקיף 3600 עבור תוספת נהג חדש</t>
  </si>
  <si>
    <t>0351-0165</t>
  </si>
  <si>
    <t>שלמה-מלכי סוכנות</t>
  </si>
  <si>
    <t>חובה 1767 מקיף 7000</t>
  </si>
  <si>
    <t>סיד</t>
  </si>
  <si>
    <t>0416-00270</t>
  </si>
  <si>
    <t>מתן לוי *</t>
  </si>
  <si>
    <t>הפניקס- ליסקאר</t>
  </si>
  <si>
    <t xml:space="preserve">חובה ומקיף 7690 ₪ </t>
  </si>
  <si>
    <t>קליאו</t>
  </si>
  <si>
    <t>11.20.</t>
  </si>
  <si>
    <t>00771-0264</t>
  </si>
  <si>
    <t>אולה קילונבסקי*</t>
  </si>
  <si>
    <t>הפניקס-ליסקאר</t>
  </si>
  <si>
    <t>חובה ומקיף 5617 ₪</t>
  </si>
  <si>
    <t>אור בידוש*</t>
  </si>
  <si>
    <t xml:space="preserve">חובה + מקיף 9979 ₪ </t>
  </si>
  <si>
    <t>חובה+מקיף 9936 ₪</t>
  </si>
  <si>
    <t xml:space="preserve">אמ .ג'י </t>
  </si>
  <si>
    <t>A-243</t>
  </si>
  <si>
    <t>00443-0022</t>
  </si>
  <si>
    <t>מקיף וחובה 9365</t>
  </si>
  <si>
    <t>אוריאל מנדלסון*</t>
  </si>
  <si>
    <t>9348 מקיף וחובה</t>
  </si>
  <si>
    <t xml:space="preserve">מסחרי </t>
  </si>
  <si>
    <t>נתנאל חזות *</t>
  </si>
  <si>
    <t>הראל-אקורד</t>
  </si>
  <si>
    <t>מקיף 8470 וחובה 3817 גרירה ושמשות 750</t>
  </si>
  <si>
    <t>שלמה-מלכי</t>
  </si>
  <si>
    <t>חובה 1842 ומקיף 4450 ₪</t>
  </si>
  <si>
    <t>ספורטאז</t>
  </si>
  <si>
    <t>00416-0224</t>
  </si>
  <si>
    <t>יפתח שילה *</t>
  </si>
  <si>
    <t>מקיף וחובה 8628</t>
  </si>
  <si>
    <t>אורי אביקר *</t>
  </si>
  <si>
    <t>מקיף וחובה 7035</t>
  </si>
  <si>
    <t>00771-0250</t>
  </si>
  <si>
    <t>חובה+מקיף 7319 ₪</t>
  </si>
  <si>
    <t>חובה+מקיף 7609 ₪</t>
  </si>
  <si>
    <t>ציון יחזקאל *</t>
  </si>
  <si>
    <t>חובה 1805 מקיף 8816 ₪</t>
  </si>
  <si>
    <t>רוית לוז *</t>
  </si>
  <si>
    <t>חובה+מקיף 11521 ₪</t>
  </si>
  <si>
    <t>אסף גבעון *</t>
  </si>
  <si>
    <t>נטיה וסדזה</t>
  </si>
  <si>
    <t>חובה+מקיף 8554 ₪</t>
  </si>
  <si>
    <t>רעפאת *</t>
  </si>
  <si>
    <t>00728-0167</t>
  </si>
  <si>
    <t>מקיף 8061 חובה 1849, מחיר נהג חדש חובה 1827 ומקיף 1837</t>
  </si>
  <si>
    <t xml:space="preserve">נעם פישר </t>
  </si>
  <si>
    <t>מקיף 9727 חובה 1427, מחיר נהג חדש 4058 מקיף ו672 חובה</t>
  </si>
  <si>
    <t>מקיף 8061 חובה 1849</t>
  </si>
  <si>
    <t>קורולה  סטיישן</t>
  </si>
  <si>
    <t>00430-0118</t>
  </si>
  <si>
    <t>יאיר פנקר*</t>
  </si>
  <si>
    <t>חובה ומקיף 7862 ₪</t>
  </si>
  <si>
    <t>אמיר אבנון *</t>
  </si>
  <si>
    <t>מקיף 4360 וחובה 1842</t>
  </si>
  <si>
    <t>חובה ומקיף 9973 מתוכם 849 עבור נהג מגיל 24 ומעלה לבן של דותן</t>
  </si>
  <si>
    <t>0839-0236</t>
  </si>
  <si>
    <t>דני חנצינסקי*</t>
  </si>
  <si>
    <t>חובה ומקיף 8572</t>
  </si>
  <si>
    <t>יחיאל סלאמה *</t>
  </si>
  <si>
    <t>חובה 3853,מקיף 4500, גרירה ושמשות 600</t>
  </si>
  <si>
    <t>ניסן</t>
  </si>
  <si>
    <t xml:space="preserve">אקסטרייל אסנטה </t>
  </si>
  <si>
    <t>00624-0123</t>
  </si>
  <si>
    <t>מלכי-שלמה</t>
  </si>
  <si>
    <t>חובה 1849 מקיף 6127</t>
  </si>
  <si>
    <t>00590-0209</t>
  </si>
  <si>
    <t>מקיף וחובה 11567 ₪</t>
  </si>
  <si>
    <t>0059-00209</t>
  </si>
  <si>
    <t>שגיא סנדלר *</t>
  </si>
  <si>
    <t>לאוניד מרהסין *</t>
  </si>
  <si>
    <t>שלמה ביטוח</t>
  </si>
  <si>
    <t>חובה 1703 ומקיף 7386</t>
  </si>
  <si>
    <t>רפאל בן מלך *</t>
  </si>
  <si>
    <t>מקיף וחובה 7154</t>
  </si>
  <si>
    <t>00885-0519</t>
  </si>
  <si>
    <t>ליאנה ימין *</t>
  </si>
  <si>
    <t>מקיף וחובה 6700</t>
  </si>
  <si>
    <t>0771-0250</t>
  </si>
  <si>
    <t>חובה 1709, מקיף 7934, וסטארט 450</t>
  </si>
  <si>
    <t xml:space="preserve">טויוטה  </t>
  </si>
  <si>
    <t>00839-0236</t>
  </si>
  <si>
    <t>חובה ומקיף 8574</t>
  </si>
  <si>
    <t xml:space="preserve">אקסטרייל </t>
  </si>
  <si>
    <t>00624-0134</t>
  </si>
  <si>
    <t>עופר אוברלנדר *</t>
  </si>
  <si>
    <t>מקיף וחובה 7079</t>
  </si>
  <si>
    <t>00739-0294</t>
  </si>
  <si>
    <t>מקיף וחובה 7794</t>
  </si>
  <si>
    <t>טל דין *</t>
  </si>
  <si>
    <t>מקיף+חובה 7494</t>
  </si>
  <si>
    <t>אלירן אביטן*</t>
  </si>
  <si>
    <t>חובה ומקיף 9551 ₪</t>
  </si>
  <si>
    <t xml:space="preserve">רנו </t>
  </si>
  <si>
    <t xml:space="preserve">8562 מקיף וחובה </t>
  </si>
  <si>
    <t>0351-0179</t>
  </si>
  <si>
    <t>מקיף וחובה 9354</t>
  </si>
  <si>
    <t xml:space="preserve">דאצ'ה </t>
  </si>
  <si>
    <t xml:space="preserve">דאסטר </t>
  </si>
  <si>
    <t>00351-0142</t>
  </si>
  <si>
    <t>מנורה -אקורד</t>
  </si>
  <si>
    <t>חובה 1700 מקיף 5568</t>
  </si>
  <si>
    <t>jogger</t>
  </si>
  <si>
    <t>0351-0150</t>
  </si>
  <si>
    <t>הראל דרוקר +עידן</t>
  </si>
  <si>
    <t>מנורה-אקורד</t>
  </si>
  <si>
    <t>חובה 1844 ומקיף 9840 ש"ח</t>
  </si>
  <si>
    <t>סיאט</t>
  </si>
  <si>
    <t xml:space="preserve">ארונה </t>
  </si>
  <si>
    <t>00778-0509</t>
  </si>
  <si>
    <t>עתליה אמזלג</t>
  </si>
  <si>
    <t>חובה ומקיף 4715</t>
  </si>
  <si>
    <t>0839-00236</t>
  </si>
  <si>
    <t xml:space="preserve">חובה ומקיף 8771 ₪ </t>
  </si>
  <si>
    <t>מעין אס  *</t>
  </si>
  <si>
    <t>מקיף וחובה 5264</t>
  </si>
  <si>
    <t>נגרר*</t>
  </si>
  <si>
    <t>הראל,שומרה-אקורד</t>
  </si>
  <si>
    <t>חובה 371 וצד ג 1200</t>
  </si>
  <si>
    <t>מקיף וחובה 8600</t>
  </si>
  <si>
    <t>חובה 1842 ומקיף 6203</t>
  </si>
  <si>
    <t xml:space="preserve">עדיאל בר משה </t>
  </si>
  <si>
    <t>שלמה סיקסט-מלכי</t>
  </si>
  <si>
    <t>חובה 1844 ומקיף 4843</t>
  </si>
  <si>
    <t>0351-0162</t>
  </si>
  <si>
    <t>חובה 1842, מקיף,5300 מעל גיל 30</t>
  </si>
  <si>
    <t>קנגו 1.5 אותנט</t>
  </si>
  <si>
    <t>סיום עסקה-הוחזר לליסקאר</t>
  </si>
  <si>
    <t>שלמה סיקסט-קרסו</t>
  </si>
  <si>
    <t>חובה 1560 מקיף 4500-נשלח מייל לביטול עם מסמכים ,9.1.23  רכב הוחזר ב29.12.22</t>
  </si>
  <si>
    <t>0739-0294</t>
  </si>
  <si>
    <t>ליסקאר-הפניקס</t>
  </si>
  <si>
    <t>חובה ומקיף 21206 ₪, מתוכם 10919 שח תוספת לנהג חדש</t>
  </si>
  <si>
    <t>0676-1358</t>
  </si>
  <si>
    <t>חובה ומקיף 15506 2025, תוספת עבור נהג צעיר 7469 ₪+ 1641 עבור נהגת חדשה</t>
  </si>
  <si>
    <t>0443-0022</t>
  </si>
  <si>
    <t>חובה ומקיף 10839</t>
  </si>
  <si>
    <t>0351-0168</t>
  </si>
  <si>
    <t>נופר אנרגי- שלמה</t>
  </si>
  <si>
    <t>חובה 1844 מקיף 5068 וסטארט 300</t>
  </si>
  <si>
    <t>מקיף וחובה 7574 ₪</t>
  </si>
  <si>
    <t>שלמה סיקסט-אקורד</t>
  </si>
  <si>
    <t>מקיף 5646 וחובה 1839</t>
  </si>
  <si>
    <t>חובה ומקיף 8209 ₪ 2025</t>
  </si>
  <si>
    <t>חובה ומקיף 8300 ₪ 2025</t>
  </si>
  <si>
    <t>חובה ומקיף 8743 ₪</t>
  </si>
  <si>
    <t>0676-1696</t>
  </si>
  <si>
    <t>אקורד- מנורה</t>
  </si>
  <si>
    <t xml:space="preserve">חובה 1713, מקיף 6782 </t>
  </si>
  <si>
    <t>0496-0088</t>
  </si>
  <si>
    <t xml:space="preserve">חובה ומקיף 11358 ₪ </t>
  </si>
  <si>
    <t>0771-0301</t>
  </si>
  <si>
    <t>דולפין</t>
  </si>
  <si>
    <t>מקיף וחובה 7256 2025</t>
  </si>
  <si>
    <t>מקיף וחובה 6577 2025</t>
  </si>
  <si>
    <t>1014-00016</t>
  </si>
  <si>
    <t>מקיף וחובה 10983</t>
  </si>
  <si>
    <t xml:space="preserve">מקיף וחובה 8004 ₪ </t>
  </si>
  <si>
    <t xml:space="preserve">סיטי </t>
  </si>
  <si>
    <t xml:space="preserve">מקיף וחובה 8199 </t>
  </si>
  <si>
    <t>אקורד -מנורה</t>
  </si>
  <si>
    <t>חובה 1893 ומקיף 5635</t>
  </si>
  <si>
    <t>מספר רישוי</t>
  </si>
  <si>
    <t xml:space="preserve">שם עובד </t>
  </si>
  <si>
    <t xml:space="preserve">סוג מערכת </t>
  </si>
  <si>
    <t xml:space="preserve">פוינטר </t>
  </si>
  <si>
    <t xml:space="preserve">יחיאל </t>
  </si>
  <si>
    <t>רב בריח</t>
  </si>
  <si>
    <t>פילוח עלויות נזקי רכבים - 2025 ואילך</t>
  </si>
  <si>
    <t>#</t>
  </si>
  <si>
    <t>שם העובד</t>
  </si>
  <si>
    <t>תאריך</t>
  </si>
  <si>
    <t>בעלות/ביטוח</t>
  </si>
  <si>
    <t>סכום נזק</t>
  </si>
  <si>
    <t>ממוצע?</t>
  </si>
  <si>
    <t>נזק עצמי?</t>
  </si>
  <si>
    <t>הערה</t>
  </si>
  <si>
    <t>ממוצע נזקים (לקבוצות שאינן ליסקאר/שלמה):</t>
  </si>
  <si>
    <t>כן</t>
  </si>
  <si>
    <t>עצמי - תאונה עם משאית, עובד אשם</t>
  </si>
  <si>
    <t>30/1/25</t>
  </si>
  <si>
    <t>עצמי - אשמת עובדת</t>
  </si>
  <si>
    <t>18/2/25</t>
  </si>
  <si>
    <t>23/2/25</t>
  </si>
  <si>
    <t>עצמי - אשמת עובד</t>
  </si>
  <si>
    <t>לא</t>
  </si>
  <si>
    <t>צד ג - רכב צד ג נכנס מאחור</t>
  </si>
  <si>
    <t>16/4/25</t>
  </si>
  <si>
    <t>עצמי - עובד אשם תאונה עצמית</t>
  </si>
  <si>
    <t>24/8/25</t>
  </si>
  <si>
    <t>14/9/25</t>
  </si>
  <si>
    <t>עצמי - אשמת עובדת (איבוד מפתח)</t>
  </si>
  <si>
    <t>עצמי - אשמת עובד (שמשה)</t>
  </si>
  <si>
    <t>25/9/25</t>
  </si>
  <si>
    <t>30/9/25</t>
  </si>
  <si>
    <t>27/10,5/10</t>
  </si>
  <si>
    <t>עצמי - נזק לצמיגים</t>
  </si>
  <si>
    <t>30/10/25</t>
  </si>
  <si>
    <t>לא צוין</t>
  </si>
  <si>
    <t>עצמי - צמיג</t>
  </si>
  <si>
    <t>19/11/25</t>
  </si>
  <si>
    <t>עצמי - נזק לצמיג</t>
  </si>
  <si>
    <t>28/11/25</t>
  </si>
  <si>
    <t>עצמי - מגן גחון</t>
  </si>
  <si>
    <t>14/12/25</t>
  </si>
  <si>
    <t>עצמי - אשמת עובד (צמיגים)</t>
  </si>
  <si>
    <t>29/10/25</t>
  </si>
  <si>
    <t>עצמי - איבוד מפתח</t>
  </si>
  <si>
    <t>עצמי - נכנס בכלב</t>
  </si>
  <si>
    <t>מופז סלמן</t>
  </si>
  <si>
    <t>28/1/26</t>
  </si>
  <si>
    <t>לא ברור</t>
  </si>
  <si>
    <t>16/4/26</t>
  </si>
  <si>
    <t>עצמי - אשמת עובד (קנס)</t>
  </si>
  <si>
    <t>עצמי - עובד עלה על בור</t>
  </si>
  <si>
    <t>צד ג - אשמה הדדית</t>
  </si>
  <si>
    <t>עצמי - עובד אשם</t>
  </si>
  <si>
    <t>עצמי - נזק עצמי</t>
  </si>
  <si>
    <t>17/6/25</t>
  </si>
  <si>
    <t>צד ג - אופנוע נכנס מאחור</t>
  </si>
  <si>
    <t>עצמי - שמשת חזית</t>
  </si>
  <si>
    <t>צד ג - נגד צד ג</t>
  </si>
  <si>
    <t>לא ברור - כנראה צד ג ללא ביטוח</t>
  </si>
  <si>
    <t>צד ג - צד ג אשם</t>
  </si>
  <si>
    <t>אוהד מויאל</t>
  </si>
  <si>
    <t>שפשוף - לא ברור מי אשם</t>
  </si>
  <si>
    <t>סיכום לפי בעלות/ביטוח</t>
  </si>
  <si>
    <t>נזק עצמי בלבד</t>
  </si>
  <si>
    <t>בעלות</t>
  </si>
  <si>
    <t>מספר אירועים</t>
  </si>
  <si>
    <t>סה"כ עלות</t>
  </si>
  <si>
    <t>ממוצע לאירוע</t>
  </si>
  <si>
    <t>סיווג</t>
  </si>
  <si>
    <t>נזק עצמי (כן)</t>
  </si>
  <si>
    <t>נגד צד ג (לא)</t>
  </si>
  <si>
    <t>סה"כ</t>
  </si>
  <si>
    <t>סיווג כלל האירועים (כל הטבלה)</t>
  </si>
  <si>
    <t>נזק עצמי (אשמתנו)</t>
  </si>
  <si>
    <t>* שורות בצהוב = מולאו בממוצע (לא היה סכום נזק רשום)</t>
  </si>
  <si>
    <t>אחר (פריצה/גניבה/פחע)</t>
  </si>
  <si>
    <t>* אירועי ליסקאר/שלמה סיקסט ללא סכום נזק - לא הוחשבו</t>
  </si>
  <si>
    <t>% נזק עצמי מהכלל</t>
  </si>
  <si>
    <t>דניאל כחלון- ישראל-משאבת מים</t>
  </si>
  <si>
    <t xml:space="preserve">הח 4 צמיגים ופרונט וגק </t>
  </si>
  <si>
    <t>17.6.26</t>
  </si>
  <si>
    <t>טיפול 83000</t>
  </si>
  <si>
    <t xml:space="preserve">דוד כהן-ישראל-כרטיס תדלוק </t>
  </si>
  <si>
    <t>קיילי פרכטמן- מטה</t>
  </si>
  <si>
    <t>2 סוללות לשלט</t>
  </si>
  <si>
    <t xml:space="preserve">אתי חן </t>
  </si>
  <si>
    <t>22.6.26</t>
  </si>
  <si>
    <t xml:space="preserve">געש  </t>
  </si>
  <si>
    <t xml:space="preserve">אלירן אביטן-ישראל-כרטיס תדלוק </t>
  </si>
  <si>
    <t>21.6.26</t>
  </si>
  <si>
    <t>22.6.26-</t>
  </si>
  <si>
    <t xml:space="preserve">אלירן אביטן להחזיר לכביש 6 בלבד </t>
  </si>
  <si>
    <t>נשלחה  בקשה להסבה 6552380 ב24.5.26 , נשלח בקשה להסבה נוספת 6578072 31.5.26,דוח הוסב על שם הנהג 23.6.26</t>
  </si>
  <si>
    <t>23.6.26</t>
  </si>
  <si>
    <t>2 צמיגים קדמיים</t>
  </si>
  <si>
    <t xml:space="preserve">הסכם מכירת רכב לשעבר איתן כהן </t>
  </si>
  <si>
    <t>27.1.59</t>
  </si>
  <si>
    <t>אליאנה ימין-מטה-להחזיר לליסקאר</t>
  </si>
  <si>
    <t>אורן בן שימול-ישראל</t>
  </si>
  <si>
    <t>2.4.23-23.6.26</t>
  </si>
  <si>
    <t>גי'לי</t>
  </si>
  <si>
    <t>סטאריי</t>
  </si>
  <si>
    <t>1321-0030</t>
  </si>
  <si>
    <t xml:space="preserve">ליאור ברון </t>
  </si>
  <si>
    <t>רכב נכנס ברכב עובד מאחור</t>
  </si>
  <si>
    <t xml:space="preserve">אלירן אביטן </t>
  </si>
  <si>
    <t xml:space="preserve">עובד נתקע ללא דלק, רכב בבדיקות וכנראה החברה שלנו תצטרך לשאת בהוצאות </t>
  </si>
  <si>
    <t>25.6-</t>
  </si>
  <si>
    <t>1.3.23-25.6.26</t>
  </si>
  <si>
    <t>0321-0030</t>
  </si>
  <si>
    <t xml:space="preserve">אסף גבעון -ישראל-נוהל רכב </t>
  </si>
  <si>
    <t>25.6.26</t>
  </si>
  <si>
    <t xml:space="preserve">יוסף הריש </t>
  </si>
  <si>
    <t>23.4.23-25.6.26</t>
  </si>
  <si>
    <t>26.5.26-25.6.26</t>
  </si>
  <si>
    <t xml:space="preserve">לבטל הכל כולל דלקן רכב עידן אברהם </t>
  </si>
  <si>
    <t>מתן אטיאס-מטה</t>
  </si>
  <si>
    <t>עובד דפק את הדלת קד שמ</t>
  </si>
  <si>
    <t>רכב לשעבר איתן כהן</t>
  </si>
  <si>
    <t xml:space="preserve">ביווידי אטו 3 </t>
  </si>
  <si>
    <t xml:space="preserve">25.6.26-רכב נמכר </t>
  </si>
  <si>
    <t>28.6.26</t>
  </si>
  <si>
    <t>צמיג קד שמ+פרונט</t>
  </si>
  <si>
    <t>1.3.23-28.6.26</t>
  </si>
  <si>
    <t xml:space="preserve">אלה מרשאק -ישראל- נוהל רכב </t>
  </si>
  <si>
    <t>2.9.24-28.6.26</t>
  </si>
  <si>
    <t>s9</t>
  </si>
  <si>
    <t>4.8.22-28.6.26</t>
  </si>
  <si>
    <t xml:space="preserve">רפאל בן מלך-מטה-נוהל רכב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</si>
</sst>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m/dd/yyyy"/>
    <numFmt numFmtId="165" formatCode="&quot;0&quot;0"/>
    <numFmt numFmtId="166" formatCode="#;;"/>
    <numFmt numFmtId="167" formatCode="0;\-0;#"/>
    <numFmt numFmtId="168" formatCode="_ [$₪-40D]\ * #,##0.00_ ;_ [$₪-40D]\ * \-#,##0.00_ ;_ [$₪-40D]\ * &quot;-&quot;??_ ;_ @_ "/>
    <numFmt numFmtId="169" formatCode="\₪#,##0.00"/>
    <numFmt numFmtId="170" formatCode="\₪#,##0"/>
    <numFmt numFmtId="171" formatCode="0.0%"/>
  </numFmts>
  <fonts count="43" x14ac:knownFonts="1">
    <font>
      <sz val="11"/>
      <color theme="1"/>
      <name val="Arial"/>
      <scheme val="minor"/>
    </font>
    <font>
      <b/>
      <sz val="12"/>
      <color theme="1"/>
      <name val="Times New Roman"/>
    </font>
    <font>
      <b/>
      <sz val="12"/>
      <color theme="1"/>
      <name val="Arial"/>
    </font>
    <font>
      <sz val="14"/>
      <color theme="1"/>
      <name val="Arial"/>
    </font>
    <font>
      <sz val="14"/>
      <color theme="1"/>
      <name val="Times New Roman"/>
    </font>
    <font>
      <sz val="12"/>
      <color theme="1"/>
      <name val="Times New Roman"/>
    </font>
    <font>
      <sz val="11"/>
      <color theme="1"/>
      <name val="Arial"/>
    </font>
    <font>
      <b/>
      <sz val="11"/>
      <color theme="1"/>
      <name val="Arial"/>
    </font>
    <font>
      <sz val="12"/>
      <color rgb="FFFF0000"/>
      <name val="Times New Roman"/>
    </font>
    <font>
      <sz val="11"/>
      <color rgb="FFBF9000"/>
      <name val="Arial"/>
    </font>
    <font>
      <b/>
      <sz val="16"/>
      <color rgb="FFC00000"/>
      <name val="Arial"/>
    </font>
    <font>
      <sz val="16"/>
      <color theme="1"/>
      <name val="Arial"/>
    </font>
    <font>
      <sz val="12"/>
      <color theme="1"/>
      <name val="Arial"/>
    </font>
    <font>
      <b/>
      <sz val="16"/>
      <color rgb="FF1F3864"/>
      <name val="Arial"/>
    </font>
    <font>
      <i/>
      <sz val="12"/>
      <color theme="1"/>
      <name val="Times New Roman"/>
    </font>
    <font>
      <sz val="12"/>
      <color theme="1"/>
      <name val="Quattrocento Sans"/>
    </font>
    <font>
      <sz val="11"/>
      <color theme="1"/>
      <name val="Times New Roman"/>
    </font>
    <font>
      <sz val="11"/>
      <color rgb="FF000000"/>
      <name val="Arial"/>
    </font>
    <font>
      <sz val="10"/>
      <color rgb="FF26292B"/>
      <name val="Times New Roman"/>
    </font>
    <font>
      <u/>
      <sz val="11"/>
      <color theme="10"/>
      <name val="Arial"/>
    </font>
    <font>
      <u/>
      <sz val="11"/>
      <color theme="10"/>
      <name val="Arial"/>
    </font>
    <font>
      <u/>
      <sz val="11"/>
      <color theme="10"/>
      <name val="Arial"/>
    </font>
    <font>
      <b/>
      <sz val="11"/>
      <color rgb="FF2F5496"/>
      <name val="Arial"/>
    </font>
    <font>
      <b/>
      <sz val="12"/>
      <color rgb="FF2F5496"/>
      <name val="Arial"/>
    </font>
    <font>
      <u/>
      <sz val="11"/>
      <color theme="10"/>
      <name val="Arial"/>
    </font>
    <font>
      <sz val="11"/>
      <color rgb="FF2F5496"/>
      <name val="Arial"/>
    </font>
    <font>
      <b/>
      <sz val="11"/>
      <color rgb="FF2F5496"/>
      <name val="Calibri"/>
    </font>
    <font>
      <b/>
      <u/>
      <sz val="11"/>
      <color theme="10"/>
      <name val="Arial"/>
    </font>
    <font>
      <u/>
      <sz val="11"/>
      <color theme="10"/>
      <name val="Arial"/>
    </font>
    <font>
      <u/>
      <sz val="11"/>
      <color theme="1"/>
      <name val="Arial"/>
    </font>
    <font>
      <sz val="12"/>
      <color rgb="FF000000"/>
      <name val="Times New Roman"/>
    </font>
    <font>
      <b/>
      <u/>
      <sz val="16"/>
      <color theme="1"/>
      <name val="Arial"/>
    </font>
    <font>
      <b/>
      <u/>
      <sz val="16"/>
      <color theme="1"/>
      <name val="Arial"/>
    </font>
    <font>
      <b/>
      <u/>
      <sz val="16"/>
      <color theme="1"/>
      <name val="Arial"/>
    </font>
    <font>
      <b/>
      <u/>
      <sz val="11"/>
      <color theme="1"/>
      <name val="Arial"/>
    </font>
    <font>
      <b/>
      <sz val="14"/>
      <color rgb="FFFFFFFF"/>
      <name val="Arial"/>
    </font>
    <font>
      <sz val="11"/>
      <name val="Arial"/>
    </font>
    <font>
      <b/>
      <sz val="12"/>
      <color rgb="FFFFFFFF"/>
      <name val="Arial"/>
    </font>
    <font>
      <b/>
      <sz val="11"/>
      <color rgb="FFFFFFFF"/>
      <name val="Arial"/>
    </font>
    <font>
      <i/>
      <sz val="11"/>
      <color theme="1"/>
      <name val="Arial"/>
    </font>
    <font>
      <sz val="11"/>
      <color theme="10"/>
      <name val="Arial"/>
    </font>
    <font>
      <sz val="11"/>
      <color theme="1"/>
      <name val="Arial"/>
      <family val="2"/>
    </font>
    <font>
      <sz val="12"/>
      <color theme="1"/>
      <name val="Times New Roman"/>
      <family val="1"/>
    </font>
  </fonts>
  <fills count="20">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C000"/>
        <bgColor rgb="FFFFC000"/>
      </patternFill>
    </fill>
    <fill>
      <patternFill patternType="solid">
        <fgColor rgb="FFFFFFFF"/>
        <bgColor rgb="FFFFFFFF"/>
      </patternFill>
    </fill>
    <fill>
      <patternFill patternType="solid">
        <fgColor theme="9"/>
        <bgColor theme="9"/>
      </patternFill>
    </fill>
    <fill>
      <patternFill patternType="solid">
        <fgColor rgb="FF92D050"/>
        <bgColor rgb="FF92D050"/>
      </patternFill>
    </fill>
    <fill>
      <patternFill patternType="solid">
        <fgColor rgb="FFD9E2F3"/>
        <bgColor rgb="FFD9E2F3"/>
      </patternFill>
    </fill>
    <fill>
      <patternFill patternType="solid">
        <fgColor rgb="FFF4B083"/>
        <bgColor rgb="FFF4B083"/>
      </patternFill>
    </fill>
    <fill>
      <patternFill patternType="solid">
        <fgColor rgb="FF1F4E78"/>
        <bgColor rgb="FF1F4E78"/>
      </patternFill>
    </fill>
    <fill>
      <patternFill patternType="solid">
        <fgColor rgb="FFD9E1F2"/>
        <bgColor rgb="FFD9E1F2"/>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FFF2CC"/>
        <bgColor rgb="FFFFF2CC"/>
      </patternFill>
    </fill>
    <fill>
      <patternFill patternType="solid">
        <fgColor rgb="FFFFE699"/>
        <bgColor rgb="FFFFE699"/>
      </patternFill>
    </fill>
    <fill>
      <patternFill patternType="solid">
        <fgColor theme="0"/>
        <bgColor rgb="FFFFFF00"/>
      </patternFill>
    </fill>
    <fill>
      <patternFill patternType="solid">
        <fgColor theme="0"/>
        <bgColor indexed="64"/>
      </patternFill>
    </fill>
    <fill>
      <patternFill patternType="solid">
        <fgColor rgb="FFFFFF00"/>
        <bgColor theme="0"/>
      </patternFill>
    </fill>
  </fills>
  <borders count="43">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style="medium">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top style="medium">
        <color rgb="FF000000"/>
      </top>
      <bottom style="medium">
        <color rgb="FF000000"/>
      </bottom>
      <diagonal/>
    </border>
    <border>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4">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right"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2" fillId="2" borderId="1" xfId="0" applyFont="1" applyFill="1" applyBorder="1"/>
    <xf numFmtId="0" fontId="2" fillId="2" borderId="1" xfId="0" applyFont="1" applyFill="1" applyBorder="1" applyAlignment="1">
      <alignment horizontal="right"/>
    </xf>
    <xf numFmtId="0" fontId="2" fillId="2" borderId="1" xfId="0" applyFont="1" applyFill="1" applyBorder="1" applyAlignment="1">
      <alignment horizontal="center"/>
    </xf>
    <xf numFmtId="0" fontId="2" fillId="3" borderId="1" xfId="0" applyFont="1" applyFill="1" applyBorder="1"/>
    <xf numFmtId="0" fontId="3" fillId="0" borderId="1" xfId="0" applyFont="1" applyBorder="1"/>
    <xf numFmtId="0" fontId="3" fillId="0" borderId="0" xfId="0" applyFont="1"/>
    <xf numFmtId="0" fontId="4" fillId="0" borderId="1" xfId="0" applyFont="1" applyBorder="1" applyAlignment="1">
      <alignment horizontal="center"/>
    </xf>
    <xf numFmtId="0" fontId="5" fillId="0" borderId="1" xfId="0" applyFont="1" applyBorder="1" applyAlignment="1">
      <alignment horizontal="right" vertical="center"/>
    </xf>
    <xf numFmtId="0" fontId="5" fillId="3" borderId="1" xfId="0" applyFont="1" applyFill="1" applyBorder="1" applyAlignment="1">
      <alignment horizontal="center" vertical="center"/>
    </xf>
    <xf numFmtId="0" fontId="5" fillId="3" borderId="1" xfId="0" applyFont="1" applyFill="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horizontal="right" readingOrder="2"/>
    </xf>
    <xf numFmtId="0" fontId="5" fillId="3" borderId="1" xfId="0" applyFont="1" applyFill="1" applyBorder="1" applyAlignment="1">
      <alignment horizontal="right" vertical="center"/>
    </xf>
    <xf numFmtId="14" fontId="5" fillId="0" borderId="1" xfId="0" applyNumberFormat="1" applyFont="1" applyBorder="1" applyAlignment="1">
      <alignment horizontal="right" vertical="center"/>
    </xf>
    <xf numFmtId="14" fontId="5" fillId="3" borderId="1" xfId="0" applyNumberFormat="1" applyFont="1" applyFill="1" applyBorder="1" applyAlignment="1">
      <alignment horizontal="right" vertical="center"/>
    </xf>
    <xf numFmtId="0" fontId="6" fillId="3" borderId="1" xfId="0" applyFont="1" applyFill="1" applyBorder="1" applyAlignment="1">
      <alignment horizontal="right"/>
    </xf>
    <xf numFmtId="0" fontId="6" fillId="0" borderId="1" xfId="0" applyFont="1" applyBorder="1" applyAlignment="1">
      <alignment horizontal="right"/>
    </xf>
    <xf numFmtId="0" fontId="6" fillId="3" borderId="1" xfId="0" applyFont="1" applyFill="1" applyBorder="1" applyAlignment="1">
      <alignment horizontal="center"/>
    </xf>
    <xf numFmtId="0" fontId="7" fillId="4" borderId="1" xfId="0" applyFont="1" applyFill="1" applyBorder="1" applyAlignment="1">
      <alignment horizontal="right"/>
    </xf>
    <xf numFmtId="0" fontId="7" fillId="4" borderId="1" xfId="0" applyFont="1" applyFill="1" applyBorder="1"/>
    <xf numFmtId="0" fontId="6" fillId="0" borderId="1" xfId="0" applyFont="1" applyBorder="1" applyAlignment="1">
      <alignment horizontal="center" vertical="center"/>
    </xf>
    <xf numFmtId="0" fontId="6" fillId="3" borderId="1" xfId="0" applyFont="1" applyFill="1" applyBorder="1"/>
    <xf numFmtId="0" fontId="5" fillId="2" borderId="1" xfId="0" applyFont="1" applyFill="1" applyBorder="1" applyAlignment="1">
      <alignment horizontal="right" vertical="center"/>
    </xf>
    <xf numFmtId="14" fontId="6" fillId="3" borderId="1" xfId="0" applyNumberFormat="1" applyFont="1" applyFill="1" applyBorder="1" applyAlignment="1">
      <alignment horizontal="center"/>
    </xf>
    <xf numFmtId="0" fontId="6" fillId="0" borderId="1" xfId="0" applyFont="1" applyBorder="1"/>
    <xf numFmtId="0" fontId="6" fillId="0" borderId="1" xfId="0" applyFont="1" applyBorder="1" applyAlignment="1">
      <alignment horizontal="right" vertical="center"/>
    </xf>
    <xf numFmtId="0" fontId="6" fillId="3" borderId="1" xfId="0" applyFont="1" applyFill="1" applyBorder="1" applyAlignment="1">
      <alignment horizontal="right" vertical="center"/>
    </xf>
    <xf numFmtId="0" fontId="8" fillId="3" borderId="1" xfId="0" applyFont="1" applyFill="1" applyBorder="1" applyAlignment="1">
      <alignment horizontal="right" vertical="center"/>
    </xf>
    <xf numFmtId="0" fontId="5" fillId="0" borderId="1" xfId="0" applyFont="1" applyBorder="1" applyAlignment="1">
      <alignment horizontal="right"/>
    </xf>
    <xf numFmtId="0" fontId="5" fillId="3" borderId="1" xfId="0" applyFont="1" applyFill="1" applyBorder="1" applyAlignment="1">
      <alignment horizontal="center"/>
    </xf>
    <xf numFmtId="14" fontId="5" fillId="2" borderId="1" xfId="0" applyNumberFormat="1" applyFont="1" applyFill="1" applyBorder="1" applyAlignment="1">
      <alignment horizontal="right" vertical="center"/>
    </xf>
    <xf numFmtId="0" fontId="6" fillId="3" borderId="2" xfId="0" applyFont="1" applyFill="1" applyBorder="1"/>
    <xf numFmtId="14" fontId="6" fillId="0" borderId="1" xfId="0" applyNumberFormat="1" applyFont="1" applyBorder="1" applyAlignment="1">
      <alignment horizontal="right" vertical="center"/>
    </xf>
    <xf numFmtId="0" fontId="5" fillId="0" borderId="1" xfId="0" applyFont="1" applyBorder="1" applyAlignment="1">
      <alignment vertical="center"/>
    </xf>
    <xf numFmtId="12" fontId="5" fillId="0" borderId="1" xfId="0" applyNumberFormat="1" applyFont="1" applyBorder="1" applyAlignment="1">
      <alignment horizontal="right" vertical="center"/>
    </xf>
    <xf numFmtId="164" fontId="5" fillId="3" borderId="1" xfId="0" applyNumberFormat="1" applyFont="1" applyFill="1" applyBorder="1" applyAlignment="1">
      <alignment horizontal="right" vertical="center"/>
    </xf>
    <xf numFmtId="14" fontId="6" fillId="0" borderId="1" xfId="0" applyNumberFormat="1" applyFont="1" applyBorder="1"/>
    <xf numFmtId="0" fontId="6" fillId="0" borderId="1" xfId="0" applyFont="1" applyBorder="1" applyAlignment="1">
      <alignment horizontal="left"/>
    </xf>
    <xf numFmtId="0" fontId="6" fillId="0" borderId="1" xfId="0" applyFont="1" applyBorder="1" applyAlignment="1">
      <alignment horizontal="center"/>
    </xf>
    <xf numFmtId="16" fontId="5" fillId="0" borderId="1" xfId="0" applyNumberFormat="1" applyFont="1" applyBorder="1" applyAlignment="1">
      <alignment horizontal="right" vertical="center"/>
    </xf>
    <xf numFmtId="0" fontId="5" fillId="0" borderId="3" xfId="0" applyFont="1" applyBorder="1" applyAlignment="1">
      <alignment horizontal="right" vertical="center"/>
    </xf>
    <xf numFmtId="0" fontId="5" fillId="3" borderId="4" xfId="0" applyFont="1" applyFill="1" applyBorder="1" applyAlignment="1">
      <alignment horizontal="right" vertical="center"/>
    </xf>
    <xf numFmtId="0" fontId="5" fillId="2" borderId="1" xfId="0" applyFont="1" applyFill="1" applyBorder="1" applyAlignment="1">
      <alignment vertical="center"/>
    </xf>
    <xf numFmtId="0" fontId="6" fillId="2" borderId="1" xfId="0" applyFont="1" applyFill="1" applyBorder="1" applyAlignment="1">
      <alignment horizontal="center"/>
    </xf>
    <xf numFmtId="0" fontId="6" fillId="2" borderId="1" xfId="0" applyFont="1" applyFill="1" applyBorder="1"/>
    <xf numFmtId="0" fontId="6" fillId="2" borderId="2" xfId="0" applyFont="1" applyFill="1" applyBorder="1"/>
    <xf numFmtId="165" fontId="5" fillId="0" borderId="1" xfId="0" applyNumberFormat="1" applyFont="1" applyBorder="1" applyAlignment="1">
      <alignment horizontal="right" vertical="center"/>
    </xf>
    <xf numFmtId="16" fontId="5" fillId="3" borderId="1" xfId="0" applyNumberFormat="1" applyFont="1" applyFill="1" applyBorder="1" applyAlignment="1">
      <alignment horizontal="right" vertical="center"/>
    </xf>
    <xf numFmtId="0" fontId="5" fillId="3" borderId="5" xfId="0" applyFont="1" applyFill="1" applyBorder="1" applyAlignment="1">
      <alignment horizontal="right" vertical="center"/>
    </xf>
    <xf numFmtId="0" fontId="5" fillId="3" borderId="5" xfId="0" applyFont="1" applyFill="1" applyBorder="1" applyAlignment="1">
      <alignment horizontal="center" vertical="center"/>
    </xf>
    <xf numFmtId="0" fontId="5" fillId="3" borderId="5" xfId="0" applyFont="1" applyFill="1" applyBorder="1" applyAlignment="1">
      <alignment vertical="center"/>
    </xf>
    <xf numFmtId="0" fontId="5" fillId="0" borderId="6" xfId="0" applyFont="1" applyBorder="1" applyAlignment="1">
      <alignment horizontal="right" vertical="center"/>
    </xf>
    <xf numFmtId="16" fontId="5" fillId="3" borderId="5" xfId="0" applyNumberFormat="1" applyFont="1" applyFill="1" applyBorder="1" applyAlignment="1">
      <alignment horizontal="right" vertical="center"/>
    </xf>
    <xf numFmtId="14" fontId="5" fillId="3" borderId="5" xfId="0" applyNumberFormat="1" applyFont="1" applyFill="1" applyBorder="1" applyAlignment="1">
      <alignment horizontal="right" vertical="center"/>
    </xf>
    <xf numFmtId="0" fontId="6" fillId="3" borderId="5" xfId="0" applyFont="1" applyFill="1" applyBorder="1" applyAlignment="1">
      <alignment horizontal="right"/>
    </xf>
    <xf numFmtId="0" fontId="6" fillId="3" borderId="5" xfId="0" applyFont="1" applyFill="1" applyBorder="1" applyAlignment="1">
      <alignment horizontal="center"/>
    </xf>
    <xf numFmtId="0" fontId="6" fillId="3" borderId="5" xfId="0" applyFont="1" applyFill="1" applyBorder="1"/>
    <xf numFmtId="0" fontId="6" fillId="3" borderId="7" xfId="0" applyFont="1" applyFill="1" applyBorder="1"/>
    <xf numFmtId="0" fontId="6" fillId="0" borderId="6" xfId="0" applyFont="1" applyBorder="1"/>
    <xf numFmtId="0" fontId="6" fillId="0" borderId="6" xfId="0" applyFont="1" applyBorder="1" applyAlignment="1">
      <alignment horizontal="center"/>
    </xf>
    <xf numFmtId="0" fontId="6" fillId="0" borderId="6" xfId="0" applyFont="1" applyBorder="1" applyAlignment="1">
      <alignment horizontal="right"/>
    </xf>
    <xf numFmtId="14" fontId="6" fillId="0" borderId="6" xfId="0" applyNumberFormat="1" applyFont="1" applyBorder="1"/>
    <xf numFmtId="0" fontId="6" fillId="0" borderId="0" xfId="0" applyFont="1" applyAlignment="1">
      <alignment horizontal="center"/>
    </xf>
    <xf numFmtId="0" fontId="9" fillId="0" borderId="0" xfId="0" applyFont="1" applyAlignment="1">
      <alignment horizontal="right" vertical="center"/>
    </xf>
    <xf numFmtId="0" fontId="9" fillId="3" borderId="2" xfId="0" applyFont="1" applyFill="1" applyBorder="1" applyAlignment="1">
      <alignment horizontal="center" vertical="center"/>
    </xf>
    <xf numFmtId="0" fontId="6" fillId="3" borderId="2" xfId="0" applyFont="1" applyFill="1" applyBorder="1" applyAlignment="1">
      <alignment vertical="center"/>
    </xf>
    <xf numFmtId="0" fontId="6" fillId="0" borderId="0" xfId="0" applyFont="1" applyAlignment="1">
      <alignment horizontal="center" vertical="center"/>
    </xf>
    <xf numFmtId="0" fontId="6" fillId="0" borderId="0" xfId="0" applyFont="1" applyAlignment="1">
      <alignment horizontal="right" vertical="center"/>
    </xf>
    <xf numFmtId="0" fontId="6" fillId="3" borderId="2" xfId="0" applyFont="1" applyFill="1" applyBorder="1" applyAlignment="1">
      <alignment horizontal="center" vertical="center"/>
    </xf>
    <xf numFmtId="0" fontId="6" fillId="0" borderId="0" xfId="0" applyFont="1"/>
    <xf numFmtId="0" fontId="6" fillId="0" borderId="0" xfId="0" applyFont="1" applyAlignment="1">
      <alignment horizontal="right"/>
    </xf>
    <xf numFmtId="0" fontId="6"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xf numFmtId="0" fontId="11" fillId="0" borderId="0" xfId="0" applyFont="1"/>
    <xf numFmtId="0" fontId="4" fillId="3" borderId="1" xfId="0" applyFont="1" applyFill="1" applyBorder="1" applyAlignment="1">
      <alignment vertical="center"/>
    </xf>
    <xf numFmtId="0" fontId="4" fillId="2" borderId="1" xfId="0" applyFont="1" applyFill="1" applyBorder="1" applyAlignment="1">
      <alignment vertical="center"/>
    </xf>
    <xf numFmtId="0" fontId="4" fillId="2" borderId="8" xfId="0" applyFont="1" applyFill="1" applyBorder="1" applyAlignment="1">
      <alignment vertical="center"/>
    </xf>
    <xf numFmtId="0" fontId="12" fillId="5" borderId="1" xfId="0" applyFont="1" applyFill="1" applyBorder="1" applyAlignment="1">
      <alignment vertical="center"/>
    </xf>
    <xf numFmtId="0" fontId="4" fillId="0" borderId="9" xfId="0" applyFont="1" applyBorder="1" applyAlignment="1">
      <alignment vertical="center"/>
    </xf>
    <xf numFmtId="0" fontId="5" fillId="0" borderId="9" xfId="0" applyFont="1" applyBorder="1" applyAlignment="1">
      <alignment vertical="center"/>
    </xf>
    <xf numFmtId="0" fontId="12" fillId="0" borderId="1" xfId="0" applyFont="1" applyBorder="1" applyAlignment="1">
      <alignment vertical="center"/>
    </xf>
    <xf numFmtId="0" fontId="4" fillId="0" borderId="1" xfId="0" applyFont="1" applyBorder="1" applyAlignment="1">
      <alignment vertical="center"/>
    </xf>
    <xf numFmtId="0" fontId="5" fillId="0" borderId="1" xfId="0" applyFont="1" applyBorder="1" applyAlignment="1">
      <alignment horizontal="right" vertical="center" readingOrder="2"/>
    </xf>
    <xf numFmtId="0" fontId="12" fillId="0" borderId="1" xfId="0" applyFont="1" applyBorder="1"/>
    <xf numFmtId="0" fontId="5" fillId="0" borderId="1" xfId="0" applyFont="1" applyBorder="1"/>
    <xf numFmtId="0" fontId="5" fillId="0" borderId="6" xfId="0" applyFont="1" applyBorder="1" applyAlignment="1">
      <alignment vertical="center"/>
    </xf>
    <xf numFmtId="0" fontId="14" fillId="0" borderId="1" xfId="0" applyFont="1" applyBorder="1"/>
    <xf numFmtId="0" fontId="5" fillId="0" borderId="10" xfId="0" applyFont="1" applyBorder="1" applyAlignment="1">
      <alignment vertical="center"/>
    </xf>
    <xf numFmtId="0" fontId="5" fillId="0" borderId="11" xfId="0" applyFont="1" applyBorder="1" applyAlignment="1">
      <alignment vertical="center"/>
    </xf>
    <xf numFmtId="0" fontId="5" fillId="0" borderId="0" xfId="0" applyFont="1" applyAlignment="1">
      <alignment vertical="center"/>
    </xf>
    <xf numFmtId="14" fontId="15" fillId="5" borderId="2" xfId="0" applyNumberFormat="1" applyFont="1" applyFill="1" applyBorder="1" applyAlignment="1">
      <alignment vertical="center"/>
    </xf>
    <xf numFmtId="0" fontId="8" fillId="0" borderId="0" xfId="0" applyFont="1" applyAlignment="1">
      <alignment vertical="center"/>
    </xf>
    <xf numFmtId="0" fontId="16" fillId="0" borderId="1" xfId="0" applyFont="1" applyBorder="1" applyAlignment="1">
      <alignment vertical="center"/>
    </xf>
    <xf numFmtId="0" fontId="4" fillId="0" borderId="10" xfId="0" applyFont="1" applyBorder="1" applyAlignment="1">
      <alignment vertical="center"/>
    </xf>
    <xf numFmtId="0" fontId="16" fillId="0" borderId="10" xfId="0" applyFont="1" applyBorder="1" applyAlignment="1">
      <alignment vertical="center"/>
    </xf>
    <xf numFmtId="0" fontId="12" fillId="0" borderId="6" xfId="0" applyFont="1" applyBorder="1" applyAlignment="1">
      <alignment vertical="center"/>
    </xf>
    <xf numFmtId="0" fontId="5" fillId="0" borderId="12" xfId="0" applyFont="1" applyBorder="1" applyAlignment="1">
      <alignment vertical="center"/>
    </xf>
    <xf numFmtId="0" fontId="16" fillId="0" borderId="6" xfId="0" applyFont="1" applyBorder="1" applyAlignment="1">
      <alignment vertical="center"/>
    </xf>
    <xf numFmtId="0" fontId="5" fillId="0" borderId="13" xfId="0" applyFont="1" applyBorder="1" applyAlignment="1">
      <alignment vertical="center"/>
    </xf>
    <xf numFmtId="0" fontId="5" fillId="0" borderId="14" xfId="0" applyFont="1" applyBorder="1" applyAlignment="1">
      <alignment vertical="center"/>
    </xf>
    <xf numFmtId="0" fontId="6" fillId="0" borderId="1" xfId="0" applyFont="1" applyBorder="1" applyAlignment="1">
      <alignment vertical="center"/>
    </xf>
    <xf numFmtId="0" fontId="5" fillId="0" borderId="15" xfId="0" applyFont="1" applyBorder="1" applyAlignment="1">
      <alignment vertical="center"/>
    </xf>
    <xf numFmtId="0" fontId="5" fillId="0" borderId="3" xfId="0" applyFont="1" applyBorder="1" applyAlignment="1">
      <alignment vertical="center"/>
    </xf>
    <xf numFmtId="0" fontId="5" fillId="0" borderId="16" xfId="0" applyFont="1" applyBorder="1" applyAlignment="1">
      <alignment vertical="center"/>
    </xf>
    <xf numFmtId="0" fontId="5" fillId="0" borderId="17" xfId="0" applyFont="1" applyBorder="1" applyAlignment="1">
      <alignment vertical="center"/>
    </xf>
    <xf numFmtId="0" fontId="5" fillId="0" borderId="18" xfId="0" applyFont="1" applyBorder="1" applyAlignment="1">
      <alignment vertical="center"/>
    </xf>
    <xf numFmtId="0" fontId="5" fillId="0" borderId="19" xfId="0" applyFont="1" applyBorder="1" applyAlignment="1">
      <alignment vertical="center"/>
    </xf>
    <xf numFmtId="0" fontId="6" fillId="0" borderId="9" xfId="0" applyFont="1" applyBorder="1" applyAlignment="1">
      <alignment vertical="center"/>
    </xf>
    <xf numFmtId="0" fontId="6" fillId="0" borderId="10" xfId="0" applyFont="1" applyBorder="1" applyAlignment="1">
      <alignment vertical="center"/>
    </xf>
    <xf numFmtId="0" fontId="6" fillId="0" borderId="1" xfId="0" applyFont="1" applyBorder="1" applyAlignment="1">
      <alignment horizontal="left" vertical="center"/>
    </xf>
    <xf numFmtId="0" fontId="6" fillId="0" borderId="10" xfId="0" applyFont="1" applyBorder="1" applyAlignment="1">
      <alignment horizontal="right" vertical="center"/>
    </xf>
    <xf numFmtId="0" fontId="12" fillId="0" borderId="1" xfId="0" applyFont="1" applyBorder="1" applyAlignment="1">
      <alignment horizontal="right" vertical="center"/>
    </xf>
    <xf numFmtId="0" fontId="6" fillId="0" borderId="6" xfId="0" applyFont="1" applyBorder="1" applyAlignment="1">
      <alignment horizontal="right" vertical="center"/>
    </xf>
    <xf numFmtId="0" fontId="6" fillId="0" borderId="6" xfId="0" applyFont="1" applyBorder="1" applyAlignment="1">
      <alignment vertical="center"/>
    </xf>
    <xf numFmtId="0" fontId="6" fillId="0" borderId="18" xfId="0" applyFont="1" applyBorder="1" applyAlignment="1">
      <alignment vertical="center"/>
    </xf>
    <xf numFmtId="0" fontId="6" fillId="0" borderId="14" xfId="0" applyFont="1" applyBorder="1" applyAlignment="1">
      <alignment vertical="center"/>
    </xf>
    <xf numFmtId="0" fontId="6" fillId="0" borderId="3" xfId="0" applyFont="1" applyBorder="1"/>
    <xf numFmtId="0" fontId="6" fillId="0" borderId="18" xfId="0" applyFont="1" applyBorder="1"/>
    <xf numFmtId="0" fontId="12" fillId="3" borderId="1" xfId="0" applyFont="1" applyFill="1" applyBorder="1" applyAlignment="1">
      <alignment vertical="center"/>
    </xf>
    <xf numFmtId="0" fontId="6" fillId="3" borderId="1" xfId="0" applyFont="1" applyFill="1" applyBorder="1" applyAlignment="1">
      <alignment vertical="center"/>
    </xf>
    <xf numFmtId="0" fontId="6" fillId="3" borderId="20" xfId="0" applyFont="1" applyFill="1" applyBorder="1" applyAlignment="1">
      <alignment vertical="center"/>
    </xf>
    <xf numFmtId="0" fontId="12" fillId="0" borderId="6" xfId="0" applyFont="1" applyBorder="1" applyAlignment="1">
      <alignment horizontal="right" vertical="center"/>
    </xf>
    <xf numFmtId="0" fontId="6" fillId="0" borderId="6" xfId="0" applyFont="1" applyBorder="1" applyAlignment="1">
      <alignment horizontal="left"/>
    </xf>
    <xf numFmtId="0" fontId="5" fillId="0" borderId="10" xfId="0" applyFont="1" applyBorder="1" applyAlignment="1">
      <alignment horizontal="left" vertical="center"/>
    </xf>
    <xf numFmtId="16" fontId="5" fillId="0" borderId="1" xfId="0" applyNumberFormat="1" applyFont="1" applyBorder="1" applyAlignment="1">
      <alignment horizontal="left" vertical="center"/>
    </xf>
    <xf numFmtId="0" fontId="12" fillId="3" borderId="5" xfId="0" applyFont="1" applyFill="1" applyBorder="1" applyAlignment="1">
      <alignment vertical="center"/>
    </xf>
    <xf numFmtId="0" fontId="6" fillId="3" borderId="5" xfId="0" applyFont="1" applyFill="1" applyBorder="1" applyAlignment="1">
      <alignment vertical="center"/>
    </xf>
    <xf numFmtId="0" fontId="6" fillId="3" borderId="21" xfId="0" applyFont="1" applyFill="1" applyBorder="1" applyAlignment="1">
      <alignment vertical="center"/>
    </xf>
    <xf numFmtId="0" fontId="12" fillId="0" borderId="6" xfId="0" applyFont="1" applyBorder="1" applyAlignment="1">
      <alignment horizontal="center" vertical="center"/>
    </xf>
    <xf numFmtId="0" fontId="12" fillId="3" borderId="2" xfId="0" applyFont="1" applyFill="1" applyBorder="1" applyAlignment="1">
      <alignment vertical="center"/>
    </xf>
    <xf numFmtId="0" fontId="17" fillId="0" borderId="18" xfId="0" applyFont="1" applyBorder="1" applyAlignment="1">
      <alignment vertical="center"/>
    </xf>
    <xf numFmtId="0" fontId="17" fillId="0" borderId="6" xfId="0" applyFont="1" applyBorder="1" applyAlignment="1">
      <alignment vertical="center"/>
    </xf>
    <xf numFmtId="0" fontId="6" fillId="6" borderId="1" xfId="0" applyFont="1" applyFill="1" applyBorder="1"/>
    <xf numFmtId="0" fontId="6" fillId="6" borderId="2" xfId="0" applyFont="1" applyFill="1" applyBorder="1"/>
    <xf numFmtId="0" fontId="6" fillId="6" borderId="5" xfId="0" applyFont="1" applyFill="1" applyBorder="1"/>
    <xf numFmtId="0" fontId="7" fillId="4" borderId="2" xfId="0" applyFont="1" applyFill="1" applyBorder="1"/>
    <xf numFmtId="0" fontId="7" fillId="0" borderId="1" xfId="0" applyFont="1" applyBorder="1"/>
    <xf numFmtId="0" fontId="7" fillId="2" borderId="1" xfId="0" applyFont="1" applyFill="1" applyBorder="1"/>
    <xf numFmtId="0" fontId="1" fillId="0" borderId="1" xfId="0" applyFont="1" applyBorder="1" applyAlignment="1">
      <alignment horizontal="right" vertical="center"/>
    </xf>
    <xf numFmtId="17" fontId="7" fillId="0" borderId="1" xfId="0" applyNumberFormat="1" applyFont="1" applyBorder="1"/>
    <xf numFmtId="0" fontId="6" fillId="7" borderId="1" xfId="0" applyFont="1" applyFill="1" applyBorder="1"/>
    <xf numFmtId="0" fontId="6" fillId="2" borderId="5" xfId="0" applyFont="1" applyFill="1" applyBorder="1"/>
    <xf numFmtId="49" fontId="6" fillId="0" borderId="1" xfId="0" applyNumberFormat="1" applyFont="1" applyBorder="1" applyAlignment="1">
      <alignment horizontal="right"/>
    </xf>
    <xf numFmtId="49" fontId="6" fillId="0" borderId="6" xfId="0" applyNumberFormat="1" applyFont="1" applyBorder="1" applyAlignment="1">
      <alignment horizontal="right"/>
    </xf>
    <xf numFmtId="0" fontId="6" fillId="0" borderId="9" xfId="0" applyFont="1" applyBorder="1"/>
    <xf numFmtId="0" fontId="6" fillId="3" borderId="4" xfId="0" applyFont="1" applyFill="1" applyBorder="1"/>
    <xf numFmtId="0" fontId="5" fillId="3" borderId="20" xfId="0" applyFont="1" applyFill="1" applyBorder="1" applyAlignment="1">
      <alignment vertical="center"/>
    </xf>
    <xf numFmtId="0" fontId="6" fillId="0" borderId="10" xfId="0" applyFont="1" applyBorder="1"/>
    <xf numFmtId="0" fontId="6" fillId="0" borderId="22" xfId="0" applyFont="1" applyBorder="1"/>
    <xf numFmtId="0" fontId="4" fillId="2" borderId="23" xfId="0" applyFont="1" applyFill="1" applyBorder="1" applyAlignment="1">
      <alignment horizontal="center"/>
    </xf>
    <xf numFmtId="0" fontId="4" fillId="2" borderId="24" xfId="0" applyFont="1" applyFill="1" applyBorder="1" applyAlignment="1">
      <alignment horizontal="center"/>
    </xf>
    <xf numFmtId="0" fontId="5" fillId="2" borderId="24" xfId="0" applyFont="1" applyFill="1" applyBorder="1" applyAlignment="1">
      <alignment horizontal="center"/>
    </xf>
    <xf numFmtId="0" fontId="5" fillId="2" borderId="25" xfId="0" applyFont="1" applyFill="1" applyBorder="1" applyAlignment="1">
      <alignment horizontal="center"/>
    </xf>
    <xf numFmtId="0" fontId="5" fillId="0" borderId="26" xfId="0" applyFont="1" applyBorder="1" applyAlignment="1">
      <alignment horizontal="center"/>
    </xf>
    <xf numFmtId="0" fontId="5" fillId="0" borderId="9" xfId="0" applyFont="1" applyBorder="1" applyAlignment="1">
      <alignment horizontal="center"/>
    </xf>
    <xf numFmtId="14" fontId="5" fillId="0" borderId="9" xfId="0" applyNumberFormat="1" applyFont="1" applyBorder="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1" xfId="0" applyFont="1" applyBorder="1" applyAlignment="1">
      <alignment horizontal="center"/>
    </xf>
    <xf numFmtId="0" fontId="5" fillId="0" borderId="12" xfId="0" applyFont="1" applyBorder="1" applyAlignment="1">
      <alignment horizontal="center"/>
    </xf>
    <xf numFmtId="0" fontId="16" fillId="0" borderId="27" xfId="0" applyFont="1" applyBorder="1" applyAlignment="1">
      <alignment horizontal="center"/>
    </xf>
    <xf numFmtId="0" fontId="5" fillId="0" borderId="1" xfId="0" applyFont="1" applyBorder="1" applyAlignment="1">
      <alignment horizontal="center" readingOrder="2"/>
    </xf>
    <xf numFmtId="0" fontId="16" fillId="0" borderId="12" xfId="0" applyFont="1" applyBorder="1" applyAlignment="1">
      <alignment horizontal="center"/>
    </xf>
    <xf numFmtId="0" fontId="5" fillId="3" borderId="27" xfId="0" applyFont="1" applyFill="1" applyBorder="1" applyAlignment="1">
      <alignment horizontal="center"/>
    </xf>
    <xf numFmtId="0" fontId="5" fillId="3" borderId="1" xfId="0" applyFont="1" applyFill="1" applyBorder="1" applyAlignment="1">
      <alignment horizontal="center" readingOrder="2"/>
    </xf>
    <xf numFmtId="0" fontId="16" fillId="3" borderId="12" xfId="0" applyFont="1" applyFill="1" applyBorder="1" applyAlignment="1">
      <alignment horizontal="center"/>
    </xf>
    <xf numFmtId="0" fontId="6" fillId="3" borderId="2" xfId="0" applyFont="1" applyFill="1" applyBorder="1" applyAlignment="1">
      <alignment horizontal="center"/>
    </xf>
    <xf numFmtId="0" fontId="16" fillId="3" borderId="27" xfId="0" applyFont="1" applyFill="1" applyBorder="1" applyAlignment="1">
      <alignment horizontal="center"/>
    </xf>
    <xf numFmtId="0" fontId="5" fillId="3" borderId="1" xfId="0" applyFont="1" applyFill="1" applyBorder="1" applyAlignment="1">
      <alignment horizontal="center" wrapText="1"/>
    </xf>
    <xf numFmtId="0" fontId="16" fillId="3" borderId="12" xfId="0" applyFont="1" applyFill="1" applyBorder="1" applyAlignment="1">
      <alignment horizontal="center" wrapText="1"/>
    </xf>
    <xf numFmtId="0" fontId="5" fillId="0" borderId="1" xfId="0" applyFont="1" applyBorder="1" applyAlignment="1">
      <alignment horizontal="center" wrapText="1"/>
    </xf>
    <xf numFmtId="0" fontId="16" fillId="0" borderId="12" xfId="0" applyFont="1" applyBorder="1" applyAlignment="1">
      <alignment horizontal="center" wrapText="1"/>
    </xf>
    <xf numFmtId="0" fontId="16" fillId="0" borderId="28" xfId="0" applyFont="1" applyBorder="1" applyAlignment="1">
      <alignment horizontal="center"/>
    </xf>
    <xf numFmtId="0" fontId="5" fillId="0" borderId="6" xfId="0" applyFont="1" applyBorder="1" applyAlignment="1">
      <alignment horizontal="center"/>
    </xf>
    <xf numFmtId="0" fontId="5" fillId="0" borderId="6" xfId="0" applyFont="1" applyBorder="1" applyAlignment="1">
      <alignment horizontal="center" readingOrder="2"/>
    </xf>
    <xf numFmtId="0" fontId="16" fillId="0" borderId="29" xfId="0" applyFont="1" applyBorder="1" applyAlignment="1">
      <alignment horizontal="center"/>
    </xf>
    <xf numFmtId="14" fontId="5" fillId="3" borderId="1" xfId="0" applyNumberFormat="1" applyFont="1" applyFill="1" applyBorder="1" applyAlignment="1">
      <alignment horizontal="center"/>
    </xf>
    <xf numFmtId="0" fontId="12" fillId="0" borderId="0" xfId="0" applyFont="1" applyAlignment="1">
      <alignment horizontal="center"/>
    </xf>
    <xf numFmtId="0" fontId="16" fillId="3" borderId="1" xfId="0" applyFont="1" applyFill="1" applyBorder="1" applyAlignment="1">
      <alignment horizontal="center"/>
    </xf>
    <xf numFmtId="0" fontId="16" fillId="3" borderId="5" xfId="0" applyFont="1" applyFill="1" applyBorder="1" applyAlignment="1">
      <alignment horizontal="center"/>
    </xf>
    <xf numFmtId="0" fontId="16" fillId="3" borderId="5" xfId="0" applyFont="1" applyFill="1" applyBorder="1" applyAlignment="1">
      <alignment horizontal="center" wrapText="1"/>
    </xf>
    <xf numFmtId="0" fontId="16" fillId="3" borderId="5" xfId="0" applyFont="1" applyFill="1" applyBorder="1" applyAlignment="1">
      <alignment horizontal="center" vertical="center"/>
    </xf>
    <xf numFmtId="0" fontId="6" fillId="5" borderId="1" xfId="0" applyFont="1" applyFill="1" applyBorder="1" applyAlignment="1">
      <alignment horizontal="center"/>
    </xf>
    <xf numFmtId="0" fontId="6" fillId="5" borderId="2" xfId="0" applyFont="1" applyFill="1" applyBorder="1" applyAlignment="1">
      <alignment horizontal="center"/>
    </xf>
    <xf numFmtId="14" fontId="6" fillId="3" borderId="5" xfId="0" applyNumberFormat="1" applyFont="1" applyFill="1" applyBorder="1" applyAlignment="1">
      <alignment horizontal="center"/>
    </xf>
    <xf numFmtId="0" fontId="6" fillId="3" borderId="5" xfId="0" applyFont="1" applyFill="1" applyBorder="1" applyAlignment="1">
      <alignment horizontal="center" wrapText="1"/>
    </xf>
    <xf numFmtId="0" fontId="6" fillId="3" borderId="20" xfId="0" applyFont="1" applyFill="1" applyBorder="1" applyAlignment="1">
      <alignment horizontal="center"/>
    </xf>
    <xf numFmtId="0" fontId="6" fillId="3" borderId="30" xfId="0" applyFont="1" applyFill="1" applyBorder="1" applyAlignment="1">
      <alignment horizontal="center"/>
    </xf>
    <xf numFmtId="0" fontId="6" fillId="0" borderId="10" xfId="0" applyFont="1" applyBorder="1" applyAlignment="1">
      <alignment horizontal="center"/>
    </xf>
    <xf numFmtId="0" fontId="6" fillId="0" borderId="22" xfId="0" applyFont="1" applyBorder="1" applyAlignment="1">
      <alignment horizontal="center"/>
    </xf>
    <xf numFmtId="0" fontId="6" fillId="3" borderId="4" xfId="0" applyFont="1" applyFill="1" applyBorder="1" applyAlignment="1">
      <alignment horizontal="center"/>
    </xf>
    <xf numFmtId="0" fontId="6" fillId="3" borderId="31" xfId="0" applyFont="1" applyFill="1" applyBorder="1" applyAlignment="1">
      <alignment horizontal="center"/>
    </xf>
    <xf numFmtId="0" fontId="6" fillId="3" borderId="32" xfId="0" applyFont="1" applyFill="1" applyBorder="1" applyAlignment="1">
      <alignment horizontal="center"/>
    </xf>
    <xf numFmtId="0" fontId="6" fillId="0" borderId="6" xfId="0" applyFont="1" applyBorder="1" applyAlignment="1">
      <alignment horizontal="center" wrapText="1"/>
    </xf>
    <xf numFmtId="0" fontId="6" fillId="0" borderId="3" xfId="0" applyFont="1" applyBorder="1" applyAlignment="1">
      <alignment horizontal="center"/>
    </xf>
    <xf numFmtId="0" fontId="18" fillId="3" borderId="1" xfId="0" applyFont="1" applyFill="1" applyBorder="1" applyAlignment="1">
      <alignment horizontal="center"/>
    </xf>
    <xf numFmtId="0" fontId="6" fillId="3" borderId="1" xfId="0" applyFont="1" applyFill="1" applyBorder="1" applyAlignment="1">
      <alignment horizontal="center" wrapText="1"/>
    </xf>
    <xf numFmtId="0" fontId="6" fillId="2" borderId="5" xfId="0" applyFont="1" applyFill="1" applyBorder="1" applyAlignment="1">
      <alignment horizontal="center"/>
    </xf>
    <xf numFmtId="0" fontId="6" fillId="2" borderId="2" xfId="0" applyFont="1" applyFill="1" applyBorder="1" applyAlignment="1">
      <alignment horizontal="center"/>
    </xf>
    <xf numFmtId="0" fontId="6" fillId="2" borderId="5" xfId="0" applyFont="1" applyFill="1" applyBorder="1" applyAlignment="1">
      <alignment horizontal="center" wrapText="1"/>
    </xf>
    <xf numFmtId="0" fontId="6" fillId="2" borderId="21" xfId="0" applyFont="1" applyFill="1" applyBorder="1" applyAlignment="1">
      <alignment horizontal="center" wrapText="1"/>
    </xf>
    <xf numFmtId="165" fontId="6" fillId="0" borderId="1" xfId="0" applyNumberFormat="1" applyFont="1" applyBorder="1" applyAlignment="1">
      <alignment horizontal="center"/>
    </xf>
    <xf numFmtId="0" fontId="19" fillId="0" borderId="1" xfId="0" applyFont="1" applyBorder="1" applyAlignment="1">
      <alignment horizontal="center"/>
    </xf>
    <xf numFmtId="0" fontId="6" fillId="0" borderId="9" xfId="0" applyFont="1" applyBorder="1" applyAlignment="1">
      <alignment horizontal="center"/>
    </xf>
    <xf numFmtId="165" fontId="6" fillId="0" borderId="9" xfId="0" applyNumberFormat="1" applyFont="1" applyBorder="1" applyAlignment="1">
      <alignment horizontal="center"/>
    </xf>
    <xf numFmtId="0" fontId="20" fillId="0" borderId="3" xfId="0" applyFont="1" applyBorder="1" applyAlignment="1">
      <alignment horizontal="center"/>
    </xf>
    <xf numFmtId="0" fontId="21" fillId="0" borderId="6" xfId="0" applyFont="1" applyBorder="1" applyAlignment="1">
      <alignment horizontal="center"/>
    </xf>
    <xf numFmtId="166" fontId="6" fillId="3" borderId="1" xfId="0" applyNumberFormat="1" applyFont="1" applyFill="1" applyBorder="1" applyAlignment="1">
      <alignment horizontal="center"/>
    </xf>
    <xf numFmtId="165" fontId="6" fillId="3" borderId="1" xfId="0" applyNumberFormat="1" applyFont="1" applyFill="1" applyBorder="1" applyAlignment="1">
      <alignment horizontal="center"/>
    </xf>
    <xf numFmtId="167" fontId="6" fillId="3" borderId="1" xfId="0" applyNumberFormat="1" applyFont="1" applyFill="1" applyBorder="1" applyAlignment="1">
      <alignment horizontal="center"/>
    </xf>
    <xf numFmtId="167" fontId="6" fillId="3" borderId="20" xfId="0" applyNumberFormat="1" applyFont="1" applyFill="1" applyBorder="1" applyAlignment="1">
      <alignment horizontal="center"/>
    </xf>
    <xf numFmtId="166" fontId="6" fillId="0" borderId="1" xfId="0" applyNumberFormat="1" applyFont="1" applyBorder="1" applyAlignment="1">
      <alignment horizontal="center"/>
    </xf>
    <xf numFmtId="166" fontId="6" fillId="3" borderId="20" xfId="0" applyNumberFormat="1" applyFont="1" applyFill="1" applyBorder="1" applyAlignment="1">
      <alignment horizontal="center"/>
    </xf>
    <xf numFmtId="165" fontId="22" fillId="0" borderId="1" xfId="0" applyNumberFormat="1" applyFont="1" applyBorder="1" applyAlignment="1">
      <alignment horizontal="center"/>
    </xf>
    <xf numFmtId="165" fontId="23" fillId="0" borderId="1" xfId="0" applyNumberFormat="1" applyFont="1" applyBorder="1" applyAlignment="1">
      <alignment horizontal="center" vertical="center" wrapText="1" readingOrder="2"/>
    </xf>
    <xf numFmtId="166" fontId="24" fillId="0" borderId="1" xfId="0" applyNumberFormat="1" applyFont="1" applyBorder="1" applyAlignment="1">
      <alignment horizontal="center"/>
    </xf>
    <xf numFmtId="0" fontId="25" fillId="0" borderId="1" xfId="0" applyFont="1" applyBorder="1" applyAlignment="1">
      <alignment horizontal="center"/>
    </xf>
    <xf numFmtId="165" fontId="26" fillId="5" borderId="1" xfId="0" applyNumberFormat="1" applyFont="1" applyFill="1" applyBorder="1" applyAlignment="1">
      <alignment horizontal="center" vertical="center" wrapText="1" readingOrder="2"/>
    </xf>
    <xf numFmtId="0" fontId="27" fillId="0" borderId="1" xfId="0" applyFont="1" applyBorder="1" applyAlignment="1">
      <alignment horizontal="center"/>
    </xf>
    <xf numFmtId="0" fontId="28" fillId="8" borderId="1" xfId="0" applyFont="1" applyFill="1" applyBorder="1" applyAlignment="1">
      <alignment horizontal="center" vertical="center" wrapText="1" readingOrder="2"/>
    </xf>
    <xf numFmtId="165" fontId="22" fillId="5" borderId="1" xfId="0" applyNumberFormat="1" applyFont="1" applyFill="1" applyBorder="1" applyAlignment="1">
      <alignment horizontal="center" vertical="center" wrapText="1" readingOrder="2"/>
    </xf>
    <xf numFmtId="166" fontId="29" fillId="0" borderId="1" xfId="0" applyNumberFormat="1" applyFont="1" applyBorder="1" applyAlignment="1">
      <alignment horizontal="center"/>
    </xf>
    <xf numFmtId="0" fontId="25" fillId="0" borderId="0" xfId="0" applyFont="1" applyAlignment="1">
      <alignment horizontal="center"/>
    </xf>
    <xf numFmtId="167" fontId="6" fillId="3" borderId="21" xfId="0" applyNumberFormat="1" applyFont="1" applyFill="1" applyBorder="1" applyAlignment="1">
      <alignment horizontal="center"/>
    </xf>
    <xf numFmtId="166" fontId="6" fillId="3" borderId="33" xfId="0" applyNumberFormat="1" applyFont="1" applyFill="1" applyBorder="1" applyAlignment="1">
      <alignment horizontal="center"/>
    </xf>
    <xf numFmtId="165" fontId="6" fillId="0" borderId="0" xfId="0" applyNumberFormat="1" applyFont="1" applyAlignment="1">
      <alignment horizontal="center"/>
    </xf>
    <xf numFmtId="165" fontId="22" fillId="0" borderId="6" xfId="0" applyNumberFormat="1" applyFont="1" applyBorder="1" applyAlignment="1">
      <alignment horizontal="center"/>
    </xf>
    <xf numFmtId="0" fontId="6" fillId="0" borderId="18" xfId="0" applyFont="1" applyBorder="1" applyAlignment="1">
      <alignment horizontal="center"/>
    </xf>
    <xf numFmtId="165" fontId="6" fillId="3" borderId="2" xfId="0" applyNumberFormat="1" applyFont="1" applyFill="1" applyBorder="1" applyAlignment="1">
      <alignment horizontal="center"/>
    </xf>
    <xf numFmtId="166" fontId="6" fillId="3" borderId="5" xfId="0" applyNumberFormat="1" applyFont="1" applyFill="1" applyBorder="1" applyAlignment="1">
      <alignment horizontal="center"/>
    </xf>
    <xf numFmtId="166" fontId="6" fillId="3" borderId="21" xfId="0" applyNumberFormat="1" applyFont="1" applyFill="1" applyBorder="1" applyAlignment="1">
      <alignment horizontal="center"/>
    </xf>
    <xf numFmtId="165" fontId="6" fillId="3" borderId="5" xfId="0" applyNumberFormat="1" applyFont="1" applyFill="1" applyBorder="1" applyAlignment="1">
      <alignment horizontal="center"/>
    </xf>
    <xf numFmtId="167" fontId="6" fillId="3" borderId="5" xfId="0" applyNumberFormat="1" applyFont="1" applyFill="1" applyBorder="1" applyAlignment="1">
      <alignment horizontal="center"/>
    </xf>
    <xf numFmtId="166" fontId="6" fillId="0" borderId="6" xfId="0" applyNumberFormat="1" applyFont="1" applyBorder="1" applyAlignment="1">
      <alignment horizontal="center"/>
    </xf>
    <xf numFmtId="0" fontId="5" fillId="2" borderId="1" xfId="0" applyFont="1" applyFill="1" applyBorder="1" applyAlignment="1">
      <alignment horizontal="center"/>
    </xf>
    <xf numFmtId="0" fontId="6" fillId="4" borderId="2" xfId="0" applyFont="1" applyFill="1" applyBorder="1" applyAlignment="1">
      <alignment horizontal="center"/>
    </xf>
    <xf numFmtId="0" fontId="6" fillId="0" borderId="6" xfId="0" applyFont="1" applyBorder="1" applyAlignment="1">
      <alignment horizontal="center" vertical="center"/>
    </xf>
    <xf numFmtId="0" fontId="5" fillId="0" borderId="24" xfId="0" applyFont="1" applyBorder="1" applyAlignment="1">
      <alignment horizontal="center" vertical="center"/>
    </xf>
    <xf numFmtId="0" fontId="6" fillId="0" borderId="24" xfId="0" applyFont="1" applyBorder="1" applyAlignment="1">
      <alignment horizontal="center"/>
    </xf>
    <xf numFmtId="0" fontId="6" fillId="0" borderId="34" xfId="0" applyFont="1" applyBorder="1" applyAlignment="1">
      <alignment horizontal="center"/>
    </xf>
    <xf numFmtId="168" fontId="6" fillId="0" borderId="1" xfId="0" applyNumberFormat="1" applyFont="1" applyBorder="1" applyAlignment="1">
      <alignment horizontal="center"/>
    </xf>
    <xf numFmtId="0" fontId="6" fillId="0" borderId="14" xfId="0" applyFont="1" applyBorder="1" applyAlignment="1">
      <alignment horizontal="center"/>
    </xf>
    <xf numFmtId="168" fontId="6" fillId="0" borderId="9" xfId="0" applyNumberFormat="1" applyFont="1" applyBorder="1" applyAlignment="1">
      <alignment horizontal="center"/>
    </xf>
    <xf numFmtId="0" fontId="6" fillId="0" borderId="35" xfId="0" applyFont="1" applyBorder="1" applyAlignment="1">
      <alignment horizontal="center"/>
    </xf>
    <xf numFmtId="0" fontId="5" fillId="0" borderId="6" xfId="0" applyFont="1" applyBorder="1" applyAlignment="1">
      <alignment horizontal="center" vertical="center"/>
    </xf>
    <xf numFmtId="0" fontId="6" fillId="3" borderId="1" xfId="0" applyFont="1" applyFill="1" applyBorder="1" applyAlignment="1">
      <alignment horizontal="center" vertical="center"/>
    </xf>
    <xf numFmtId="2" fontId="6" fillId="0" borderId="6" xfId="0" applyNumberFormat="1" applyFont="1" applyBorder="1"/>
    <xf numFmtId="0" fontId="17" fillId="5" borderId="21" xfId="0" applyFont="1" applyFill="1" applyBorder="1" applyAlignment="1">
      <alignment horizontal="center"/>
    </xf>
    <xf numFmtId="0" fontId="30" fillId="5" borderId="21" xfId="0" applyFont="1" applyFill="1" applyBorder="1" applyAlignment="1">
      <alignment horizontal="center"/>
    </xf>
    <xf numFmtId="14" fontId="17" fillId="5" borderId="21" xfId="0" applyNumberFormat="1" applyFont="1" applyFill="1" applyBorder="1" applyAlignment="1">
      <alignment horizontal="center"/>
    </xf>
    <xf numFmtId="0" fontId="17" fillId="5" borderId="5" xfId="0" applyFont="1" applyFill="1" applyBorder="1" applyAlignment="1">
      <alignment horizontal="center"/>
    </xf>
    <xf numFmtId="0" fontId="7" fillId="7" borderId="4" xfId="0" applyFont="1" applyFill="1" applyBorder="1"/>
    <xf numFmtId="0" fontId="6" fillId="7" borderId="2" xfId="0" applyFont="1" applyFill="1" applyBorder="1"/>
    <xf numFmtId="168" fontId="6" fillId="0" borderId="1" xfId="0" applyNumberFormat="1" applyFont="1" applyBorder="1"/>
    <xf numFmtId="0" fontId="7" fillId="0" borderId="0" xfId="0" applyFont="1"/>
    <xf numFmtId="0" fontId="31" fillId="2" borderId="2" xfId="0" applyFont="1" applyFill="1" applyBorder="1"/>
    <xf numFmtId="0" fontId="32" fillId="2" borderId="2" xfId="0" applyFont="1" applyFill="1" applyBorder="1"/>
    <xf numFmtId="0" fontId="33" fillId="2" borderId="2" xfId="0" applyFont="1" applyFill="1" applyBorder="1" applyAlignment="1">
      <alignment horizontal="center"/>
    </xf>
    <xf numFmtId="0" fontId="34" fillId="2" borderId="2" xfId="0" applyFont="1" applyFill="1" applyBorder="1"/>
    <xf numFmtId="0" fontId="2" fillId="9" borderId="1" xfId="0" applyFont="1" applyFill="1" applyBorder="1"/>
    <xf numFmtId="0" fontId="2" fillId="9" borderId="30" xfId="0" applyFont="1" applyFill="1" applyBorder="1"/>
    <xf numFmtId="0" fontId="2" fillId="9" borderId="1" xfId="0" applyFont="1" applyFill="1" applyBorder="1" applyAlignment="1">
      <alignment horizontal="center"/>
    </xf>
    <xf numFmtId="0" fontId="2" fillId="9" borderId="20" xfId="0" applyFont="1" applyFill="1" applyBorder="1"/>
    <xf numFmtId="0" fontId="5" fillId="0" borderId="36" xfId="0" applyFont="1" applyBorder="1" applyAlignment="1">
      <alignment horizontal="right" vertical="center"/>
    </xf>
    <xf numFmtId="0" fontId="5" fillId="0" borderId="10" xfId="0" applyFont="1" applyBorder="1" applyAlignment="1">
      <alignment horizontal="right" vertical="center"/>
    </xf>
    <xf numFmtId="0" fontId="5" fillId="0" borderId="22" xfId="0" applyFont="1" applyBorder="1" applyAlignment="1">
      <alignment horizontal="right" vertical="center"/>
    </xf>
    <xf numFmtId="0" fontId="5" fillId="3" borderId="20" xfId="0" applyFont="1" applyFill="1" applyBorder="1" applyAlignment="1">
      <alignment horizontal="right" vertical="center"/>
    </xf>
    <xf numFmtId="0" fontId="6" fillId="0" borderId="0" xfId="0" applyFont="1" applyAlignment="1">
      <alignment horizontal="right" readingOrder="2"/>
    </xf>
    <xf numFmtId="0" fontId="5" fillId="0" borderId="10" xfId="0" applyFont="1" applyBorder="1" applyAlignment="1">
      <alignment horizontal="right"/>
    </xf>
    <xf numFmtId="0" fontId="5" fillId="3" borderId="30" xfId="0" applyFont="1" applyFill="1" applyBorder="1" applyAlignment="1">
      <alignment horizontal="right" vertical="center"/>
    </xf>
    <xf numFmtId="0" fontId="5" fillId="0" borderId="37" xfId="0" applyFont="1" applyBorder="1" applyAlignment="1">
      <alignment horizontal="right" vertical="center"/>
    </xf>
    <xf numFmtId="0" fontId="5" fillId="0" borderId="18" xfId="0" applyFont="1" applyBorder="1" applyAlignment="1">
      <alignment horizontal="right" vertical="center"/>
    </xf>
    <xf numFmtId="0" fontId="3" fillId="3" borderId="1" xfId="0" applyFont="1" applyFill="1" applyBorder="1" applyAlignment="1">
      <alignment horizontal="center" vertical="center"/>
    </xf>
    <xf numFmtId="0" fontId="3" fillId="0" borderId="1" xfId="0" applyFont="1" applyBorder="1" applyAlignment="1">
      <alignment horizontal="right" vertical="center"/>
    </xf>
    <xf numFmtId="0" fontId="6" fillId="0" borderId="38" xfId="0" applyFont="1" applyBorder="1" applyAlignment="1">
      <alignment horizontal="right" vertical="center"/>
    </xf>
    <xf numFmtId="0" fontId="6" fillId="0" borderId="3" xfId="0" applyFont="1" applyBorder="1" applyAlignment="1">
      <alignment horizontal="right" vertical="center"/>
    </xf>
    <xf numFmtId="0" fontId="6" fillId="3" borderId="4" xfId="0" applyFont="1" applyFill="1" applyBorder="1" applyAlignment="1">
      <alignment horizontal="center" vertical="center"/>
    </xf>
    <xf numFmtId="0" fontId="6" fillId="0" borderId="16" xfId="0" applyFont="1" applyBorder="1" applyAlignment="1">
      <alignment horizontal="right" vertical="center"/>
    </xf>
    <xf numFmtId="0" fontId="6" fillId="3" borderId="5" xfId="0" applyFont="1" applyFill="1" applyBorder="1" applyAlignment="1">
      <alignment horizontal="center" vertical="center"/>
    </xf>
    <xf numFmtId="0" fontId="6" fillId="3" borderId="5" xfId="0" applyFont="1" applyFill="1" applyBorder="1" applyAlignment="1">
      <alignment horizontal="right" vertical="center"/>
    </xf>
    <xf numFmtId="0" fontId="6" fillId="0" borderId="37" xfId="0" applyFont="1" applyBorder="1" applyAlignment="1">
      <alignment horizontal="right" vertical="center"/>
    </xf>
    <xf numFmtId="0" fontId="6" fillId="0" borderId="18" xfId="0" applyFont="1" applyBorder="1" applyAlignment="1">
      <alignment horizontal="right" vertical="center"/>
    </xf>
    <xf numFmtId="0" fontId="6" fillId="3" borderId="21" xfId="0" applyFont="1" applyFill="1" applyBorder="1"/>
    <xf numFmtId="0" fontId="6" fillId="5" borderId="1" xfId="0" applyFont="1" applyFill="1" applyBorder="1" applyAlignment="1">
      <alignment horizontal="right" vertical="center"/>
    </xf>
    <xf numFmtId="0" fontId="6" fillId="5" borderId="2" xfId="0" applyFont="1" applyFill="1" applyBorder="1" applyAlignment="1">
      <alignment horizontal="right"/>
    </xf>
    <xf numFmtId="0" fontId="5" fillId="3" borderId="30" xfId="0" applyFont="1" applyFill="1" applyBorder="1" applyAlignment="1">
      <alignment horizontal="center" vertical="center"/>
    </xf>
    <xf numFmtId="0" fontId="5" fillId="3" borderId="7" xfId="0" applyFont="1" applyFill="1" applyBorder="1" applyAlignment="1">
      <alignment horizontal="center" vertical="center"/>
    </xf>
    <xf numFmtId="0" fontId="7" fillId="11" borderId="1" xfId="0" applyFont="1" applyFill="1" applyBorder="1" applyAlignment="1">
      <alignment horizontal="center"/>
    </xf>
    <xf numFmtId="0" fontId="7" fillId="11" borderId="2" xfId="0" applyFont="1" applyFill="1" applyBorder="1" applyAlignment="1">
      <alignment horizontal="center"/>
    </xf>
    <xf numFmtId="169" fontId="6" fillId="0" borderId="0" xfId="0" applyNumberFormat="1" applyFont="1" applyAlignment="1">
      <alignment horizontal="center"/>
    </xf>
    <xf numFmtId="14" fontId="6" fillId="0" borderId="1" xfId="0" applyNumberFormat="1" applyFont="1" applyBorder="1" applyAlignment="1">
      <alignment horizontal="center"/>
    </xf>
    <xf numFmtId="169" fontId="6" fillId="0" borderId="1" xfId="0" applyNumberFormat="1" applyFont="1" applyBorder="1" applyAlignment="1">
      <alignment horizontal="center"/>
    </xf>
    <xf numFmtId="0" fontId="6" fillId="12" borderId="1" xfId="0" applyFont="1" applyFill="1" applyBorder="1" applyAlignment="1">
      <alignment horizontal="center"/>
    </xf>
    <xf numFmtId="0" fontId="6" fillId="13" borderId="1" xfId="0" applyFont="1" applyFill="1" applyBorder="1" applyAlignment="1">
      <alignment horizontal="center"/>
    </xf>
    <xf numFmtId="0" fontId="6" fillId="14" borderId="1" xfId="0" applyFont="1" applyFill="1" applyBorder="1" applyAlignment="1">
      <alignment horizontal="center"/>
    </xf>
    <xf numFmtId="0" fontId="6" fillId="15" borderId="1" xfId="0" applyFont="1" applyFill="1" applyBorder="1" applyAlignment="1">
      <alignment horizontal="center"/>
    </xf>
    <xf numFmtId="169" fontId="6" fillId="15" borderId="1" xfId="0" applyNumberFormat="1" applyFont="1" applyFill="1" applyBorder="1" applyAlignment="1">
      <alignment horizontal="center"/>
    </xf>
    <xf numFmtId="14" fontId="6" fillId="15" borderId="1" xfId="0" applyNumberFormat="1" applyFont="1" applyFill="1" applyBorder="1" applyAlignment="1">
      <alignment horizontal="center"/>
    </xf>
    <xf numFmtId="0" fontId="38" fillId="10" borderId="2" xfId="0" applyFont="1" applyFill="1" applyBorder="1" applyAlignment="1">
      <alignment horizontal="center"/>
    </xf>
    <xf numFmtId="170" fontId="6" fillId="0" borderId="1" xfId="0" applyNumberFormat="1" applyFont="1" applyBorder="1" applyAlignment="1">
      <alignment horizontal="center"/>
    </xf>
    <xf numFmtId="0" fontId="7" fillId="16" borderId="1" xfId="0" applyFont="1" applyFill="1" applyBorder="1" applyAlignment="1">
      <alignment horizontal="center"/>
    </xf>
    <xf numFmtId="170" fontId="7" fillId="16" borderId="1" xfId="0" applyNumberFormat="1" applyFont="1" applyFill="1" applyBorder="1" applyAlignment="1">
      <alignment horizontal="center"/>
    </xf>
    <xf numFmtId="0" fontId="39" fillId="0" borderId="0" xfId="0" applyFont="1" applyAlignment="1">
      <alignment horizontal="center"/>
    </xf>
    <xf numFmtId="0" fontId="2" fillId="12" borderId="2" xfId="0" applyFont="1" applyFill="1" applyBorder="1" applyAlignment="1">
      <alignment horizontal="center"/>
    </xf>
    <xf numFmtId="171" fontId="2" fillId="12" borderId="2" xfId="0" applyNumberFormat="1" applyFont="1" applyFill="1" applyBorder="1" applyAlignment="1">
      <alignment horizontal="center"/>
    </xf>
    <xf numFmtId="0" fontId="5" fillId="17" borderId="1" xfId="0" applyFont="1" applyFill="1" applyBorder="1" applyAlignment="1">
      <alignment horizontal="right" vertical="center"/>
    </xf>
    <xf numFmtId="0" fontId="41" fillId="0" borderId="1" xfId="0" applyFont="1" applyBorder="1"/>
    <xf numFmtId="0" fontId="6" fillId="0" borderId="20" xfId="0" applyFont="1" applyBorder="1" applyAlignment="1">
      <alignment vertical="center"/>
    </xf>
    <xf numFmtId="0" fontId="6" fillId="3" borderId="6" xfId="0" applyFont="1" applyFill="1" applyBorder="1"/>
    <xf numFmtId="0" fontId="12" fillId="0" borderId="42" xfId="0" applyFont="1" applyBorder="1" applyAlignment="1">
      <alignment vertical="center"/>
    </xf>
    <xf numFmtId="0" fontId="0" fillId="0" borderId="42" xfId="0" applyBorder="1"/>
    <xf numFmtId="0" fontId="41" fillId="3" borderId="42" xfId="0" applyFont="1" applyFill="1" applyBorder="1"/>
    <xf numFmtId="0" fontId="6" fillId="17" borderId="1" xfId="0" applyFont="1" applyFill="1" applyBorder="1" applyAlignment="1">
      <alignment horizontal="center"/>
    </xf>
    <xf numFmtId="0" fontId="6" fillId="17" borderId="5" xfId="0" applyFont="1" applyFill="1" applyBorder="1" applyAlignment="1">
      <alignment horizontal="center"/>
    </xf>
    <xf numFmtId="0" fontId="6" fillId="17" borderId="2" xfId="0" applyFont="1" applyFill="1" applyBorder="1" applyAlignment="1">
      <alignment horizontal="center"/>
    </xf>
    <xf numFmtId="0" fontId="0" fillId="18" borderId="0" xfId="0" applyFill="1"/>
    <xf numFmtId="0" fontId="6" fillId="0" borderId="42" xfId="0" applyFont="1" applyBorder="1" applyAlignment="1">
      <alignment vertical="center"/>
    </xf>
    <xf numFmtId="0" fontId="5" fillId="3" borderId="42" xfId="0" applyFont="1" applyFill="1" applyBorder="1" applyAlignment="1">
      <alignment vertical="center"/>
    </xf>
    <xf numFmtId="0" fontId="42" fillId="19" borderId="1" xfId="0" applyFont="1" applyFill="1" applyBorder="1" applyAlignment="1">
      <alignment horizontal="right" vertical="center"/>
    </xf>
    <xf numFmtId="0" fontId="42" fillId="0" borderId="1" xfId="0" applyFont="1" applyBorder="1" applyAlignment="1">
      <alignment horizontal="right" vertical="center"/>
    </xf>
    <xf numFmtId="0" fontId="6" fillId="0" borderId="42" xfId="0" applyFont="1" applyBorder="1" applyAlignment="1">
      <alignment horizontal="center"/>
    </xf>
    <xf numFmtId="0" fontId="41" fillId="0" borderId="42" xfId="0" applyFont="1" applyBorder="1" applyAlignment="1">
      <alignment horizontal="center"/>
    </xf>
    <xf numFmtId="0" fontId="35" fillId="10" borderId="39" xfId="0" applyFont="1" applyFill="1" applyBorder="1" applyAlignment="1">
      <alignment horizontal="center"/>
    </xf>
    <xf numFmtId="0" fontId="36" fillId="0" borderId="40" xfId="0" applyFont="1" applyBorder="1"/>
    <xf numFmtId="0" fontId="36" fillId="0" borderId="41" xfId="0" applyFont="1" applyBorder="1"/>
    <xf numFmtId="0" fontId="37" fillId="10" borderId="39" xfId="0" applyFont="1" applyFill="1" applyBorder="1" applyAlignment="1">
      <alignment horizontal="center"/>
    </xf>
    <xf numFmtId="0" fontId="38" fillId="10" borderId="39" xfId="0" applyFont="1" applyFill="1" applyBorder="1" applyAlignment="1">
      <alignment horizontal="center"/>
    </xf>
    <xf numFmtId="0" fontId="5" fillId="19" borderId="1" xfId="0" applyFont="1" applyFill="1" applyBorder="1" applyAlignment="1">
      <alignment horizontal="right" vertical="center"/>
    </xf>
    <xf numFmtId="0" fontId="42" fillId="3" borderId="1" xfId="0" applyFont="1" applyFill="1" applyBorder="1" applyAlignment="1">
      <alignment horizontal="right" vertical="center"/>
    </xf>
    <xf numFmtId="0" fontId="41" fillId="0" borderId="1" xfId="0" applyFont="1" applyBorder="1" applyAlignment="1">
      <alignment horizontal="right"/>
    </xf>
    <xf numFmtId="0" fontId="41" fillId="0" borderId="1" xfId="0" applyFont="1" applyBorder="1" applyAlignment="1">
      <alignment horizontal="center"/>
    </xf>
    <xf numFmtId="0" fontId="41" fillId="0" borderId="42" xfId="0" applyFont="1" applyBorder="1" applyAlignment="1">
      <alignment vertical="center"/>
    </xf>
    <xf numFmtId="0" fontId="5" fillId="17" borderId="42" xfId="0" applyFont="1" applyFill="1" applyBorder="1" applyAlignment="1">
      <alignment vertical="center"/>
    </xf>
    <xf numFmtId="0" fontId="42" fillId="0" borderId="1" xfId="0" applyFont="1" applyBorder="1" applyAlignment="1">
      <alignment horizontal="center" vertical="center"/>
    </xf>
    <xf numFmtId="14" fontId="42" fillId="3" borderId="1" xfId="0" applyNumberFormat="1" applyFont="1" applyFill="1" applyBorder="1" applyAlignment="1">
      <alignment horizontal="right" vertical="center"/>
    </xf>
    <xf numFmtId="0" fontId="41" fillId="3" borderId="1" xfId="0" applyFont="1" applyFill="1" applyBorder="1" applyAlignment="1">
      <alignment horizontal="right"/>
    </xf>
  </cellXfs>
  <cellStyles count="1">
    <cellStyle name="Normal" xfId="0" builtinId="0"/>
  </cellStyles>
  <dxfs count="29">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1"/>
  <c:style val="2"/>
  <c:chart>
    <c:title>
      <c:tx>
        <c:rich>
          <a:bodyPr/>
          <a:lstStyle/>
          <a:p>
            <a:pPr lvl="0">
              <a:defRPr sz="1400" b="1" i="0">
                <a:solidFill>
                  <a:srgbClr val="757575"/>
                </a:solidFill>
                <a:latin typeface="+mn-lt"/>
              </a:defRPr>
            </a:pPr>
            <a:r>
              <a:rPr sz="1400" b="1" i="0">
                <a:solidFill>
                  <a:srgbClr val="757575"/>
                </a:solidFill>
                <a:latin typeface="+mn-lt"/>
              </a:rPr>
              <a:t>עליית הנזקים לפי חודש - בדגש על אשמת נהג</a:t>
            </a:r>
          </a:p>
        </c:rich>
      </c:tx>
      <c:overlay val="0"/>
    </c:title>
    <c:autoTitleDeleted val="0"/>
    <c:plotArea>
      <c:layout>
        <c:manualLayout>
          <c:xMode val="edge"/>
          <c:yMode val="edge"/>
          <c:x val="6.3740501023759458E-2"/>
          <c:y val="8.6464646464646466E-2"/>
          <c:w val="0.89437468222231387"/>
          <c:h val="0.72841888703306024"/>
        </c:manualLayout>
      </c:layout>
      <c:barChart>
        <c:barDir val="col"/>
        <c:grouping val="stacked"/>
        <c:varyColors val="1"/>
        <c:ser>
          <c:idx val="0"/>
          <c:order val="0"/>
          <c:tx>
            <c:v>אשמת נהג (₪)</c:v>
          </c:tx>
          <c:spPr>
            <a:solidFill>
              <a:srgbClr val="156082"/>
            </a:solidFill>
            <a:ln cmpd="sng">
              <a:solidFill>
                <a:srgbClr val="000000"/>
              </a:solidFill>
            </a:ln>
          </c:spPr>
          <c:invertIfNegative val="1"/>
          <c:cat>
            <c:numRef>
              <c:f>'פילוח אירועים 2025+'!$A$4:$A$20</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'פילוח אירועים 2025+'!$B$4:$B$20</c:f>
              <c:numCache>
                <c:formatCode>General</c:formatCode>
                <c:ptCount val="17"/>
                <c:pt idx="0">
                  <c:v>59201203</c:v>
                </c:pt>
                <c:pt idx="1">
                  <c:v>83945403</c:v>
                </c:pt>
                <c:pt idx="2">
                  <c:v>64782302</c:v>
                </c:pt>
                <c:pt idx="3">
                  <c:v>12198203</c:v>
                </c:pt>
                <c:pt idx="4">
                  <c:v>34633402</c:v>
                </c:pt>
                <c:pt idx="5">
                  <c:v>45366702</c:v>
                </c:pt>
                <c:pt idx="6">
                  <c:v>42009002</c:v>
                </c:pt>
                <c:pt idx="7">
                  <c:v>34005503</c:v>
                </c:pt>
                <c:pt idx="8">
                  <c:v>89072103</c:v>
                </c:pt>
                <c:pt idx="9">
                  <c:v>59124103</c:v>
                </c:pt>
                <c:pt idx="10">
                  <c:v>58185503</c:v>
                </c:pt>
                <c:pt idx="11">
                  <c:v>12198203</c:v>
                </c:pt>
                <c:pt idx="12">
                  <c:v>59032903</c:v>
                </c:pt>
                <c:pt idx="13">
                  <c:v>29317703</c:v>
                </c:pt>
                <c:pt idx="14">
                  <c:v>63109602</c:v>
                </c:pt>
                <c:pt idx="15">
                  <c:v>21898003</c:v>
                </c:pt>
                <c:pt idx="16">
                  <c:v>12198203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CFF-4EBE-9A5E-41B3DB6B9C3C}"/>
            </c:ext>
          </c:extLst>
        </c:ser>
        <c:ser>
          <c:idx val="1"/>
          <c:order val="1"/>
          <c:tx>
            <c:v>אשמת צד ג (₪)</c:v>
          </c:tx>
          <c:spPr>
            <a:solidFill>
              <a:srgbClr val="E97132"/>
            </a:solidFill>
            <a:ln cmpd="sng">
              <a:solidFill>
                <a:srgbClr val="000000"/>
              </a:solidFill>
            </a:ln>
          </c:spPr>
          <c:invertIfNegative val="1"/>
          <c:cat>
            <c:numRef>
              <c:f>'פילוח אירועים 2025+'!$A$4:$A$20</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'פילוח אירועים 2025+'!$C$4:$C$20</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CFF-4EBE-9A5E-41B3DB6B9C3C}"/>
            </c:ext>
          </c:extLst>
        </c:ser>
        <c:ser>
          <c:idx val="2"/>
          <c:order val="2"/>
          <c:invertIfNegative val="1"/>
          <c:cat>
            <c:numRef>
              <c:f>'פילוח אירועים 2025+'!$A$4:$A$20</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'פילוח אירועים 2025+'!$D$4:$D$20</c:f>
              <c:numCache>
                <c:formatCode>General</c:formatCode>
                <c:ptCount val="17"/>
                <c:pt idx="0" formatCode="m/d/yyyy">
                  <c:v>45778</c:v>
                </c:pt>
                <c:pt idx="1">
                  <c:v>0</c:v>
                </c:pt>
                <c:pt idx="2">
                  <c:v>0</c:v>
                </c:pt>
                <c:pt idx="3">
                  <c:v>0</c:v>
                </c:pt>
                <c:pt idx="4" formatCode="m/d/yyyy">
                  <c:v>45719</c:v>
                </c:pt>
                <c:pt idx="5">
                  <c:v>0</c:v>
                </c:pt>
                <c:pt idx="6">
                  <c:v>0</c:v>
                </c:pt>
                <c:pt idx="7">
                  <c:v>0</c:v>
                </c:pt>
                <c:pt idx="9">
                  <c:v>0</c:v>
                </c:pt>
                <c:pt idx="10">
                  <c:v>0</c:v>
                </c:pt>
                <c:pt idx="11">
                  <c:v>0</c:v>
                </c:pt>
                <c:pt idx="12">
                  <c:v>0</c:v>
                </c:pt>
                <c:pt idx="13" formatCode="m/d/yyyy">
                  <c:v>45818</c:v>
                </c:pt>
                <c:pt idx="14" formatCode="m/d/yyyy">
                  <c:v>45788</c:v>
                </c:pt>
                <c:pt idx="15">
                  <c:v>0</c:v>
                </c:pt>
                <c:pt idx="16" formatCode="m/d/yyyy">
                  <c:v>45787</c:v>
                </c:pt>
              </c:numCache>
            </c:numRef>
          </c:val>
          <c:extLst>
            <c:ext xmlns:c16="http://schemas.microsoft.com/office/drawing/2014/chart" uri="{C3380CC4-5D6E-409C-BE32-E72D297353CC}">
              <c16:uniqueId val="{00000002-0CFF-4EBE-9A5E-41B3DB6B9C3C}"/>
            </c:ext>
          </c:extLst>
        </c:ser>
        <c:ser>
          <c:idx val="3"/>
          <c:order val="3"/>
          <c:invertIfNegative val="1"/>
          <c:cat>
            <c:numRef>
              <c:f>'פילוח אירועים 2025+'!$A$4:$A$20</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'פילוח אירועים 2025+'!$E$4:$E$20</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3-0CFF-4EBE-9A5E-41B3DB6B9C3C}"/>
            </c:ext>
          </c:extLst>
        </c:ser>
        <c:ser>
          <c:idx val="4"/>
          <c:order val="4"/>
          <c:invertIfNegative val="1"/>
          <c:cat>
            <c:numRef>
              <c:f>'פילוח אירועים 2025+'!$A$4:$A$20</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'פילוח אירועים 2025+'!$F$4:$F$20</c:f>
              <c:numCache>
                <c:formatCode>\₪#,##0.00</c:formatCode>
                <c:ptCount val="17"/>
                <c:pt idx="0">
                  <c:v>1900</c:v>
                </c:pt>
                <c:pt idx="1">
                  <c:v>1900</c:v>
                </c:pt>
                <c:pt idx="2">
                  <c:v>250</c:v>
                </c:pt>
                <c:pt idx="3">
                  <c:v>290</c:v>
                </c:pt>
                <c:pt idx="4">
                  <c:v>600</c:v>
                </c:pt>
                <c:pt idx="5">
                  <c:v>2963</c:v>
                </c:pt>
                <c:pt idx="6">
                  <c:v>2758</c:v>
                </c:pt>
                <c:pt idx="7">
                  <c:v>1529</c:v>
                </c:pt>
                <c:pt idx="8">
                  <c:v>359.32</c:v>
                </c:pt>
                <c:pt idx="9">
                  <c:v>2710</c:v>
                </c:pt>
                <c:pt idx="10">
                  <c:v>2100</c:v>
                </c:pt>
                <c:pt idx="11">
                  <c:v>618</c:v>
                </c:pt>
                <c:pt idx="12">
                  <c:v>1575</c:v>
                </c:pt>
                <c:pt idx="13">
                  <c:v>280</c:v>
                </c:pt>
                <c:pt idx="14">
                  <c:v>2829</c:v>
                </c:pt>
                <c:pt idx="15">
                  <c:v>1810</c:v>
                </c:pt>
                <c:pt idx="16">
                  <c:v>309</c:v>
                </c:pt>
              </c:numCache>
            </c:numRef>
          </c:val>
          <c:extLst>
            <c:ext xmlns:c16="http://schemas.microsoft.com/office/drawing/2014/chart" uri="{C3380CC4-5D6E-409C-BE32-E72D297353CC}">
              <c16:uniqueId val="{00000004-0CFF-4EBE-9A5E-41B3DB6B9C3C}"/>
            </c:ext>
          </c:extLst>
        </c:ser>
        <c:ser>
          <c:idx val="5"/>
          <c:order val="5"/>
          <c:invertIfNegative val="1"/>
          <c:cat>
            <c:numRef>
              <c:f>'פילוח אירועים 2025+'!$A$4:$A$20</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'פילוח אירועים 2025+'!$G$4:$G$20</c:f>
              <c:numCache>
                <c:formatCode>General</c:formatCode>
                <c:ptCount val="17"/>
              </c:numCache>
            </c:numRef>
          </c:val>
          <c:extLst>
            <c:ext xmlns:c16="http://schemas.microsoft.com/office/drawing/2014/chart" uri="{C3380CC4-5D6E-409C-BE32-E72D297353CC}">
              <c16:uniqueId val="{00000005-0CFF-4EBE-9A5E-41B3DB6B9C3C}"/>
            </c:ext>
          </c:extLst>
        </c:ser>
        <c:dLbls>
          <c:showLegendKey val="0"/>
          <c:showVal val="0"/>
          <c:showCatName val="0"/>
          <c:showSerName val="0"/>
          <c:showPercent val="0"/>
          <c:showBubbleSize val="0"/>
        </c:dLbls>
        <c:gapWidth val="150"/>
        <c:overlap val="100"/>
        <c:axId val="505608032"/>
        <c:axId val="691260980"/>
      </c:barChart>
      <c:catAx>
        <c:axId val="50560803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900" b="0" i="0">
                <a:solidFill>
                  <a:srgbClr val="000000"/>
                </a:solidFill>
                <a:latin typeface="+mn-lt"/>
              </a:defRPr>
            </a:pPr>
            <a:endParaRPr lang="he-IL"/>
          </a:p>
        </c:txPr>
        <c:crossAx val="691260980"/>
        <c:crosses val="autoZero"/>
        <c:auto val="1"/>
        <c:lblAlgn val="ctr"/>
        <c:lblOffset val="100"/>
        <c:noMultiLvlLbl val="1"/>
      </c:catAx>
      <c:valAx>
        <c:axId val="6912609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he-IL"/>
          </a:p>
        </c:txPr>
        <c:crossAx val="505608032"/>
        <c:crosses val="autoZero"/>
        <c:crossBetween val="between"/>
      </c:valAx>
    </c:plotArea>
    <c:legend>
      <c:legendPos val="b"/>
      <c:overlay val="0"/>
      <c:txPr>
        <a:bodyPr/>
        <a:lstStyle/>
        <a:p>
          <a:pPr lvl="0">
            <a:defRPr sz="900" b="0" i="0">
              <a:solidFill>
                <a:srgbClr val="1A1A1A"/>
              </a:solidFill>
              <a:latin typeface="+mn-lt"/>
            </a:defRPr>
          </a:pPr>
          <a:endParaRPr lang="he-IL"/>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276225</xdr:colOff>
      <xdr:row>1</xdr:row>
      <xdr:rowOff>66675</xdr:rowOff>
    </xdr:from>
    <xdr:ext cx="10915650" cy="4714875"/>
    <xdr:graphicFrame macro="">
      <xdr:nvGraphicFramePr>
        <xdr:cNvPr id="426441930" name="Chart 1">
          <a:extLst>
            <a:ext uri="{FF2B5EF4-FFF2-40B4-BE49-F238E27FC236}">
              <a16:creationId xmlns:a16="http://schemas.microsoft.com/office/drawing/2014/main" id="{00000000-0008-0000-0B00-0000CAFC6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mailto:roey.k@nofar-energy.co.il" TargetMode="External"/><Relationship Id="rId2" Type="http://schemas.openxmlformats.org/officeDocument/2006/relationships/hyperlink" Target="mailto:b.ortal@nofar-energy.co.il%20" TargetMode="External"/><Relationship Id="rId1" Type="http://schemas.openxmlformats.org/officeDocument/2006/relationships/hyperlink" Target="mailto:Nisim.a@nofar-energy.co.il"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3"/>
  <sheetViews>
    <sheetView rightToLeft="1" tabSelected="1" workbookViewId="0">
      <pane ySplit="1" topLeftCell="A36" activePane="bottomLeft" state="frozen"/>
      <selection pane="bottomLeft" activeCell="I72" sqref="I72"/>
    </sheetView>
  </sheetViews>
  <sheetFormatPr defaultColWidth="12.625" defaultRowHeight="15" customHeight="1" x14ac:dyDescent="0.2"/>
  <cols>
    <col min="1" max="1" width="9.75" customWidth="1"/>
    <col min="2" max="2" width="12.25" customWidth="1"/>
    <col min="3" max="3" width="13.875" customWidth="1"/>
    <col min="4" max="4" width="11.375" customWidth="1"/>
    <col min="5" max="5" width="10.375" customWidth="1"/>
    <col min="6" max="6" width="12.25" customWidth="1"/>
    <col min="7" max="7" width="12.75" customWidth="1"/>
    <col min="8" max="8" width="10.875" customWidth="1"/>
    <col min="9" max="9" width="64.875" customWidth="1"/>
    <col min="10" max="10" width="22.75" customWidth="1"/>
    <col min="11" max="11" width="7.25" hidden="1" customWidth="1"/>
    <col min="12" max="12" width="13.75" customWidth="1"/>
    <col min="13" max="13" width="18.5" customWidth="1"/>
    <col min="14" max="14" width="16.25" customWidth="1"/>
    <col min="15" max="15" width="20.25" customWidth="1"/>
    <col min="16" max="16" width="11.75" customWidth="1"/>
    <col min="17" max="17" width="10.375" customWidth="1"/>
    <col min="18" max="18" width="13.75" customWidth="1"/>
    <col min="19" max="19" width="24.75" customWidth="1"/>
    <col min="20" max="20" width="12.75" customWidth="1"/>
    <col min="21" max="21" width="13.75" customWidth="1"/>
    <col min="22" max="29" width="12.75" customWidth="1"/>
  </cols>
  <sheetData>
    <row r="1" spans="1:29" ht="15" customHeight="1" x14ac:dyDescent="0.25">
      <c r="A1" s="1" t="s">
        <v>0</v>
      </c>
      <c r="B1" s="2" t="s">
        <v>1</v>
      </c>
      <c r="C1" s="2" t="s">
        <v>2</v>
      </c>
      <c r="D1" s="2" t="s">
        <v>3</v>
      </c>
      <c r="E1" s="3" t="s">
        <v>4</v>
      </c>
      <c r="F1" s="4" t="s">
        <v>5</v>
      </c>
      <c r="G1" s="3" t="s">
        <v>6</v>
      </c>
      <c r="H1" s="2" t="s">
        <v>7</v>
      </c>
      <c r="I1" s="2" t="s">
        <v>8</v>
      </c>
      <c r="J1" s="2" t="s">
        <v>9</v>
      </c>
      <c r="K1" s="2" t="s">
        <v>10</v>
      </c>
      <c r="L1" s="2" t="s">
        <v>11</v>
      </c>
      <c r="M1" s="3" t="s">
        <v>12</v>
      </c>
      <c r="N1" s="3" t="s">
        <v>13</v>
      </c>
      <c r="O1" s="5" t="s">
        <v>14</v>
      </c>
      <c r="P1" s="6" t="s">
        <v>15</v>
      </c>
      <c r="Q1" s="7" t="s">
        <v>16</v>
      </c>
      <c r="R1" s="6" t="s">
        <v>17</v>
      </c>
      <c r="S1" s="6" t="s">
        <v>18</v>
      </c>
      <c r="T1" s="8"/>
      <c r="U1" s="9"/>
      <c r="V1" s="9"/>
      <c r="W1" s="10"/>
      <c r="X1" s="10"/>
      <c r="Y1" s="10"/>
      <c r="Z1" s="10"/>
      <c r="AA1" s="10"/>
      <c r="AB1" s="10"/>
      <c r="AC1" s="10"/>
    </row>
    <row r="2" spans="1:29" ht="18" customHeight="1" x14ac:dyDescent="0.3">
      <c r="A2" s="11">
        <v>1</v>
      </c>
      <c r="B2" s="12" t="s">
        <v>19</v>
      </c>
      <c r="C2" s="12" t="s">
        <v>20</v>
      </c>
      <c r="D2" s="12" t="s">
        <v>21</v>
      </c>
      <c r="E2" s="13">
        <v>11.24</v>
      </c>
      <c r="F2" s="14">
        <v>83945203</v>
      </c>
      <c r="G2" s="15" t="s">
        <v>22</v>
      </c>
      <c r="H2" s="16">
        <v>25214081</v>
      </c>
      <c r="I2" s="17" t="s">
        <v>23</v>
      </c>
      <c r="J2" s="12" t="s">
        <v>24</v>
      </c>
      <c r="K2" s="12">
        <v>3</v>
      </c>
      <c r="L2" s="12" t="s">
        <v>25</v>
      </c>
      <c r="M2" s="18">
        <v>46343</v>
      </c>
      <c r="N2" s="19">
        <v>46356</v>
      </c>
      <c r="O2" s="20">
        <v>60000</v>
      </c>
      <c r="P2" s="21">
        <v>45000</v>
      </c>
      <c r="Q2" s="22" t="s">
        <v>26</v>
      </c>
      <c r="R2" s="20" t="s">
        <v>27</v>
      </c>
      <c r="S2" s="21" t="s">
        <v>28</v>
      </c>
      <c r="T2" s="23" t="s">
        <v>29</v>
      </c>
      <c r="U2" s="24"/>
      <c r="V2" s="21" t="s">
        <v>30</v>
      </c>
    </row>
    <row r="3" spans="1:29" ht="18" customHeight="1" x14ac:dyDescent="0.3">
      <c r="A3" s="11">
        <v>2</v>
      </c>
      <c r="B3" s="12"/>
      <c r="C3" s="12"/>
      <c r="D3" s="12"/>
      <c r="E3" s="13"/>
      <c r="F3" s="14"/>
      <c r="G3" s="25"/>
      <c r="H3" s="26">
        <v>313186082</v>
      </c>
      <c r="I3" s="27" t="s">
        <v>31</v>
      </c>
      <c r="J3" s="20" t="s">
        <v>32</v>
      </c>
      <c r="K3" s="12"/>
      <c r="L3" s="12"/>
      <c r="M3" s="18"/>
      <c r="N3" s="18"/>
      <c r="O3" s="21"/>
      <c r="P3" s="20"/>
      <c r="Q3" s="28"/>
      <c r="R3" s="20" t="s">
        <v>33</v>
      </c>
      <c r="S3" s="20"/>
      <c r="T3" s="24" t="s">
        <v>34</v>
      </c>
      <c r="U3" s="24"/>
      <c r="V3" s="29"/>
    </row>
    <row r="4" spans="1:29" ht="18" customHeight="1" x14ac:dyDescent="0.3">
      <c r="A4" s="11">
        <v>3</v>
      </c>
      <c r="B4" s="12" t="s">
        <v>35</v>
      </c>
      <c r="C4" s="12" t="s">
        <v>36</v>
      </c>
      <c r="D4" s="12" t="s">
        <v>37</v>
      </c>
      <c r="E4" s="13">
        <v>3.24</v>
      </c>
      <c r="F4" s="14">
        <v>65178203</v>
      </c>
      <c r="G4" s="15" t="s">
        <v>38</v>
      </c>
      <c r="H4" s="12">
        <v>302809306</v>
      </c>
      <c r="I4" s="17" t="s">
        <v>39</v>
      </c>
      <c r="J4" s="17" t="s">
        <v>40</v>
      </c>
      <c r="K4" s="12" t="s">
        <v>41</v>
      </c>
      <c r="L4" s="12" t="s">
        <v>42</v>
      </c>
      <c r="M4" s="18">
        <v>46451</v>
      </c>
      <c r="N4" s="19">
        <v>46446</v>
      </c>
      <c r="O4" s="21">
        <v>105000</v>
      </c>
      <c r="P4" s="21">
        <v>90000</v>
      </c>
      <c r="Q4" s="28">
        <v>46208</v>
      </c>
      <c r="R4" s="29"/>
      <c r="S4" s="21" t="s">
        <v>42</v>
      </c>
      <c r="T4" s="29"/>
      <c r="U4" s="29"/>
      <c r="V4" s="29"/>
    </row>
    <row r="5" spans="1:29" ht="18" customHeight="1" x14ac:dyDescent="0.3">
      <c r="A5" s="11">
        <v>4</v>
      </c>
      <c r="B5" s="12" t="s">
        <v>35</v>
      </c>
      <c r="C5" s="12" t="s">
        <v>36</v>
      </c>
      <c r="D5" s="12" t="s">
        <v>37</v>
      </c>
      <c r="E5" s="13">
        <v>4.24</v>
      </c>
      <c r="F5" s="14">
        <v>65388703</v>
      </c>
      <c r="G5" s="15" t="s">
        <v>43</v>
      </c>
      <c r="H5" s="16">
        <v>302951090</v>
      </c>
      <c r="I5" s="17" t="s">
        <v>44</v>
      </c>
      <c r="J5" s="12" t="s">
        <v>45</v>
      </c>
      <c r="K5" s="12">
        <v>3</v>
      </c>
      <c r="L5" s="12" t="s">
        <v>46</v>
      </c>
      <c r="M5" s="18">
        <v>46125</v>
      </c>
      <c r="N5" s="19">
        <v>46538</v>
      </c>
      <c r="O5" s="20">
        <v>105000</v>
      </c>
      <c r="P5" s="21">
        <v>90000</v>
      </c>
      <c r="Q5" s="22" t="s">
        <v>47</v>
      </c>
      <c r="R5" s="20" t="s">
        <v>48</v>
      </c>
      <c r="S5" s="21"/>
      <c r="T5" s="29"/>
      <c r="U5" s="29"/>
      <c r="V5" s="29"/>
    </row>
    <row r="6" spans="1:29" ht="18" customHeight="1" x14ac:dyDescent="0.3">
      <c r="A6" s="11">
        <v>5</v>
      </c>
      <c r="B6" s="12" t="s">
        <v>49</v>
      </c>
      <c r="C6" s="12" t="s">
        <v>50</v>
      </c>
      <c r="D6" s="12">
        <v>7</v>
      </c>
      <c r="E6" s="13">
        <v>10.25</v>
      </c>
      <c r="F6" s="14">
        <v>41608004</v>
      </c>
      <c r="G6" s="15" t="s">
        <v>51</v>
      </c>
      <c r="H6" s="30">
        <v>301175576</v>
      </c>
      <c r="I6" s="31" t="s">
        <v>52</v>
      </c>
      <c r="J6" s="30" t="s">
        <v>53</v>
      </c>
      <c r="K6" s="12"/>
      <c r="L6" s="12" t="s">
        <v>54</v>
      </c>
      <c r="M6" s="18">
        <v>46317</v>
      </c>
      <c r="N6" s="18">
        <v>46387</v>
      </c>
      <c r="O6" s="20">
        <v>15000</v>
      </c>
      <c r="P6" s="21">
        <v>0</v>
      </c>
      <c r="Q6" s="22" t="s">
        <v>55</v>
      </c>
      <c r="R6" s="20" t="s">
        <v>56</v>
      </c>
      <c r="S6" s="21" t="s">
        <v>54</v>
      </c>
      <c r="T6" s="29"/>
      <c r="U6" s="29"/>
      <c r="V6" s="29"/>
    </row>
    <row r="7" spans="1:29" ht="18" customHeight="1" x14ac:dyDescent="0.3">
      <c r="A7" s="11">
        <v>6</v>
      </c>
      <c r="B7" s="12" t="s">
        <v>49</v>
      </c>
      <c r="C7" s="327" t="s">
        <v>119</v>
      </c>
      <c r="D7" s="327" t="s">
        <v>4128</v>
      </c>
      <c r="E7" s="13">
        <v>26</v>
      </c>
      <c r="F7" s="14">
        <v>65058204</v>
      </c>
      <c r="G7" s="15"/>
      <c r="H7" s="12"/>
      <c r="I7" s="336" t="s">
        <v>59</v>
      </c>
      <c r="J7" s="12" t="s">
        <v>60</v>
      </c>
      <c r="K7" s="12">
        <v>2</v>
      </c>
      <c r="L7" s="327" t="s">
        <v>4123</v>
      </c>
      <c r="M7" s="18">
        <v>46285</v>
      </c>
      <c r="N7" s="19">
        <v>46387</v>
      </c>
      <c r="O7" s="20">
        <v>15000</v>
      </c>
      <c r="P7" s="21">
        <v>0</v>
      </c>
      <c r="Q7" s="22"/>
      <c r="R7" s="20" t="s">
        <v>27</v>
      </c>
      <c r="S7" s="343" t="s">
        <v>4123</v>
      </c>
      <c r="T7" s="29"/>
      <c r="U7" s="29"/>
      <c r="V7" s="29"/>
    </row>
    <row r="8" spans="1:29" ht="18" customHeight="1" x14ac:dyDescent="0.3">
      <c r="A8" s="11">
        <v>7</v>
      </c>
      <c r="B8" s="12" t="s">
        <v>19</v>
      </c>
      <c r="C8" s="12" t="s">
        <v>63</v>
      </c>
      <c r="D8" s="12" t="s">
        <v>64</v>
      </c>
      <c r="E8" s="13">
        <v>9.24</v>
      </c>
      <c r="F8" s="14">
        <v>89072103</v>
      </c>
      <c r="G8" s="15"/>
      <c r="H8" s="12">
        <v>301091203</v>
      </c>
      <c r="I8" s="17" t="s">
        <v>65</v>
      </c>
      <c r="J8" s="17" t="s">
        <v>66</v>
      </c>
      <c r="K8" s="12">
        <v>5</v>
      </c>
      <c r="L8" s="12" t="s">
        <v>67</v>
      </c>
      <c r="M8" s="19">
        <v>46287</v>
      </c>
      <c r="N8" s="19">
        <v>46356</v>
      </c>
      <c r="O8" s="20" t="s">
        <v>68</v>
      </c>
      <c r="P8" s="21">
        <v>36000</v>
      </c>
      <c r="Q8" s="28">
        <v>46208</v>
      </c>
      <c r="R8" s="20" t="s">
        <v>69</v>
      </c>
      <c r="S8" s="21" t="s">
        <v>67</v>
      </c>
      <c r="T8" s="29"/>
      <c r="U8" s="29"/>
      <c r="V8" s="29"/>
    </row>
    <row r="9" spans="1:29" ht="18" customHeight="1" x14ac:dyDescent="0.3">
      <c r="A9" s="11">
        <v>8</v>
      </c>
      <c r="B9" s="12" t="s">
        <v>19</v>
      </c>
      <c r="C9" s="12" t="s">
        <v>20</v>
      </c>
      <c r="D9" s="12" t="s">
        <v>70</v>
      </c>
      <c r="E9" s="13">
        <v>11.24</v>
      </c>
      <c r="F9" s="14">
        <v>83945303</v>
      </c>
      <c r="G9" s="15" t="s">
        <v>22</v>
      </c>
      <c r="H9" s="16">
        <v>42838961</v>
      </c>
      <c r="I9" s="17" t="s">
        <v>71</v>
      </c>
      <c r="J9" s="12" t="s">
        <v>72</v>
      </c>
      <c r="K9" s="12">
        <v>3</v>
      </c>
      <c r="L9" s="12" t="s">
        <v>73</v>
      </c>
      <c r="M9" s="19">
        <v>46343</v>
      </c>
      <c r="N9" s="19">
        <v>46356</v>
      </c>
      <c r="O9" s="12">
        <v>60000</v>
      </c>
      <c r="P9" s="12">
        <v>45000</v>
      </c>
      <c r="Q9" s="13" t="s">
        <v>74</v>
      </c>
      <c r="R9" s="20" t="s">
        <v>69</v>
      </c>
      <c r="S9" s="21" t="s">
        <v>75</v>
      </c>
      <c r="T9" s="29"/>
      <c r="U9" s="29"/>
      <c r="V9" s="29"/>
    </row>
    <row r="10" spans="1:29" ht="18" customHeight="1" x14ac:dyDescent="0.3">
      <c r="A10" s="11">
        <v>9</v>
      </c>
      <c r="B10" s="12" t="s">
        <v>35</v>
      </c>
      <c r="C10" s="12" t="s">
        <v>76</v>
      </c>
      <c r="D10" s="12" t="s">
        <v>77</v>
      </c>
      <c r="E10" s="13">
        <v>1.25</v>
      </c>
      <c r="F10" s="26">
        <v>14104704</v>
      </c>
      <c r="G10" s="15" t="s">
        <v>78</v>
      </c>
      <c r="H10" s="12">
        <v>59574228</v>
      </c>
      <c r="I10" s="17" t="s">
        <v>79</v>
      </c>
      <c r="J10" s="12" t="s">
        <v>80</v>
      </c>
      <c r="K10" s="12">
        <v>2</v>
      </c>
      <c r="L10" s="12" t="s">
        <v>81</v>
      </c>
      <c r="M10" s="19">
        <v>46391</v>
      </c>
      <c r="N10" s="18">
        <v>46418</v>
      </c>
      <c r="O10" s="20">
        <v>55000</v>
      </c>
      <c r="P10" s="21">
        <v>40000</v>
      </c>
      <c r="Q10" s="22"/>
      <c r="R10" s="20" t="s">
        <v>27</v>
      </c>
      <c r="S10" s="21" t="s">
        <v>81</v>
      </c>
      <c r="T10" s="29"/>
      <c r="U10" s="29"/>
      <c r="V10" s="29"/>
    </row>
    <row r="11" spans="1:29" ht="18" customHeight="1" x14ac:dyDescent="0.3">
      <c r="A11" s="11">
        <v>10</v>
      </c>
      <c r="B11" s="12" t="s">
        <v>19</v>
      </c>
      <c r="C11" s="12" t="s">
        <v>82</v>
      </c>
      <c r="D11" s="12" t="s">
        <v>83</v>
      </c>
      <c r="E11" s="13">
        <v>1.21</v>
      </c>
      <c r="F11" s="14">
        <v>42009002</v>
      </c>
      <c r="G11" s="15" t="s">
        <v>84</v>
      </c>
      <c r="H11" s="12">
        <v>311908982</v>
      </c>
      <c r="I11" s="32" t="s">
        <v>85</v>
      </c>
      <c r="J11" s="17" t="s">
        <v>86</v>
      </c>
      <c r="K11" s="12"/>
      <c r="L11" s="12" t="s">
        <v>87</v>
      </c>
      <c r="M11" s="18">
        <v>46393</v>
      </c>
      <c r="N11" s="19">
        <v>46418</v>
      </c>
      <c r="O11" s="21">
        <v>120000</v>
      </c>
      <c r="P11" s="21">
        <v>100000</v>
      </c>
      <c r="Q11" s="28">
        <v>46208</v>
      </c>
      <c r="R11" s="20" t="s">
        <v>87</v>
      </c>
      <c r="S11" s="21" t="s">
        <v>88</v>
      </c>
      <c r="T11" s="29"/>
      <c r="U11" s="29"/>
      <c r="V11" s="29"/>
    </row>
    <row r="12" spans="1:29" ht="18" customHeight="1" x14ac:dyDescent="0.3">
      <c r="A12" s="11">
        <v>11</v>
      </c>
      <c r="B12" s="12" t="s">
        <v>35</v>
      </c>
      <c r="C12" s="12" t="s">
        <v>82</v>
      </c>
      <c r="D12" s="12" t="s">
        <v>83</v>
      </c>
      <c r="E12" s="13">
        <v>1.24</v>
      </c>
      <c r="F12" s="14">
        <v>59347603</v>
      </c>
      <c r="G12" s="15" t="s">
        <v>89</v>
      </c>
      <c r="H12" s="12">
        <v>34968107</v>
      </c>
      <c r="I12" s="17" t="s">
        <v>90</v>
      </c>
      <c r="J12" s="12" t="s">
        <v>91</v>
      </c>
      <c r="K12" s="12">
        <v>2</v>
      </c>
      <c r="L12" s="12" t="s">
        <v>92</v>
      </c>
      <c r="M12" s="18">
        <v>46403</v>
      </c>
      <c r="N12" s="19">
        <v>46538</v>
      </c>
      <c r="O12" s="20" t="s">
        <v>62</v>
      </c>
      <c r="P12" s="21">
        <v>40000</v>
      </c>
      <c r="Q12" s="28">
        <v>46208</v>
      </c>
      <c r="R12" s="20"/>
      <c r="S12" s="21"/>
      <c r="T12" s="29"/>
      <c r="U12" s="29"/>
      <c r="V12" s="29"/>
    </row>
    <row r="13" spans="1:29" ht="18" customHeight="1" x14ac:dyDescent="0.3">
      <c r="A13" s="11">
        <v>12</v>
      </c>
      <c r="B13" s="12" t="s">
        <v>19</v>
      </c>
      <c r="C13" s="33" t="s">
        <v>63</v>
      </c>
      <c r="D13" s="33" t="s">
        <v>93</v>
      </c>
      <c r="E13" s="34">
        <v>5.21</v>
      </c>
      <c r="F13" s="14">
        <v>45366702</v>
      </c>
      <c r="G13" s="15" t="s">
        <v>94</v>
      </c>
      <c r="H13" s="12">
        <v>34826669</v>
      </c>
      <c r="I13" s="17" t="s">
        <v>95</v>
      </c>
      <c r="J13" s="12" t="s">
        <v>96</v>
      </c>
      <c r="K13" s="12">
        <v>2</v>
      </c>
      <c r="L13" s="12" t="s">
        <v>97</v>
      </c>
      <c r="M13" s="35">
        <v>46143</v>
      </c>
      <c r="N13" s="35">
        <v>46142</v>
      </c>
      <c r="O13" s="20">
        <v>225000</v>
      </c>
      <c r="P13" s="20">
        <v>214000</v>
      </c>
      <c r="Q13" s="22" t="s">
        <v>98</v>
      </c>
      <c r="R13" s="20" t="s">
        <v>27</v>
      </c>
      <c r="S13" s="21" t="s">
        <v>99</v>
      </c>
      <c r="T13" s="29"/>
      <c r="U13" s="29"/>
      <c r="V13" s="29"/>
    </row>
    <row r="14" spans="1:29" ht="18" customHeight="1" x14ac:dyDescent="0.3">
      <c r="A14" s="11">
        <v>13</v>
      </c>
      <c r="B14" s="12" t="s">
        <v>19</v>
      </c>
      <c r="C14" s="12" t="s">
        <v>20</v>
      </c>
      <c r="D14" s="12" t="s">
        <v>70</v>
      </c>
      <c r="E14" s="13">
        <v>11.24</v>
      </c>
      <c r="F14" s="26">
        <v>83945503</v>
      </c>
      <c r="G14" s="15" t="s">
        <v>22</v>
      </c>
      <c r="H14" s="12">
        <v>40312290</v>
      </c>
      <c r="I14" s="17" t="s">
        <v>100</v>
      </c>
      <c r="J14" s="12" t="s">
        <v>101</v>
      </c>
      <c r="K14" s="12">
        <v>4</v>
      </c>
      <c r="L14" s="12" t="s">
        <v>102</v>
      </c>
      <c r="M14" s="19">
        <v>46343</v>
      </c>
      <c r="N14" s="18">
        <v>46356</v>
      </c>
      <c r="O14" s="20">
        <v>60000</v>
      </c>
      <c r="P14" s="21">
        <v>45000</v>
      </c>
      <c r="Q14" s="22" t="s">
        <v>103</v>
      </c>
      <c r="R14" s="20" t="s">
        <v>27</v>
      </c>
      <c r="S14" s="21" t="s">
        <v>104</v>
      </c>
      <c r="T14" s="29"/>
      <c r="U14" s="29"/>
      <c r="V14" s="29"/>
    </row>
    <row r="15" spans="1:29" ht="18" customHeight="1" x14ac:dyDescent="0.3">
      <c r="A15" s="11">
        <v>14</v>
      </c>
      <c r="B15" s="12" t="s">
        <v>35</v>
      </c>
      <c r="C15" s="12" t="s">
        <v>36</v>
      </c>
      <c r="D15" s="12" t="s">
        <v>37</v>
      </c>
      <c r="E15" s="13">
        <v>3.24</v>
      </c>
      <c r="F15" s="14">
        <v>65144703</v>
      </c>
      <c r="G15" s="15" t="s">
        <v>38</v>
      </c>
      <c r="H15" s="12">
        <v>208560060</v>
      </c>
      <c r="I15" s="17" t="s">
        <v>105</v>
      </c>
      <c r="J15" s="30" t="s">
        <v>106</v>
      </c>
      <c r="K15" s="12"/>
      <c r="L15" s="12" t="s">
        <v>107</v>
      </c>
      <c r="M15" s="19">
        <v>46474</v>
      </c>
      <c r="N15" s="19">
        <v>46477</v>
      </c>
      <c r="O15" s="20">
        <v>105000</v>
      </c>
      <c r="P15" s="21">
        <v>90000</v>
      </c>
      <c r="Q15" s="28">
        <v>46208</v>
      </c>
      <c r="R15" s="20" t="s">
        <v>108</v>
      </c>
      <c r="S15" s="21" t="s">
        <v>107</v>
      </c>
      <c r="T15" s="29"/>
      <c r="U15" s="29"/>
      <c r="V15" s="29"/>
    </row>
    <row r="16" spans="1:29" ht="18" customHeight="1" x14ac:dyDescent="0.3">
      <c r="A16" s="11">
        <v>15</v>
      </c>
      <c r="B16" s="12" t="s">
        <v>49</v>
      </c>
      <c r="C16" s="12" t="s">
        <v>20</v>
      </c>
      <c r="D16" s="12" t="s">
        <v>109</v>
      </c>
      <c r="E16" s="13"/>
      <c r="F16" s="14">
        <v>31044104</v>
      </c>
      <c r="G16" s="15"/>
      <c r="H16" s="12">
        <v>35674597</v>
      </c>
      <c r="I16" s="17" t="s">
        <v>110</v>
      </c>
      <c r="J16" s="12" t="s">
        <v>111</v>
      </c>
      <c r="K16" s="12">
        <v>1</v>
      </c>
      <c r="L16" s="12" t="s">
        <v>112</v>
      </c>
      <c r="M16" s="18">
        <v>46556</v>
      </c>
      <c r="N16" s="18">
        <v>46387</v>
      </c>
      <c r="O16" s="20"/>
      <c r="P16" s="21"/>
      <c r="Q16" s="22"/>
      <c r="R16" s="20" t="s">
        <v>27</v>
      </c>
      <c r="S16" s="21"/>
      <c r="T16" s="29"/>
      <c r="U16" s="29"/>
      <c r="V16" s="29"/>
    </row>
    <row r="17" spans="1:29" ht="18" customHeight="1" x14ac:dyDescent="0.3">
      <c r="A17" s="11">
        <v>16</v>
      </c>
      <c r="B17" s="12" t="s">
        <v>19</v>
      </c>
      <c r="C17" s="12" t="s">
        <v>63</v>
      </c>
      <c r="D17" s="12" t="s">
        <v>113</v>
      </c>
      <c r="E17" s="13">
        <v>3.19</v>
      </c>
      <c r="F17" s="14">
        <v>59321401</v>
      </c>
      <c r="G17" s="15"/>
      <c r="H17" s="12">
        <v>1</v>
      </c>
      <c r="I17" s="17" t="s">
        <v>114</v>
      </c>
      <c r="J17" s="12" t="s">
        <v>4098</v>
      </c>
      <c r="K17" s="12">
        <v>3</v>
      </c>
      <c r="L17" s="12" t="s">
        <v>116</v>
      </c>
      <c r="M17" s="19">
        <v>46476</v>
      </c>
      <c r="N17" s="19">
        <v>46446</v>
      </c>
      <c r="O17" s="20">
        <v>335000</v>
      </c>
      <c r="P17" s="21">
        <v>320000</v>
      </c>
      <c r="Q17" s="22" t="s">
        <v>117</v>
      </c>
      <c r="R17" s="20" t="s">
        <v>27</v>
      </c>
      <c r="S17" s="21" t="s">
        <v>118</v>
      </c>
      <c r="T17" s="29"/>
      <c r="U17" s="29"/>
      <c r="V17" s="29"/>
    </row>
    <row r="18" spans="1:29" ht="18" customHeight="1" x14ac:dyDescent="0.3">
      <c r="A18" s="11">
        <v>17</v>
      </c>
      <c r="B18" s="12" t="s">
        <v>35</v>
      </c>
      <c r="C18" s="12" t="s">
        <v>119</v>
      </c>
      <c r="D18" s="12" t="s">
        <v>120</v>
      </c>
      <c r="E18" s="13">
        <v>2.23</v>
      </c>
      <c r="F18" s="14">
        <v>55423702</v>
      </c>
      <c r="G18" s="15" t="s">
        <v>121</v>
      </c>
      <c r="H18" s="12">
        <v>314110222</v>
      </c>
      <c r="I18" s="17" t="s">
        <v>122</v>
      </c>
      <c r="J18" s="12" t="s">
        <v>123</v>
      </c>
      <c r="K18" s="12">
        <v>3</v>
      </c>
      <c r="L18" s="12" t="s">
        <v>124</v>
      </c>
      <c r="M18" s="19">
        <v>46440</v>
      </c>
      <c r="N18" s="18">
        <v>46112</v>
      </c>
      <c r="O18" s="21">
        <v>120000</v>
      </c>
      <c r="P18" s="21">
        <v>96000</v>
      </c>
      <c r="Q18" s="22" t="s">
        <v>125</v>
      </c>
      <c r="R18" s="20" t="s">
        <v>27</v>
      </c>
      <c r="S18" s="21" t="s">
        <v>124</v>
      </c>
      <c r="T18" s="29"/>
      <c r="U18" s="29"/>
      <c r="V18" s="29"/>
    </row>
    <row r="19" spans="1:29" ht="18" customHeight="1" x14ac:dyDescent="0.3">
      <c r="A19" s="11">
        <v>18</v>
      </c>
      <c r="B19" s="17" t="s">
        <v>49</v>
      </c>
      <c r="C19" s="17" t="s">
        <v>50</v>
      </c>
      <c r="D19" s="17">
        <v>5</v>
      </c>
      <c r="E19" s="13">
        <v>11.25</v>
      </c>
      <c r="F19" s="26">
        <v>41919404</v>
      </c>
      <c r="G19" s="13" t="s">
        <v>126</v>
      </c>
      <c r="H19" s="26">
        <v>208611293</v>
      </c>
      <c r="I19" s="17" t="s">
        <v>127</v>
      </c>
      <c r="J19" s="20" t="s">
        <v>128</v>
      </c>
      <c r="K19" s="17">
        <v>2</v>
      </c>
      <c r="L19" s="31" t="s">
        <v>129</v>
      </c>
      <c r="M19" s="19">
        <v>46355</v>
      </c>
      <c r="N19" s="19"/>
      <c r="O19" s="20">
        <v>15000</v>
      </c>
      <c r="P19" s="20">
        <v>7800</v>
      </c>
      <c r="Q19" s="22"/>
      <c r="R19" s="20" t="s">
        <v>130</v>
      </c>
      <c r="S19" s="20" t="s">
        <v>131</v>
      </c>
      <c r="T19" s="26"/>
      <c r="U19" s="26"/>
      <c r="V19" s="26"/>
      <c r="W19" s="36"/>
      <c r="X19" s="36"/>
      <c r="Y19" s="36"/>
      <c r="Z19" s="36"/>
      <c r="AA19" s="36"/>
      <c r="AB19" s="36"/>
      <c r="AC19" s="36"/>
    </row>
    <row r="20" spans="1:29" ht="18" customHeight="1" x14ac:dyDescent="0.3">
      <c r="A20" s="11">
        <v>19</v>
      </c>
      <c r="B20" s="12" t="s">
        <v>35</v>
      </c>
      <c r="C20" s="327" t="s">
        <v>233</v>
      </c>
      <c r="D20" s="327" t="s">
        <v>234</v>
      </c>
      <c r="E20" s="13">
        <v>6.26</v>
      </c>
      <c r="F20" s="14">
        <v>72454004</v>
      </c>
      <c r="G20" s="15" t="s">
        <v>132</v>
      </c>
      <c r="H20" s="12">
        <v>34919324</v>
      </c>
      <c r="I20" s="326" t="s">
        <v>4130</v>
      </c>
      <c r="J20" s="12" t="s">
        <v>133</v>
      </c>
      <c r="K20" s="12">
        <v>4</v>
      </c>
      <c r="L20" s="342" t="s">
        <v>4123</v>
      </c>
      <c r="M20" s="18">
        <v>46547</v>
      </c>
      <c r="N20" s="18">
        <v>46599</v>
      </c>
      <c r="O20" s="20">
        <v>15000</v>
      </c>
      <c r="P20" s="29"/>
      <c r="Q20" s="22"/>
      <c r="R20" s="20" t="s">
        <v>69</v>
      </c>
      <c r="S20" s="21"/>
      <c r="T20" s="29"/>
      <c r="U20" s="29"/>
      <c r="V20" s="29"/>
    </row>
    <row r="21" spans="1:29" ht="18" customHeight="1" x14ac:dyDescent="0.3">
      <c r="A21" s="11">
        <v>20</v>
      </c>
      <c r="B21" s="12" t="s">
        <v>35</v>
      </c>
      <c r="C21" s="12" t="s">
        <v>135</v>
      </c>
      <c r="D21" s="12" t="s">
        <v>136</v>
      </c>
      <c r="E21" s="13">
        <v>7.21</v>
      </c>
      <c r="F21" s="14">
        <v>64782302</v>
      </c>
      <c r="G21" s="15" t="s">
        <v>137</v>
      </c>
      <c r="H21" s="12">
        <v>310617543</v>
      </c>
      <c r="I21" s="32" t="s">
        <v>4099</v>
      </c>
      <c r="J21" s="12" t="s">
        <v>138</v>
      </c>
      <c r="K21" s="12">
        <v>1</v>
      </c>
      <c r="L21" s="12" t="s">
        <v>139</v>
      </c>
      <c r="M21" s="18">
        <v>46208</v>
      </c>
      <c r="N21" s="37">
        <v>46234</v>
      </c>
      <c r="O21" s="20" t="s">
        <v>140</v>
      </c>
      <c r="P21" s="29">
        <v>81000</v>
      </c>
      <c r="Q21" s="22" t="s">
        <v>108</v>
      </c>
      <c r="R21" s="20" t="s">
        <v>27</v>
      </c>
      <c r="S21" s="21" t="s">
        <v>141</v>
      </c>
      <c r="T21" s="29"/>
      <c r="U21" s="29"/>
      <c r="V21" s="29"/>
    </row>
    <row r="22" spans="1:29" ht="18" customHeight="1" x14ac:dyDescent="0.3">
      <c r="A22" s="11">
        <v>21</v>
      </c>
      <c r="B22" s="12" t="s">
        <v>35</v>
      </c>
      <c r="C22" s="12" t="s">
        <v>142</v>
      </c>
      <c r="D22" s="12" t="s">
        <v>143</v>
      </c>
      <c r="E22" s="13">
        <v>1.24</v>
      </c>
      <c r="F22" s="14">
        <v>59317703</v>
      </c>
      <c r="G22" s="15" t="s">
        <v>89</v>
      </c>
      <c r="H22" s="12">
        <v>32547077</v>
      </c>
      <c r="I22" s="17" t="s">
        <v>144</v>
      </c>
      <c r="J22" s="17" t="s">
        <v>145</v>
      </c>
      <c r="K22" s="12"/>
      <c r="L22" s="12" t="s">
        <v>61</v>
      </c>
      <c r="M22" s="18">
        <v>46409</v>
      </c>
      <c r="N22" s="19">
        <v>46446</v>
      </c>
      <c r="O22" s="20">
        <v>140000</v>
      </c>
      <c r="P22" s="29">
        <v>120000</v>
      </c>
      <c r="Q22" s="22" t="s">
        <v>146</v>
      </c>
      <c r="R22" s="20" t="s">
        <v>147</v>
      </c>
      <c r="S22" s="20" t="s">
        <v>61</v>
      </c>
      <c r="T22" s="29"/>
      <c r="U22" s="29"/>
      <c r="V22" s="29"/>
    </row>
    <row r="23" spans="1:29" ht="18" customHeight="1" x14ac:dyDescent="0.3">
      <c r="A23" s="11">
        <v>22</v>
      </c>
      <c r="B23" s="12" t="s">
        <v>49</v>
      </c>
      <c r="C23" s="12" t="s">
        <v>148</v>
      </c>
      <c r="D23" s="12" t="s">
        <v>149</v>
      </c>
      <c r="E23" s="13">
        <v>11.22</v>
      </c>
      <c r="F23" s="14">
        <v>51631604</v>
      </c>
      <c r="G23" s="15"/>
      <c r="H23" s="30">
        <v>305674426</v>
      </c>
      <c r="I23" s="31" t="s">
        <v>150</v>
      </c>
      <c r="J23" s="30" t="s">
        <v>151</v>
      </c>
      <c r="K23" s="12" t="s">
        <v>41</v>
      </c>
      <c r="L23" s="30" t="s">
        <v>152</v>
      </c>
      <c r="M23" s="18">
        <v>46393</v>
      </c>
      <c r="N23" s="18">
        <v>46387</v>
      </c>
      <c r="O23" s="17">
        <v>15000</v>
      </c>
      <c r="P23" s="38">
        <v>0</v>
      </c>
      <c r="Q23" s="13"/>
      <c r="R23" s="20" t="s">
        <v>153</v>
      </c>
      <c r="S23" s="21" t="s">
        <v>152</v>
      </c>
      <c r="T23" s="29"/>
      <c r="U23" s="29"/>
      <c r="V23" s="29"/>
    </row>
    <row r="24" spans="1:29" ht="18" customHeight="1" x14ac:dyDescent="0.3">
      <c r="A24" s="11">
        <v>23</v>
      </c>
      <c r="B24" s="12" t="s">
        <v>49</v>
      </c>
      <c r="C24" s="12" t="s">
        <v>20</v>
      </c>
      <c r="D24" s="12" t="s">
        <v>70</v>
      </c>
      <c r="E24" s="13">
        <v>8.25</v>
      </c>
      <c r="F24" s="14">
        <v>31775004</v>
      </c>
      <c r="G24" s="15" t="s">
        <v>154</v>
      </c>
      <c r="H24" s="12">
        <v>21359518</v>
      </c>
      <c r="I24" s="17" t="s">
        <v>155</v>
      </c>
      <c r="J24" s="12" t="s">
        <v>156</v>
      </c>
      <c r="K24" s="12">
        <v>3</v>
      </c>
      <c r="L24" s="30" t="s">
        <v>157</v>
      </c>
      <c r="M24" s="18">
        <v>46250</v>
      </c>
      <c r="N24" s="18">
        <v>46387</v>
      </c>
      <c r="O24" s="17" t="s">
        <v>158</v>
      </c>
      <c r="P24" s="39">
        <v>0</v>
      </c>
      <c r="Q24" s="13"/>
      <c r="R24" s="20" t="s">
        <v>27</v>
      </c>
      <c r="S24" s="21" t="s">
        <v>159</v>
      </c>
      <c r="T24" s="29"/>
      <c r="U24" s="29"/>
      <c r="V24" s="29"/>
    </row>
    <row r="25" spans="1:29" ht="18" customHeight="1" x14ac:dyDescent="0.3">
      <c r="A25" s="11">
        <v>24</v>
      </c>
      <c r="B25" s="12" t="s">
        <v>35</v>
      </c>
      <c r="C25" s="12" t="s">
        <v>160</v>
      </c>
      <c r="D25" s="12">
        <v>5008</v>
      </c>
      <c r="E25" s="13">
        <v>2.2200000000000002</v>
      </c>
      <c r="F25" s="14">
        <v>75169702</v>
      </c>
      <c r="G25" s="15" t="s">
        <v>161</v>
      </c>
      <c r="H25" s="12">
        <v>313765604</v>
      </c>
      <c r="I25" s="27" t="s">
        <v>162</v>
      </c>
      <c r="J25" s="17" t="s">
        <v>163</v>
      </c>
      <c r="K25" s="29"/>
      <c r="L25" s="12" t="s">
        <v>164</v>
      </c>
      <c r="M25" s="19">
        <v>46444</v>
      </c>
      <c r="N25" s="19">
        <v>46430</v>
      </c>
      <c r="O25" s="17">
        <v>90000</v>
      </c>
      <c r="P25" s="12">
        <v>75000</v>
      </c>
      <c r="Q25" s="13" t="s">
        <v>165</v>
      </c>
      <c r="R25" s="20" t="s">
        <v>27</v>
      </c>
      <c r="S25" s="21" t="s">
        <v>88</v>
      </c>
      <c r="T25" s="29"/>
      <c r="U25" s="29"/>
      <c r="V25" s="29"/>
    </row>
    <row r="26" spans="1:29" ht="18" customHeight="1" x14ac:dyDescent="0.3">
      <c r="A26" s="11">
        <v>25</v>
      </c>
      <c r="B26" s="12" t="s">
        <v>166</v>
      </c>
      <c r="C26" s="12" t="s">
        <v>167</v>
      </c>
      <c r="D26" s="12">
        <v>9</v>
      </c>
      <c r="E26" s="13">
        <v>5.26</v>
      </c>
      <c r="F26" s="14">
        <v>65723504</v>
      </c>
      <c r="G26" s="15" t="s">
        <v>168</v>
      </c>
      <c r="H26" s="12">
        <v>38414934</v>
      </c>
      <c r="I26" s="26" t="s">
        <v>169</v>
      </c>
      <c r="J26" s="21" t="s">
        <v>170</v>
      </c>
      <c r="K26" s="12">
        <v>1</v>
      </c>
      <c r="L26" s="18" t="s">
        <v>171</v>
      </c>
      <c r="M26" s="19">
        <v>46512</v>
      </c>
      <c r="N26" s="19">
        <v>46387</v>
      </c>
      <c r="O26" s="12">
        <v>15000</v>
      </c>
      <c r="P26" s="12">
        <v>0</v>
      </c>
      <c r="Q26" s="13"/>
      <c r="R26" s="20" t="s">
        <v>130</v>
      </c>
      <c r="S26" s="21" t="s">
        <v>171</v>
      </c>
      <c r="T26" s="29"/>
      <c r="U26" s="29"/>
      <c r="V26" s="29"/>
    </row>
    <row r="27" spans="1:29" ht="18" customHeight="1" x14ac:dyDescent="0.3">
      <c r="A27" s="11">
        <v>26</v>
      </c>
      <c r="B27" s="12" t="s">
        <v>49</v>
      </c>
      <c r="C27" s="12" t="s">
        <v>76</v>
      </c>
      <c r="D27" s="12" t="s">
        <v>172</v>
      </c>
      <c r="E27" s="13">
        <v>8.25</v>
      </c>
      <c r="F27" s="14">
        <v>39230904</v>
      </c>
      <c r="G27" s="15" t="s">
        <v>173</v>
      </c>
      <c r="H27" s="12">
        <v>40722027</v>
      </c>
      <c r="I27" s="17" t="s">
        <v>4090</v>
      </c>
      <c r="J27" s="12" t="s">
        <v>174</v>
      </c>
      <c r="K27" s="12">
        <v>4</v>
      </c>
      <c r="L27" s="12" t="s">
        <v>175</v>
      </c>
      <c r="M27" s="19">
        <v>46250</v>
      </c>
      <c r="N27" s="19">
        <v>46387</v>
      </c>
      <c r="O27" s="17">
        <v>45000</v>
      </c>
      <c r="P27" s="12">
        <v>30000</v>
      </c>
      <c r="Q27" s="13" t="s">
        <v>108</v>
      </c>
      <c r="R27" s="20" t="s">
        <v>27</v>
      </c>
      <c r="S27" s="21" t="s">
        <v>176</v>
      </c>
      <c r="T27" s="29"/>
      <c r="U27" s="29"/>
      <c r="V27" s="29"/>
    </row>
    <row r="28" spans="1:29" ht="18" customHeight="1" x14ac:dyDescent="0.3">
      <c r="A28" s="11">
        <v>27</v>
      </c>
      <c r="B28" s="12" t="s">
        <v>271</v>
      </c>
      <c r="C28" s="12" t="s">
        <v>4102</v>
      </c>
      <c r="D28" s="12" t="s">
        <v>4103</v>
      </c>
      <c r="E28" s="13">
        <v>6.26</v>
      </c>
      <c r="F28" s="14">
        <v>75392504</v>
      </c>
      <c r="G28" s="15" t="s">
        <v>4104</v>
      </c>
      <c r="H28" s="12">
        <v>200628360</v>
      </c>
      <c r="I28" s="336" t="s">
        <v>4118</v>
      </c>
      <c r="J28" s="12" t="s">
        <v>177</v>
      </c>
      <c r="K28" s="12"/>
      <c r="L28" s="327" t="s">
        <v>4095</v>
      </c>
      <c r="M28" s="40">
        <v>46554</v>
      </c>
      <c r="N28" s="19">
        <v>46538</v>
      </c>
      <c r="O28" s="20">
        <v>15000</v>
      </c>
      <c r="P28" s="21">
        <v>0</v>
      </c>
      <c r="Q28" s="28"/>
      <c r="R28" s="20" t="s">
        <v>48</v>
      </c>
      <c r="S28" s="337" t="s">
        <v>4095</v>
      </c>
      <c r="T28" s="29"/>
      <c r="U28" s="29"/>
      <c r="V28" s="29"/>
    </row>
    <row r="29" spans="1:29" ht="18" customHeight="1" x14ac:dyDescent="0.3">
      <c r="A29" s="11">
        <v>28</v>
      </c>
      <c r="B29" s="12" t="s">
        <v>35</v>
      </c>
      <c r="C29" s="12" t="s">
        <v>82</v>
      </c>
      <c r="D29" s="12" t="s">
        <v>143</v>
      </c>
      <c r="E29" s="13">
        <v>1.24</v>
      </c>
      <c r="F29" s="14">
        <v>59317903</v>
      </c>
      <c r="G29" s="15" t="s">
        <v>89</v>
      </c>
      <c r="H29" s="12">
        <v>22096317</v>
      </c>
      <c r="I29" s="17" t="s">
        <v>179</v>
      </c>
      <c r="J29" s="12" t="s">
        <v>180</v>
      </c>
      <c r="K29" s="12">
        <v>2</v>
      </c>
      <c r="L29" s="12" t="s">
        <v>181</v>
      </c>
      <c r="M29" s="18">
        <v>46397</v>
      </c>
      <c r="N29" s="19">
        <v>46446</v>
      </c>
      <c r="O29" s="20">
        <v>120000</v>
      </c>
      <c r="P29" s="21">
        <v>100000</v>
      </c>
      <c r="Q29" s="22" t="s">
        <v>182</v>
      </c>
      <c r="R29" s="20" t="s">
        <v>27</v>
      </c>
      <c r="S29" s="21"/>
      <c r="T29" s="29"/>
      <c r="U29" s="29"/>
      <c r="V29" s="29"/>
    </row>
    <row r="30" spans="1:29" ht="18" customHeight="1" x14ac:dyDescent="0.3">
      <c r="A30" s="11">
        <v>29</v>
      </c>
      <c r="B30" s="12" t="s">
        <v>35</v>
      </c>
      <c r="C30" s="12" t="s">
        <v>183</v>
      </c>
      <c r="D30" s="12" t="s">
        <v>184</v>
      </c>
      <c r="E30" s="13">
        <v>10.23</v>
      </c>
      <c r="F30" s="14">
        <v>59124103</v>
      </c>
      <c r="G30" s="15" t="s">
        <v>185</v>
      </c>
      <c r="H30" s="12">
        <v>315775684</v>
      </c>
      <c r="I30" s="17" t="s">
        <v>186</v>
      </c>
      <c r="J30" s="12" t="s">
        <v>187</v>
      </c>
      <c r="K30" s="12" t="s">
        <v>41</v>
      </c>
      <c r="L30" s="12" t="s">
        <v>188</v>
      </c>
      <c r="M30" s="19">
        <v>46312</v>
      </c>
      <c r="N30" s="18">
        <v>46326</v>
      </c>
      <c r="O30" s="20">
        <v>140000</v>
      </c>
      <c r="P30" s="21">
        <v>120000</v>
      </c>
      <c r="Q30" s="28">
        <v>46208</v>
      </c>
      <c r="R30" s="20" t="s">
        <v>48</v>
      </c>
      <c r="S30" s="20" t="s">
        <v>188</v>
      </c>
      <c r="T30" s="29"/>
      <c r="U30" s="29"/>
      <c r="V30" s="29"/>
    </row>
    <row r="31" spans="1:29" ht="18" customHeight="1" x14ac:dyDescent="0.3">
      <c r="A31" s="11">
        <v>30</v>
      </c>
      <c r="B31" s="12" t="s">
        <v>49</v>
      </c>
      <c r="C31" s="12" t="s">
        <v>20</v>
      </c>
      <c r="D31" s="12" t="s">
        <v>70</v>
      </c>
      <c r="E31" s="13">
        <v>2.25</v>
      </c>
      <c r="F31" s="14">
        <v>23243904</v>
      </c>
      <c r="G31" s="15" t="s">
        <v>22</v>
      </c>
      <c r="H31" s="12">
        <v>61507513</v>
      </c>
      <c r="I31" s="17" t="s">
        <v>189</v>
      </c>
      <c r="J31" s="12" t="s">
        <v>190</v>
      </c>
      <c r="K31" s="12">
        <v>3</v>
      </c>
      <c r="L31" s="12" t="s">
        <v>191</v>
      </c>
      <c r="M31" s="41">
        <v>46443</v>
      </c>
      <c r="N31" s="41">
        <v>46387</v>
      </c>
      <c r="O31" s="20">
        <v>30000</v>
      </c>
      <c r="P31" s="21">
        <v>15000</v>
      </c>
      <c r="Q31" s="22" t="s">
        <v>192</v>
      </c>
      <c r="R31" s="17" t="s">
        <v>69</v>
      </c>
      <c r="S31" s="21" t="s">
        <v>191</v>
      </c>
      <c r="T31" s="29"/>
      <c r="U31" s="29"/>
      <c r="V31" s="29"/>
    </row>
    <row r="32" spans="1:29" ht="18" customHeight="1" x14ac:dyDescent="0.3">
      <c r="A32" s="11">
        <v>31</v>
      </c>
      <c r="B32" s="12" t="s">
        <v>49</v>
      </c>
      <c r="C32" s="327" t="s">
        <v>76</v>
      </c>
      <c r="D32" s="327" t="s">
        <v>338</v>
      </c>
      <c r="E32" s="13">
        <v>6.26</v>
      </c>
      <c r="F32" s="14">
        <v>75106004</v>
      </c>
      <c r="G32" s="341" t="s">
        <v>255</v>
      </c>
      <c r="H32" s="12">
        <v>305919409</v>
      </c>
      <c r="I32" s="326" t="s">
        <v>4126</v>
      </c>
      <c r="J32" s="12" t="s">
        <v>194</v>
      </c>
      <c r="K32" s="12">
        <v>3</v>
      </c>
      <c r="L32" s="327" t="s">
        <v>4123</v>
      </c>
      <c r="M32" s="19">
        <v>46551</v>
      </c>
      <c r="N32" s="19">
        <v>46387</v>
      </c>
      <c r="O32" s="21">
        <v>15000</v>
      </c>
      <c r="P32" s="21">
        <v>0</v>
      </c>
      <c r="Q32" s="22"/>
      <c r="R32" s="20" t="s">
        <v>69</v>
      </c>
      <c r="S32" s="21"/>
      <c r="T32" s="29"/>
      <c r="U32" s="29"/>
      <c r="V32" s="29"/>
    </row>
    <row r="33" spans="1:22" ht="18" customHeight="1" x14ac:dyDescent="0.3">
      <c r="A33" s="11">
        <v>32</v>
      </c>
      <c r="B33" s="12" t="s">
        <v>49</v>
      </c>
      <c r="C33" s="12" t="s">
        <v>148</v>
      </c>
      <c r="D33" s="12" t="s">
        <v>149</v>
      </c>
      <c r="E33" s="13" t="s">
        <v>196</v>
      </c>
      <c r="F33" s="26">
        <v>57691303</v>
      </c>
      <c r="G33" s="15" t="s">
        <v>193</v>
      </c>
      <c r="H33" s="12">
        <v>201379336</v>
      </c>
      <c r="I33" s="17" t="s">
        <v>197</v>
      </c>
      <c r="J33" s="12" t="s">
        <v>198</v>
      </c>
      <c r="K33" s="12"/>
      <c r="L33" s="12" t="s">
        <v>199</v>
      </c>
      <c r="M33" s="18">
        <v>46387</v>
      </c>
      <c r="N33" s="19">
        <v>46387</v>
      </c>
      <c r="O33" s="17">
        <v>60000</v>
      </c>
      <c r="P33" s="12">
        <v>45000</v>
      </c>
      <c r="Q33" s="13" t="s">
        <v>200</v>
      </c>
      <c r="R33" s="17" t="s">
        <v>27</v>
      </c>
      <c r="S33" s="21" t="s">
        <v>199</v>
      </c>
      <c r="T33" s="29"/>
      <c r="U33" s="29"/>
      <c r="V33" s="29"/>
    </row>
    <row r="34" spans="1:22" ht="18" customHeight="1" x14ac:dyDescent="0.3">
      <c r="A34" s="11">
        <v>33</v>
      </c>
      <c r="B34" s="12" t="s">
        <v>49</v>
      </c>
      <c r="C34" s="12" t="s">
        <v>148</v>
      </c>
      <c r="D34" s="12" t="s">
        <v>149</v>
      </c>
      <c r="E34" s="13">
        <v>4.2300000000000004</v>
      </c>
      <c r="F34" s="14">
        <v>34002803</v>
      </c>
      <c r="G34" s="15" t="s">
        <v>193</v>
      </c>
      <c r="H34" s="12">
        <v>300409901</v>
      </c>
      <c r="I34" s="17" t="s">
        <v>201</v>
      </c>
      <c r="J34" s="12" t="s">
        <v>202</v>
      </c>
      <c r="K34" s="12">
        <v>2</v>
      </c>
      <c r="L34" s="12" t="s">
        <v>203</v>
      </c>
      <c r="M34" s="19">
        <v>46489</v>
      </c>
      <c r="N34" s="19">
        <v>46387</v>
      </c>
      <c r="O34" s="17">
        <v>75000</v>
      </c>
      <c r="P34" s="12">
        <v>60000</v>
      </c>
      <c r="Q34" s="13" t="s">
        <v>204</v>
      </c>
      <c r="R34" s="17" t="s">
        <v>27</v>
      </c>
      <c r="S34" s="21" t="s">
        <v>205</v>
      </c>
      <c r="T34" s="29"/>
      <c r="U34" s="29"/>
      <c r="V34" s="29"/>
    </row>
    <row r="35" spans="1:22" ht="18" customHeight="1" x14ac:dyDescent="0.3">
      <c r="A35" s="11">
        <v>34</v>
      </c>
      <c r="B35" s="12" t="s">
        <v>49</v>
      </c>
      <c r="C35" s="12" t="s">
        <v>57</v>
      </c>
      <c r="D35" s="12" t="s">
        <v>58</v>
      </c>
      <c r="E35" s="13">
        <v>4.2300000000000004</v>
      </c>
      <c r="F35" s="14">
        <v>43688603</v>
      </c>
      <c r="G35" s="15" t="s">
        <v>132</v>
      </c>
      <c r="H35" s="12">
        <v>39633417</v>
      </c>
      <c r="I35" s="17" t="s">
        <v>206</v>
      </c>
      <c r="J35" s="12" t="s">
        <v>207</v>
      </c>
      <c r="K35" s="12">
        <v>2</v>
      </c>
      <c r="L35" s="12" t="s">
        <v>208</v>
      </c>
      <c r="M35" s="19">
        <v>46503</v>
      </c>
      <c r="N35" s="19">
        <v>46387</v>
      </c>
      <c r="O35" s="17">
        <v>60000</v>
      </c>
      <c r="P35" s="12">
        <v>45000</v>
      </c>
      <c r="Q35" s="13" t="s">
        <v>209</v>
      </c>
      <c r="R35" s="20" t="s">
        <v>27</v>
      </c>
      <c r="S35" s="21" t="s">
        <v>208</v>
      </c>
      <c r="T35" s="29"/>
      <c r="U35" s="29"/>
      <c r="V35" s="29"/>
    </row>
    <row r="36" spans="1:22" ht="18" customHeight="1" x14ac:dyDescent="0.3">
      <c r="A36" s="11">
        <v>35</v>
      </c>
      <c r="B36" s="12" t="s">
        <v>49</v>
      </c>
      <c r="C36" s="12" t="s">
        <v>57</v>
      </c>
      <c r="D36" s="12" t="s">
        <v>58</v>
      </c>
      <c r="E36" s="13">
        <v>5.23</v>
      </c>
      <c r="F36" s="14">
        <v>44373703</v>
      </c>
      <c r="G36" s="15" t="s">
        <v>132</v>
      </c>
      <c r="H36" s="12">
        <v>201615408</v>
      </c>
      <c r="I36" s="17" t="s">
        <v>210</v>
      </c>
      <c r="J36" s="17" t="s">
        <v>211</v>
      </c>
      <c r="K36" s="12">
        <v>2</v>
      </c>
      <c r="L36" s="12" t="s">
        <v>212</v>
      </c>
      <c r="M36" s="18">
        <v>46529</v>
      </c>
      <c r="N36" s="19">
        <v>46387</v>
      </c>
      <c r="O36" s="17">
        <v>60000</v>
      </c>
      <c r="P36" s="12">
        <v>45000</v>
      </c>
      <c r="Q36" s="13" t="s">
        <v>213</v>
      </c>
      <c r="R36" s="20" t="s">
        <v>27</v>
      </c>
      <c r="S36" s="21" t="s">
        <v>214</v>
      </c>
      <c r="T36" s="29"/>
      <c r="U36" s="29"/>
      <c r="V36" s="29"/>
    </row>
    <row r="37" spans="1:22" ht="18" customHeight="1" x14ac:dyDescent="0.3">
      <c r="A37" s="11">
        <v>36</v>
      </c>
      <c r="B37" s="12" t="s">
        <v>49</v>
      </c>
      <c r="C37" s="12" t="s">
        <v>148</v>
      </c>
      <c r="D37" s="12" t="s">
        <v>149</v>
      </c>
      <c r="E37" s="13">
        <v>2.23</v>
      </c>
      <c r="F37" s="14">
        <v>20036203</v>
      </c>
      <c r="G37" s="15" t="s">
        <v>193</v>
      </c>
      <c r="H37" s="12">
        <v>311499743</v>
      </c>
      <c r="I37" s="17" t="s">
        <v>215</v>
      </c>
      <c r="J37" s="12" t="s">
        <v>216</v>
      </c>
      <c r="K37" s="12">
        <v>3</v>
      </c>
      <c r="L37" s="12" t="s">
        <v>165</v>
      </c>
      <c r="M37" s="19">
        <v>46425</v>
      </c>
      <c r="N37" s="19">
        <v>46387</v>
      </c>
      <c r="O37" s="17">
        <v>105000</v>
      </c>
      <c r="P37" s="12">
        <v>90000</v>
      </c>
      <c r="Q37" s="22" t="s">
        <v>153</v>
      </c>
      <c r="R37" s="20" t="s">
        <v>27</v>
      </c>
      <c r="S37" s="21" t="s">
        <v>165</v>
      </c>
      <c r="T37" s="29"/>
      <c r="U37" s="29"/>
      <c r="V37" s="29"/>
    </row>
    <row r="38" spans="1:22" ht="18" customHeight="1" x14ac:dyDescent="0.3">
      <c r="A38" s="11">
        <v>37</v>
      </c>
      <c r="B38" s="12" t="s">
        <v>49</v>
      </c>
      <c r="C38" s="12" t="s">
        <v>148</v>
      </c>
      <c r="D38" s="12" t="s">
        <v>149</v>
      </c>
      <c r="E38" s="13">
        <v>6.27</v>
      </c>
      <c r="F38" s="14">
        <v>58613404</v>
      </c>
      <c r="G38" s="15"/>
      <c r="H38" s="12">
        <v>300916202</v>
      </c>
      <c r="I38" s="17" t="s">
        <v>217</v>
      </c>
      <c r="J38" s="12" t="s">
        <v>218</v>
      </c>
      <c r="K38" s="12">
        <v>3</v>
      </c>
      <c r="L38" s="12" t="s">
        <v>219</v>
      </c>
      <c r="M38" s="19">
        <v>46461</v>
      </c>
      <c r="N38" s="19">
        <v>46387</v>
      </c>
      <c r="O38" s="17">
        <v>15000</v>
      </c>
      <c r="P38" s="12">
        <v>0</v>
      </c>
      <c r="Q38" s="28"/>
      <c r="R38" s="20" t="s">
        <v>48</v>
      </c>
      <c r="S38" s="21" t="s">
        <v>219</v>
      </c>
      <c r="T38" s="29"/>
      <c r="U38" s="29"/>
      <c r="V38" s="29"/>
    </row>
    <row r="39" spans="1:22" ht="18" customHeight="1" x14ac:dyDescent="0.3">
      <c r="A39" s="11">
        <v>38</v>
      </c>
      <c r="B39" s="12" t="s">
        <v>271</v>
      </c>
      <c r="C39" s="12" t="s">
        <v>4102</v>
      </c>
      <c r="D39" s="12" t="s">
        <v>4103</v>
      </c>
      <c r="E39" s="13">
        <v>6.26</v>
      </c>
      <c r="F39" s="14">
        <v>75392604</v>
      </c>
      <c r="G39" s="15" t="s">
        <v>4111</v>
      </c>
      <c r="H39" s="12">
        <v>32799322</v>
      </c>
      <c r="I39" s="335" t="s">
        <v>4112</v>
      </c>
      <c r="J39" s="12" t="s">
        <v>220</v>
      </c>
      <c r="K39" s="12">
        <v>1</v>
      </c>
      <c r="L39" s="12" t="s">
        <v>4113</v>
      </c>
      <c r="M39" s="19">
        <v>46558</v>
      </c>
      <c r="N39" s="19">
        <v>46538</v>
      </c>
      <c r="O39" s="20">
        <v>15000</v>
      </c>
      <c r="P39" s="21">
        <v>0</v>
      </c>
      <c r="Q39" s="13"/>
      <c r="R39" s="20" t="s">
        <v>27</v>
      </c>
      <c r="S39" s="21"/>
      <c r="T39" s="29"/>
      <c r="U39" s="29"/>
      <c r="V39" s="29"/>
    </row>
    <row r="40" spans="1:22" ht="18" customHeight="1" x14ac:dyDescent="0.3">
      <c r="A40" s="11">
        <v>39</v>
      </c>
      <c r="B40" s="12" t="s">
        <v>49</v>
      </c>
      <c r="C40" s="12" t="s">
        <v>148</v>
      </c>
      <c r="D40" s="12" t="s">
        <v>149</v>
      </c>
      <c r="E40" s="13">
        <v>4.2300000000000004</v>
      </c>
      <c r="F40" s="14">
        <v>58612904</v>
      </c>
      <c r="G40" s="15" t="s">
        <v>272</v>
      </c>
      <c r="H40" s="12">
        <v>321127862</v>
      </c>
      <c r="I40" s="17" t="s">
        <v>221</v>
      </c>
      <c r="J40" s="12" t="s">
        <v>222</v>
      </c>
      <c r="K40" s="12">
        <v>1</v>
      </c>
      <c r="L40" s="12" t="s">
        <v>4113</v>
      </c>
      <c r="M40" s="19">
        <v>46541</v>
      </c>
      <c r="N40" s="19">
        <v>46387</v>
      </c>
      <c r="O40" s="17">
        <v>15000</v>
      </c>
      <c r="P40" s="12">
        <v>0</v>
      </c>
      <c r="Q40" s="13" t="s">
        <v>223</v>
      </c>
      <c r="R40" s="20" t="s">
        <v>27</v>
      </c>
      <c r="S40" s="21" t="s">
        <v>224</v>
      </c>
      <c r="T40" s="29"/>
      <c r="U40" s="29"/>
      <c r="V40" s="29"/>
    </row>
    <row r="41" spans="1:22" ht="18" customHeight="1" x14ac:dyDescent="0.3">
      <c r="A41" s="11">
        <v>40</v>
      </c>
      <c r="B41" s="12" t="s">
        <v>49</v>
      </c>
      <c r="C41" s="12" t="s">
        <v>148</v>
      </c>
      <c r="D41" s="12" t="s">
        <v>149</v>
      </c>
      <c r="E41" s="13">
        <v>4.2300000000000004</v>
      </c>
      <c r="F41" s="14">
        <v>34005603</v>
      </c>
      <c r="G41" s="15" t="s">
        <v>193</v>
      </c>
      <c r="H41" s="12">
        <v>317769479</v>
      </c>
      <c r="I41" s="17" t="s">
        <v>225</v>
      </c>
      <c r="J41" s="12" t="s">
        <v>226</v>
      </c>
      <c r="K41" s="12">
        <v>3</v>
      </c>
      <c r="L41" s="12" t="s">
        <v>203</v>
      </c>
      <c r="M41" s="19">
        <v>54448</v>
      </c>
      <c r="N41" s="19">
        <v>46387</v>
      </c>
      <c r="O41" s="17">
        <v>60000</v>
      </c>
      <c r="P41" s="12">
        <v>43478</v>
      </c>
      <c r="Q41" s="13" t="s">
        <v>209</v>
      </c>
      <c r="R41" s="17" t="s">
        <v>69</v>
      </c>
      <c r="S41" s="21" t="s">
        <v>227</v>
      </c>
      <c r="T41" s="29"/>
      <c r="U41" s="29"/>
      <c r="V41" s="29"/>
    </row>
    <row r="42" spans="1:22" ht="18" customHeight="1" x14ac:dyDescent="0.3">
      <c r="A42" s="11">
        <v>41</v>
      </c>
      <c r="B42" s="12" t="s">
        <v>49</v>
      </c>
      <c r="C42" s="12" t="s">
        <v>148</v>
      </c>
      <c r="D42" s="12" t="s">
        <v>149</v>
      </c>
      <c r="E42" s="13">
        <v>3.23</v>
      </c>
      <c r="F42" s="14">
        <v>34005503</v>
      </c>
      <c r="G42" s="15" t="s">
        <v>193</v>
      </c>
      <c r="H42" s="12">
        <v>204314819</v>
      </c>
      <c r="I42" s="17" t="s">
        <v>228</v>
      </c>
      <c r="J42" s="17" t="s">
        <v>229</v>
      </c>
      <c r="K42" s="12" t="s">
        <v>41</v>
      </c>
      <c r="L42" s="12" t="s">
        <v>230</v>
      </c>
      <c r="M42" s="19">
        <v>46474</v>
      </c>
      <c r="N42" s="19">
        <v>46022</v>
      </c>
      <c r="O42" s="21">
        <v>75000</v>
      </c>
      <c r="P42" s="21">
        <v>60000</v>
      </c>
      <c r="Q42" s="22" t="s">
        <v>231</v>
      </c>
      <c r="R42" s="20" t="s">
        <v>27</v>
      </c>
      <c r="S42" s="21" t="s">
        <v>232</v>
      </c>
      <c r="T42" s="29"/>
      <c r="U42" s="29"/>
      <c r="V42" s="29"/>
    </row>
    <row r="43" spans="1:22" ht="18" customHeight="1" x14ac:dyDescent="0.3">
      <c r="A43" s="11">
        <v>42</v>
      </c>
      <c r="B43" s="12" t="s">
        <v>49</v>
      </c>
      <c r="C43" s="12" t="s">
        <v>233</v>
      </c>
      <c r="D43" s="12" t="s">
        <v>234</v>
      </c>
      <c r="E43" s="13">
        <v>4.26</v>
      </c>
      <c r="F43" s="14">
        <v>69014004</v>
      </c>
      <c r="G43" s="15" t="s">
        <v>235</v>
      </c>
      <c r="H43" s="12">
        <v>25345273</v>
      </c>
      <c r="I43" s="17" t="s">
        <v>236</v>
      </c>
      <c r="J43" s="12" t="s">
        <v>237</v>
      </c>
      <c r="K43" s="12">
        <v>2</v>
      </c>
      <c r="L43" s="12" t="s">
        <v>238</v>
      </c>
      <c r="M43" s="19">
        <v>46489</v>
      </c>
      <c r="N43" s="19">
        <v>46387</v>
      </c>
      <c r="O43" s="17">
        <v>15000</v>
      </c>
      <c r="P43" s="12">
        <v>0</v>
      </c>
      <c r="Q43" s="13"/>
      <c r="R43" s="20" t="s">
        <v>27</v>
      </c>
      <c r="S43" s="21"/>
      <c r="T43" s="29"/>
      <c r="U43" s="29"/>
      <c r="V43" s="29"/>
    </row>
    <row r="44" spans="1:22" ht="18" customHeight="1" x14ac:dyDescent="0.3">
      <c r="A44" s="11">
        <v>43</v>
      </c>
      <c r="B44" s="12" t="s">
        <v>166</v>
      </c>
      <c r="C44" s="12" t="s">
        <v>239</v>
      </c>
      <c r="D44" s="12" t="s">
        <v>240</v>
      </c>
      <c r="E44" s="13">
        <v>5.26</v>
      </c>
      <c r="F44" s="14">
        <v>65371104</v>
      </c>
      <c r="G44" s="15" t="s">
        <v>241</v>
      </c>
      <c r="H44" s="12">
        <v>201479409</v>
      </c>
      <c r="I44" s="17" t="s">
        <v>242</v>
      </c>
      <c r="J44" s="12" t="s">
        <v>243</v>
      </c>
      <c r="K44" s="12" t="s">
        <v>41</v>
      </c>
      <c r="L44" s="12" t="s">
        <v>244</v>
      </c>
      <c r="M44" s="19">
        <v>46437</v>
      </c>
      <c r="N44" s="19">
        <v>46387</v>
      </c>
      <c r="O44" s="17">
        <v>15000</v>
      </c>
      <c r="P44" s="12">
        <v>0</v>
      </c>
      <c r="Q44" s="22"/>
      <c r="R44" s="20" t="s">
        <v>27</v>
      </c>
      <c r="S44" s="21"/>
      <c r="T44" s="29"/>
      <c r="U44" s="29"/>
      <c r="V44" s="29"/>
    </row>
    <row r="45" spans="1:22" ht="18" customHeight="1" x14ac:dyDescent="0.3">
      <c r="A45" s="11">
        <v>44</v>
      </c>
      <c r="B45" s="12" t="s">
        <v>49</v>
      </c>
      <c r="C45" s="12" t="s">
        <v>245</v>
      </c>
      <c r="D45" s="12" t="s">
        <v>77</v>
      </c>
      <c r="E45" s="42">
        <v>1.26</v>
      </c>
      <c r="F45" s="14">
        <v>55211904</v>
      </c>
      <c r="G45" s="43" t="s">
        <v>246</v>
      </c>
      <c r="H45" s="12">
        <v>38215752</v>
      </c>
      <c r="I45" s="17" t="s">
        <v>247</v>
      </c>
      <c r="J45" s="12" t="s">
        <v>115</v>
      </c>
      <c r="K45" s="12">
        <v>1</v>
      </c>
      <c r="L45" s="18" t="s">
        <v>248</v>
      </c>
      <c r="M45" s="41">
        <v>46394</v>
      </c>
      <c r="N45" s="41">
        <v>46387</v>
      </c>
      <c r="O45" s="29" t="s">
        <v>158</v>
      </c>
      <c r="P45" s="12">
        <v>0</v>
      </c>
      <c r="Q45" s="22"/>
      <c r="R45" s="20" t="s">
        <v>27</v>
      </c>
      <c r="S45" s="21" t="s">
        <v>248</v>
      </c>
      <c r="T45" s="29"/>
      <c r="U45" s="29"/>
      <c r="V45" s="29"/>
    </row>
    <row r="46" spans="1:22" ht="18" customHeight="1" x14ac:dyDescent="0.3">
      <c r="A46" s="11">
        <v>45</v>
      </c>
      <c r="B46" s="12" t="s">
        <v>49</v>
      </c>
      <c r="C46" s="12" t="s">
        <v>249</v>
      </c>
      <c r="D46" s="12" t="s">
        <v>250</v>
      </c>
      <c r="E46" s="13">
        <v>2.2599999999999998</v>
      </c>
      <c r="F46" s="14">
        <v>42934404</v>
      </c>
      <c r="G46" s="15" t="s">
        <v>251</v>
      </c>
      <c r="H46" s="12">
        <v>305626954</v>
      </c>
      <c r="I46" s="17" t="s">
        <v>252</v>
      </c>
      <c r="J46" s="12" t="s">
        <v>253</v>
      </c>
      <c r="K46" s="12"/>
      <c r="L46" s="12" t="s">
        <v>108</v>
      </c>
      <c r="M46" s="19">
        <v>46442</v>
      </c>
      <c r="N46" s="19">
        <v>46387</v>
      </c>
      <c r="O46" s="17">
        <v>30000</v>
      </c>
      <c r="P46" s="12">
        <v>15000</v>
      </c>
      <c r="Q46" s="13"/>
      <c r="R46" s="20" t="s">
        <v>47</v>
      </c>
      <c r="S46" s="21" t="s">
        <v>108</v>
      </c>
      <c r="T46" s="29"/>
      <c r="U46" s="29"/>
      <c r="V46" s="29"/>
    </row>
    <row r="47" spans="1:22" ht="18" customHeight="1" x14ac:dyDescent="0.3">
      <c r="A47" s="11">
        <v>46</v>
      </c>
      <c r="B47" s="12" t="s">
        <v>49</v>
      </c>
      <c r="C47" s="12" t="s">
        <v>245</v>
      </c>
      <c r="D47" s="12" t="s">
        <v>254</v>
      </c>
      <c r="E47" s="13">
        <v>4.26</v>
      </c>
      <c r="F47" s="14">
        <v>64616304</v>
      </c>
      <c r="G47" s="15" t="s">
        <v>255</v>
      </c>
      <c r="H47" s="12">
        <v>300988870</v>
      </c>
      <c r="I47" s="17" t="s">
        <v>256</v>
      </c>
      <c r="J47" s="12" t="s">
        <v>257</v>
      </c>
      <c r="K47" s="12" t="s">
        <v>41</v>
      </c>
      <c r="L47" s="12" t="s">
        <v>258</v>
      </c>
      <c r="M47" s="19">
        <v>46489</v>
      </c>
      <c r="N47" s="19">
        <v>46387</v>
      </c>
      <c r="O47" s="12">
        <v>15000</v>
      </c>
      <c r="P47" s="12">
        <v>0</v>
      </c>
      <c r="Q47" s="13"/>
      <c r="R47" s="20" t="s">
        <v>27</v>
      </c>
      <c r="S47" s="21" t="s">
        <v>258</v>
      </c>
      <c r="T47" s="29"/>
      <c r="U47" s="29"/>
      <c r="V47" s="29"/>
    </row>
    <row r="48" spans="1:22" ht="18" customHeight="1" x14ac:dyDescent="0.3">
      <c r="A48" s="11">
        <v>47</v>
      </c>
      <c r="B48" s="12" t="s">
        <v>49</v>
      </c>
      <c r="C48" s="12" t="s">
        <v>245</v>
      </c>
      <c r="D48" s="12" t="s">
        <v>254</v>
      </c>
      <c r="E48" s="13">
        <v>5.26</v>
      </c>
      <c r="F48" s="14">
        <v>74254104</v>
      </c>
      <c r="G48" s="15" t="s">
        <v>255</v>
      </c>
      <c r="H48" s="12">
        <v>32735607</v>
      </c>
      <c r="I48" s="17" t="s">
        <v>259</v>
      </c>
      <c r="J48" s="12" t="s">
        <v>260</v>
      </c>
      <c r="K48" s="12" t="s">
        <v>41</v>
      </c>
      <c r="L48" s="12" t="s">
        <v>219</v>
      </c>
      <c r="M48" s="18">
        <v>46532</v>
      </c>
      <c r="N48" s="19">
        <v>46387</v>
      </c>
      <c r="O48" s="17">
        <v>15000</v>
      </c>
      <c r="P48" s="12"/>
      <c r="Q48" s="13"/>
      <c r="R48" s="20" t="s">
        <v>27</v>
      </c>
      <c r="S48" s="21" t="s">
        <v>219</v>
      </c>
      <c r="T48" s="29"/>
      <c r="U48" s="29"/>
      <c r="V48" s="29"/>
    </row>
    <row r="49" spans="1:22" ht="18" customHeight="1" x14ac:dyDescent="0.3">
      <c r="A49" s="11">
        <v>48</v>
      </c>
      <c r="B49" s="12" t="s">
        <v>49</v>
      </c>
      <c r="C49" s="12" t="s">
        <v>76</v>
      </c>
      <c r="D49" s="12" t="s">
        <v>172</v>
      </c>
      <c r="E49" s="13">
        <v>11.25</v>
      </c>
      <c r="F49" s="14">
        <v>49135504</v>
      </c>
      <c r="G49" s="15" t="s">
        <v>261</v>
      </c>
      <c r="H49" s="12">
        <v>317069755</v>
      </c>
      <c r="I49" s="17" t="s">
        <v>262</v>
      </c>
      <c r="J49" s="12" t="s">
        <v>263</v>
      </c>
      <c r="K49" s="12">
        <v>3</v>
      </c>
      <c r="L49" s="12" t="s">
        <v>264</v>
      </c>
      <c r="M49" s="19">
        <v>46328</v>
      </c>
      <c r="N49" s="19">
        <v>46387</v>
      </c>
      <c r="O49" s="20">
        <v>30000</v>
      </c>
      <c r="P49" s="21">
        <v>15000</v>
      </c>
      <c r="Q49" s="22" t="s">
        <v>265</v>
      </c>
      <c r="R49" s="20" t="s">
        <v>27</v>
      </c>
      <c r="S49" s="21" t="s">
        <v>264</v>
      </c>
      <c r="T49" s="29"/>
      <c r="U49" s="29"/>
      <c r="V49" s="29"/>
    </row>
    <row r="50" spans="1:22" ht="18" customHeight="1" x14ac:dyDescent="0.3">
      <c r="A50" s="11">
        <v>49</v>
      </c>
      <c r="B50" s="12" t="s">
        <v>35</v>
      </c>
      <c r="C50" s="12" t="s">
        <v>50</v>
      </c>
      <c r="D50" s="12">
        <v>5</v>
      </c>
      <c r="E50" s="13">
        <v>2.2599999999999998</v>
      </c>
      <c r="F50" s="14">
        <v>58155204</v>
      </c>
      <c r="G50" s="15" t="s">
        <v>266</v>
      </c>
      <c r="H50" s="12">
        <v>25650805</v>
      </c>
      <c r="I50" s="17" t="s">
        <v>267</v>
      </c>
      <c r="J50" s="17" t="s">
        <v>268</v>
      </c>
      <c r="K50" s="12"/>
      <c r="L50" s="12" t="s">
        <v>269</v>
      </c>
      <c r="M50" s="18">
        <v>46419</v>
      </c>
      <c r="N50" s="18">
        <v>46418</v>
      </c>
      <c r="O50" s="20">
        <v>15000</v>
      </c>
      <c r="P50" s="21">
        <v>0</v>
      </c>
      <c r="Q50" s="22"/>
      <c r="R50" s="20" t="s">
        <v>270</v>
      </c>
      <c r="S50" s="20" t="s">
        <v>269</v>
      </c>
      <c r="T50" s="29"/>
      <c r="U50" s="29"/>
      <c r="V50" s="29"/>
    </row>
    <row r="51" spans="1:22" ht="18" customHeight="1" x14ac:dyDescent="0.3">
      <c r="A51" s="11">
        <v>50</v>
      </c>
      <c r="B51" s="12" t="s">
        <v>271</v>
      </c>
      <c r="C51" s="12" t="s">
        <v>148</v>
      </c>
      <c r="D51" s="12" t="s">
        <v>149</v>
      </c>
      <c r="E51" s="13">
        <v>6.26</v>
      </c>
      <c r="F51" s="14">
        <v>58649404</v>
      </c>
      <c r="G51" s="15" t="s">
        <v>272</v>
      </c>
      <c r="H51" s="12">
        <v>206101982</v>
      </c>
      <c r="I51" s="313" t="s">
        <v>4084</v>
      </c>
      <c r="J51" s="12" t="s">
        <v>273</v>
      </c>
      <c r="K51" s="12" t="s">
        <v>41</v>
      </c>
      <c r="L51" s="44" t="s">
        <v>274</v>
      </c>
      <c r="M51" s="19">
        <v>46541</v>
      </c>
      <c r="N51" s="19">
        <v>46538</v>
      </c>
      <c r="O51" s="20">
        <v>15000</v>
      </c>
      <c r="P51" s="21">
        <v>0</v>
      </c>
      <c r="Q51" s="22"/>
      <c r="R51" s="20" t="s">
        <v>48</v>
      </c>
      <c r="S51" s="21" t="s">
        <v>274</v>
      </c>
      <c r="T51" s="29"/>
      <c r="U51" s="29"/>
      <c r="V51" s="29"/>
    </row>
    <row r="52" spans="1:22" ht="18" customHeight="1" x14ac:dyDescent="0.3">
      <c r="A52" s="11">
        <v>51</v>
      </c>
      <c r="B52" s="12" t="s">
        <v>19</v>
      </c>
      <c r="C52" s="12" t="s">
        <v>30</v>
      </c>
      <c r="D52" s="12" t="s">
        <v>275</v>
      </c>
      <c r="E52" s="13"/>
      <c r="F52" s="14">
        <v>25062302</v>
      </c>
      <c r="G52" s="15"/>
      <c r="H52" s="12"/>
      <c r="I52" s="17" t="s">
        <v>276</v>
      </c>
      <c r="J52" s="12"/>
      <c r="K52" s="12"/>
      <c r="L52" s="44"/>
      <c r="M52" s="19">
        <v>46301</v>
      </c>
      <c r="N52" s="19">
        <v>46295</v>
      </c>
      <c r="O52" s="20"/>
      <c r="P52" s="21"/>
      <c r="Q52" s="22" t="s">
        <v>277</v>
      </c>
      <c r="R52" s="20"/>
      <c r="S52" s="21"/>
      <c r="T52" s="29"/>
      <c r="U52" s="29"/>
      <c r="V52" s="29"/>
    </row>
    <row r="53" spans="1:22" ht="18" customHeight="1" x14ac:dyDescent="0.3">
      <c r="A53" s="11">
        <v>52</v>
      </c>
      <c r="B53" s="12" t="s">
        <v>35</v>
      </c>
      <c r="C53" s="12" t="s">
        <v>278</v>
      </c>
      <c r="D53" s="12">
        <v>5008</v>
      </c>
      <c r="E53" s="13">
        <v>2.2200000000000002</v>
      </c>
      <c r="F53" s="14">
        <v>75169802</v>
      </c>
      <c r="G53" s="15" t="s">
        <v>161</v>
      </c>
      <c r="H53" s="12">
        <v>41861535</v>
      </c>
      <c r="I53" s="32" t="s">
        <v>279</v>
      </c>
      <c r="J53" s="12" t="s">
        <v>280</v>
      </c>
      <c r="K53" s="12">
        <v>3</v>
      </c>
      <c r="L53" s="44" t="s">
        <v>281</v>
      </c>
      <c r="M53" s="19">
        <v>46444</v>
      </c>
      <c r="N53" s="19">
        <v>46430</v>
      </c>
      <c r="O53" s="20" t="s">
        <v>282</v>
      </c>
      <c r="P53" s="21">
        <v>135000</v>
      </c>
      <c r="Q53" s="22" t="s">
        <v>283</v>
      </c>
      <c r="R53" s="20" t="s">
        <v>69</v>
      </c>
      <c r="S53" s="21" t="s">
        <v>284</v>
      </c>
      <c r="T53" s="29"/>
      <c r="U53" s="29"/>
      <c r="V53" s="29"/>
    </row>
    <row r="54" spans="1:22" ht="18" customHeight="1" x14ac:dyDescent="0.3">
      <c r="A54" s="11">
        <v>53</v>
      </c>
      <c r="B54" s="12" t="s">
        <v>35</v>
      </c>
      <c r="C54" s="12" t="s">
        <v>233</v>
      </c>
      <c r="D54" s="12" t="s">
        <v>285</v>
      </c>
      <c r="E54" s="13">
        <v>3.26</v>
      </c>
      <c r="F54" s="14">
        <v>64749904</v>
      </c>
      <c r="G54" s="15" t="s">
        <v>286</v>
      </c>
      <c r="H54" s="12">
        <v>26552711</v>
      </c>
      <c r="I54" s="17" t="s">
        <v>287</v>
      </c>
      <c r="J54" s="12" t="s">
        <v>288</v>
      </c>
      <c r="K54" s="12">
        <v>2</v>
      </c>
      <c r="L54" s="44" t="s">
        <v>289</v>
      </c>
      <c r="M54" s="19">
        <v>46461</v>
      </c>
      <c r="N54" s="19">
        <v>46507</v>
      </c>
      <c r="O54" s="20">
        <v>15000</v>
      </c>
      <c r="P54" s="21">
        <v>0</v>
      </c>
      <c r="Q54" s="22"/>
      <c r="R54" s="20" t="s">
        <v>48</v>
      </c>
      <c r="S54" s="21" t="s">
        <v>238</v>
      </c>
      <c r="T54" s="29"/>
      <c r="U54" s="29"/>
      <c r="V54" s="29"/>
    </row>
    <row r="55" spans="1:22" ht="18" customHeight="1" x14ac:dyDescent="0.3">
      <c r="A55" s="11">
        <v>54</v>
      </c>
      <c r="B55" s="12" t="s">
        <v>19</v>
      </c>
      <c r="C55" s="12" t="s">
        <v>20</v>
      </c>
      <c r="D55" s="12" t="s">
        <v>70</v>
      </c>
      <c r="E55" s="13">
        <v>11.24</v>
      </c>
      <c r="F55" s="14">
        <v>83945403</v>
      </c>
      <c r="G55" s="15" t="s">
        <v>22</v>
      </c>
      <c r="H55" s="12">
        <v>39796784</v>
      </c>
      <c r="I55" s="17" t="s">
        <v>290</v>
      </c>
      <c r="J55" s="12" t="s">
        <v>291</v>
      </c>
      <c r="K55" s="12">
        <v>4</v>
      </c>
      <c r="L55" s="44" t="s">
        <v>73</v>
      </c>
      <c r="M55" s="19">
        <v>46343</v>
      </c>
      <c r="N55" s="19">
        <v>46356</v>
      </c>
      <c r="O55" s="20">
        <v>45000</v>
      </c>
      <c r="P55" s="21">
        <v>30000</v>
      </c>
      <c r="Q55" s="28">
        <v>46360</v>
      </c>
      <c r="R55" s="20" t="s">
        <v>48</v>
      </c>
      <c r="S55" s="21" t="s">
        <v>75</v>
      </c>
      <c r="T55" s="29"/>
      <c r="U55" s="29"/>
      <c r="V55" s="29"/>
    </row>
    <row r="56" spans="1:22" ht="18" customHeight="1" x14ac:dyDescent="0.3">
      <c r="A56" s="11">
        <v>55</v>
      </c>
      <c r="B56" s="12" t="s">
        <v>19</v>
      </c>
      <c r="C56" s="12" t="s">
        <v>183</v>
      </c>
      <c r="D56" s="12" t="s">
        <v>184</v>
      </c>
      <c r="E56" s="13">
        <v>9.23</v>
      </c>
      <c r="F56" s="14">
        <v>58185503</v>
      </c>
      <c r="G56" s="15" t="s">
        <v>292</v>
      </c>
      <c r="H56" s="12">
        <v>318408507</v>
      </c>
      <c r="I56" s="17" t="s">
        <v>293</v>
      </c>
      <c r="J56" s="12" t="s">
        <v>294</v>
      </c>
      <c r="K56" s="12"/>
      <c r="L56" s="44" t="s">
        <v>295</v>
      </c>
      <c r="M56" s="19">
        <v>46271</v>
      </c>
      <c r="N56" s="19">
        <v>46265</v>
      </c>
      <c r="O56" s="20">
        <v>140000</v>
      </c>
      <c r="P56" s="21">
        <v>120000</v>
      </c>
      <c r="Q56" s="28">
        <v>46208</v>
      </c>
      <c r="R56" s="20" t="s">
        <v>296</v>
      </c>
      <c r="S56" s="21" t="s">
        <v>295</v>
      </c>
      <c r="T56" s="29"/>
      <c r="U56" s="29"/>
      <c r="V56" s="29"/>
    </row>
    <row r="57" spans="1:22" ht="18" customHeight="1" x14ac:dyDescent="0.3">
      <c r="A57" s="11">
        <v>56</v>
      </c>
      <c r="B57" s="12" t="s">
        <v>49</v>
      </c>
      <c r="C57" s="12" t="s">
        <v>297</v>
      </c>
      <c r="D57" s="12" t="s">
        <v>298</v>
      </c>
      <c r="E57" s="13">
        <v>5.23</v>
      </c>
      <c r="F57" s="14">
        <v>45517203</v>
      </c>
      <c r="G57" s="15" t="s">
        <v>299</v>
      </c>
      <c r="H57" s="12">
        <v>35930643</v>
      </c>
      <c r="I57" s="17" t="s">
        <v>300</v>
      </c>
      <c r="J57" s="12" t="s">
        <v>301</v>
      </c>
      <c r="K57" s="12" t="s">
        <v>30</v>
      </c>
      <c r="L57" s="44" t="s">
        <v>302</v>
      </c>
      <c r="M57" s="19">
        <v>46517</v>
      </c>
      <c r="N57" s="19">
        <v>46387</v>
      </c>
      <c r="O57" s="20">
        <v>60000</v>
      </c>
      <c r="P57" s="21">
        <v>45000</v>
      </c>
      <c r="Q57" s="22" t="s">
        <v>264</v>
      </c>
      <c r="R57" s="20" t="s">
        <v>303</v>
      </c>
      <c r="S57" s="21" t="s">
        <v>304</v>
      </c>
      <c r="T57" s="29"/>
      <c r="U57" s="29"/>
      <c r="V57" s="29"/>
    </row>
    <row r="58" spans="1:22" ht="18" customHeight="1" x14ac:dyDescent="0.3">
      <c r="A58" s="11">
        <v>57</v>
      </c>
      <c r="B58" s="12" t="s">
        <v>166</v>
      </c>
      <c r="C58" s="12" t="s">
        <v>50</v>
      </c>
      <c r="D58" s="12">
        <v>7</v>
      </c>
      <c r="E58" s="13"/>
      <c r="F58" s="14">
        <v>23487304</v>
      </c>
      <c r="G58" s="15"/>
      <c r="H58" s="45">
        <v>203567698</v>
      </c>
      <c r="I58" s="46" t="s">
        <v>305</v>
      </c>
      <c r="J58" s="45" t="s">
        <v>306</v>
      </c>
      <c r="K58" s="12"/>
      <c r="L58" s="44" t="s">
        <v>238</v>
      </c>
      <c r="M58" s="19"/>
      <c r="N58" s="19"/>
      <c r="O58" s="20"/>
      <c r="P58" s="21"/>
      <c r="Q58" s="22"/>
      <c r="R58" s="20" t="s">
        <v>307</v>
      </c>
      <c r="S58" s="21" t="s">
        <v>308</v>
      </c>
      <c r="T58" s="29"/>
      <c r="U58" s="29"/>
      <c r="V58" s="29"/>
    </row>
    <row r="59" spans="1:22" ht="18" customHeight="1" x14ac:dyDescent="0.3">
      <c r="A59" s="11">
        <v>58</v>
      </c>
      <c r="B59" s="12" t="s">
        <v>49</v>
      </c>
      <c r="C59" s="12" t="s">
        <v>148</v>
      </c>
      <c r="D59" s="12" t="s">
        <v>309</v>
      </c>
      <c r="E59" s="13">
        <v>5.26</v>
      </c>
      <c r="F59" s="14">
        <v>66020804</v>
      </c>
      <c r="G59" s="15" t="s">
        <v>310</v>
      </c>
      <c r="H59" s="12">
        <v>301279626</v>
      </c>
      <c r="I59" s="17" t="s">
        <v>311</v>
      </c>
      <c r="J59" s="12" t="s">
        <v>312</v>
      </c>
      <c r="K59" s="12"/>
      <c r="L59" s="44" t="s">
        <v>313</v>
      </c>
      <c r="M59" s="19">
        <v>46525</v>
      </c>
      <c r="N59" s="19">
        <v>46387</v>
      </c>
      <c r="O59" s="20">
        <v>15000</v>
      </c>
      <c r="P59" s="21">
        <v>0</v>
      </c>
      <c r="Q59" s="22"/>
      <c r="R59" s="20" t="s">
        <v>27</v>
      </c>
      <c r="S59" s="21" t="s">
        <v>314</v>
      </c>
      <c r="T59" s="29"/>
      <c r="U59" s="29"/>
      <c r="V59" s="29"/>
    </row>
    <row r="60" spans="1:22" ht="18" customHeight="1" x14ac:dyDescent="0.3">
      <c r="A60" s="11">
        <v>59</v>
      </c>
      <c r="B60" s="12" t="s">
        <v>49</v>
      </c>
      <c r="C60" s="12" t="s">
        <v>245</v>
      </c>
      <c r="D60" s="12" t="s">
        <v>172</v>
      </c>
      <c r="E60" s="13">
        <v>11.25</v>
      </c>
      <c r="F60" s="14">
        <v>49136704</v>
      </c>
      <c r="G60" s="15" t="s">
        <v>261</v>
      </c>
      <c r="H60" s="17">
        <v>43398213</v>
      </c>
      <c r="I60" s="17" t="s">
        <v>315</v>
      </c>
      <c r="J60" s="17" t="s">
        <v>316</v>
      </c>
      <c r="K60" s="12">
        <v>2</v>
      </c>
      <c r="L60" s="44" t="s">
        <v>129</v>
      </c>
      <c r="M60" s="19">
        <v>46330</v>
      </c>
      <c r="N60" s="19">
        <v>46387</v>
      </c>
      <c r="O60" s="20">
        <v>15000</v>
      </c>
      <c r="P60" s="21">
        <v>0</v>
      </c>
      <c r="Q60" s="22" t="s">
        <v>317</v>
      </c>
      <c r="R60" s="20" t="s">
        <v>108</v>
      </c>
      <c r="S60" s="21" t="s">
        <v>318</v>
      </c>
      <c r="T60" s="29"/>
      <c r="U60" s="29"/>
      <c r="V60" s="29"/>
    </row>
    <row r="61" spans="1:22" ht="18" customHeight="1" x14ac:dyDescent="0.3">
      <c r="A61" s="11">
        <v>60</v>
      </c>
      <c r="B61" s="12" t="s">
        <v>49</v>
      </c>
      <c r="C61" s="12" t="s">
        <v>20</v>
      </c>
      <c r="D61" s="12" t="s">
        <v>70</v>
      </c>
      <c r="E61" s="13">
        <v>2.25</v>
      </c>
      <c r="F61" s="14">
        <v>23244204</v>
      </c>
      <c r="G61" s="15" t="s">
        <v>22</v>
      </c>
      <c r="H61" s="12">
        <v>300046307</v>
      </c>
      <c r="I61" s="17" t="s">
        <v>319</v>
      </c>
      <c r="J61" s="12" t="s">
        <v>320</v>
      </c>
      <c r="K61" s="12"/>
      <c r="L61" s="44" t="s">
        <v>191</v>
      </c>
      <c r="M61" s="19">
        <v>46442</v>
      </c>
      <c r="N61" s="19">
        <v>46387</v>
      </c>
      <c r="O61" s="20">
        <v>30000</v>
      </c>
      <c r="P61" s="21">
        <v>15000</v>
      </c>
      <c r="Q61" s="22" t="s">
        <v>321</v>
      </c>
      <c r="R61" s="20" t="s">
        <v>322</v>
      </c>
      <c r="S61" s="21" t="s">
        <v>191</v>
      </c>
      <c r="T61" s="29"/>
      <c r="U61" s="29"/>
      <c r="V61" s="29"/>
    </row>
    <row r="62" spans="1:22" ht="18" customHeight="1" x14ac:dyDescent="0.3">
      <c r="A62" s="11">
        <v>61</v>
      </c>
      <c r="B62" s="12" t="s">
        <v>35</v>
      </c>
      <c r="C62" s="12" t="s">
        <v>297</v>
      </c>
      <c r="D62" s="12" t="s">
        <v>323</v>
      </c>
      <c r="E62" s="13">
        <v>1.26</v>
      </c>
      <c r="F62" s="14">
        <v>50298904</v>
      </c>
      <c r="G62" s="15" t="s">
        <v>324</v>
      </c>
      <c r="H62" s="12">
        <v>205689557</v>
      </c>
      <c r="I62" s="17" t="s">
        <v>325</v>
      </c>
      <c r="J62" s="12" t="s">
        <v>326</v>
      </c>
      <c r="K62" s="12"/>
      <c r="L62" s="44" t="s">
        <v>327</v>
      </c>
      <c r="M62" s="19">
        <v>46397</v>
      </c>
      <c r="N62" s="19">
        <v>46418</v>
      </c>
      <c r="O62" s="20">
        <v>15000</v>
      </c>
      <c r="P62" s="21">
        <v>0</v>
      </c>
      <c r="Q62" s="22" t="s">
        <v>192</v>
      </c>
      <c r="R62" s="20" t="s">
        <v>328</v>
      </c>
      <c r="S62" s="21" t="s">
        <v>327</v>
      </c>
      <c r="T62" s="29"/>
      <c r="U62" s="29"/>
      <c r="V62" s="29"/>
    </row>
    <row r="63" spans="1:22" ht="18" customHeight="1" x14ac:dyDescent="0.3">
      <c r="A63" s="11">
        <v>62</v>
      </c>
      <c r="B63" s="12" t="s">
        <v>35</v>
      </c>
      <c r="C63" s="12" t="s">
        <v>57</v>
      </c>
      <c r="D63" s="12" t="s">
        <v>58</v>
      </c>
      <c r="E63" s="13">
        <v>1.24</v>
      </c>
      <c r="F63" s="14">
        <v>64792303</v>
      </c>
      <c r="G63" s="15" t="s">
        <v>329</v>
      </c>
      <c r="H63" s="12">
        <v>316179076</v>
      </c>
      <c r="I63" s="17" t="s">
        <v>330</v>
      </c>
      <c r="J63" s="12" t="s">
        <v>331</v>
      </c>
      <c r="K63" s="12"/>
      <c r="L63" s="44" t="s">
        <v>332</v>
      </c>
      <c r="M63" s="19">
        <v>46415</v>
      </c>
      <c r="N63" s="19">
        <v>46418</v>
      </c>
      <c r="O63" s="20">
        <v>60000</v>
      </c>
      <c r="P63" s="21">
        <v>45000</v>
      </c>
      <c r="Q63" s="22" t="s">
        <v>333</v>
      </c>
      <c r="R63" s="20" t="s">
        <v>334</v>
      </c>
      <c r="S63" s="21" t="s">
        <v>332</v>
      </c>
      <c r="T63" s="29"/>
      <c r="U63" s="29"/>
      <c r="V63" s="29"/>
    </row>
    <row r="64" spans="1:22" ht="18" customHeight="1" x14ac:dyDescent="0.3">
      <c r="A64" s="11">
        <v>63</v>
      </c>
      <c r="B64" s="29" t="s">
        <v>49</v>
      </c>
      <c r="C64" s="29" t="s">
        <v>57</v>
      </c>
      <c r="D64" s="29" t="s">
        <v>58</v>
      </c>
      <c r="E64" s="29"/>
      <c r="F64" s="26">
        <v>68707503</v>
      </c>
      <c r="G64" s="43"/>
      <c r="H64" s="12">
        <v>66132879</v>
      </c>
      <c r="I64" s="17" t="s">
        <v>335</v>
      </c>
      <c r="J64" s="12" t="s">
        <v>336</v>
      </c>
      <c r="K64" s="12"/>
      <c r="L64" s="44"/>
      <c r="M64" s="19">
        <v>46169</v>
      </c>
      <c r="N64" s="19">
        <v>46387</v>
      </c>
      <c r="O64" s="20"/>
      <c r="P64" s="21"/>
      <c r="Q64" s="28">
        <v>46360</v>
      </c>
      <c r="R64" s="20" t="s">
        <v>48</v>
      </c>
      <c r="S64" s="21" t="s">
        <v>337</v>
      </c>
      <c r="T64" s="29"/>
      <c r="U64" s="29"/>
      <c r="V64" s="29"/>
    </row>
    <row r="65" spans="1:29" ht="18" customHeight="1" x14ac:dyDescent="0.3">
      <c r="A65" s="11">
        <v>64</v>
      </c>
      <c r="B65" s="12" t="s">
        <v>35</v>
      </c>
      <c r="C65" s="12" t="s">
        <v>245</v>
      </c>
      <c r="D65" s="12" t="s">
        <v>338</v>
      </c>
      <c r="E65" s="13">
        <v>2.2599999999999998</v>
      </c>
      <c r="F65" s="14">
        <v>56728804</v>
      </c>
      <c r="G65" s="15" t="s">
        <v>255</v>
      </c>
      <c r="H65" s="12">
        <v>307906750</v>
      </c>
      <c r="I65" s="17" t="s">
        <v>339</v>
      </c>
      <c r="J65" s="12" t="s">
        <v>340</v>
      </c>
      <c r="K65" s="12"/>
      <c r="L65" s="44" t="s">
        <v>341</v>
      </c>
      <c r="M65" s="19">
        <v>46599</v>
      </c>
      <c r="N65" s="19">
        <v>46418</v>
      </c>
      <c r="O65" s="20">
        <v>15000</v>
      </c>
      <c r="P65" s="21">
        <v>0</v>
      </c>
      <c r="Q65" s="22"/>
      <c r="R65" s="20" t="s">
        <v>321</v>
      </c>
      <c r="S65" s="21" t="s">
        <v>341</v>
      </c>
      <c r="T65" s="29"/>
      <c r="U65" s="29"/>
      <c r="V65" s="29"/>
    </row>
    <row r="66" spans="1:29" ht="18" customHeight="1" x14ac:dyDescent="0.3">
      <c r="A66" s="11">
        <v>65</v>
      </c>
      <c r="B66" s="12" t="s">
        <v>19</v>
      </c>
      <c r="C66" s="12" t="s">
        <v>342</v>
      </c>
      <c r="D66" s="12" t="s">
        <v>343</v>
      </c>
      <c r="E66" s="13">
        <v>2.25</v>
      </c>
      <c r="F66" s="14">
        <v>24164804</v>
      </c>
      <c r="G66" s="15" t="s">
        <v>344</v>
      </c>
      <c r="H66" s="12">
        <v>39891551</v>
      </c>
      <c r="I66" s="17" t="s">
        <v>345</v>
      </c>
      <c r="J66" s="12" t="s">
        <v>346</v>
      </c>
      <c r="K66" s="12"/>
      <c r="L66" s="44" t="s">
        <v>347</v>
      </c>
      <c r="M66" s="19">
        <v>46421</v>
      </c>
      <c r="N66" s="19">
        <v>46418</v>
      </c>
      <c r="O66" s="20">
        <v>45000</v>
      </c>
      <c r="P66" s="21">
        <v>30000</v>
      </c>
      <c r="Q66" s="28">
        <v>46178</v>
      </c>
      <c r="R66" s="20" t="s">
        <v>348</v>
      </c>
      <c r="S66" s="21" t="s">
        <v>347</v>
      </c>
      <c r="T66" s="29"/>
      <c r="U66" s="29"/>
      <c r="V66" s="29"/>
    </row>
    <row r="67" spans="1:29" ht="18" customHeight="1" x14ac:dyDescent="0.3">
      <c r="A67" s="11">
        <v>66</v>
      </c>
      <c r="B67" s="12" t="s">
        <v>35</v>
      </c>
      <c r="C67" s="12" t="s">
        <v>349</v>
      </c>
      <c r="D67" s="12" t="s">
        <v>350</v>
      </c>
      <c r="E67" s="13">
        <v>8.24</v>
      </c>
      <c r="F67" s="14">
        <v>83143703</v>
      </c>
      <c r="G67" s="15" t="s">
        <v>351</v>
      </c>
      <c r="H67" s="12">
        <v>37617834</v>
      </c>
      <c r="I67" s="17" t="s">
        <v>352</v>
      </c>
      <c r="J67" s="12" t="s">
        <v>353</v>
      </c>
      <c r="K67" s="12"/>
      <c r="L67" s="44" t="s">
        <v>354</v>
      </c>
      <c r="M67" s="19">
        <v>46258</v>
      </c>
      <c r="N67" s="19">
        <v>46265</v>
      </c>
      <c r="O67" s="20">
        <v>100000</v>
      </c>
      <c r="P67" s="21">
        <v>83000</v>
      </c>
      <c r="Q67" s="22" t="s">
        <v>75</v>
      </c>
      <c r="R67" s="20" t="s">
        <v>355</v>
      </c>
      <c r="S67" s="21" t="s">
        <v>354</v>
      </c>
      <c r="T67" s="29"/>
      <c r="U67" s="29"/>
      <c r="V67" s="29"/>
    </row>
    <row r="68" spans="1:29" ht="18" customHeight="1" x14ac:dyDescent="0.3">
      <c r="A68" s="11">
        <v>67</v>
      </c>
      <c r="B68" s="12" t="s">
        <v>35</v>
      </c>
      <c r="C68" s="12" t="s">
        <v>297</v>
      </c>
      <c r="D68" s="12" t="s">
        <v>356</v>
      </c>
      <c r="E68" s="13">
        <v>1.25</v>
      </c>
      <c r="F68" s="14">
        <v>15539804</v>
      </c>
      <c r="G68" s="15" t="s">
        <v>357</v>
      </c>
      <c r="H68" s="12">
        <v>314875626</v>
      </c>
      <c r="I68" s="27" t="s">
        <v>4080</v>
      </c>
      <c r="J68" s="12" t="s">
        <v>358</v>
      </c>
      <c r="K68" s="12"/>
      <c r="L68" s="44" t="s">
        <v>359</v>
      </c>
      <c r="M68" s="19">
        <v>46388</v>
      </c>
      <c r="N68" s="19">
        <v>46446</v>
      </c>
      <c r="O68" s="20">
        <v>75000</v>
      </c>
      <c r="P68" s="21">
        <v>60000</v>
      </c>
      <c r="Q68" s="22" t="s">
        <v>283</v>
      </c>
      <c r="R68" s="20" t="s">
        <v>270</v>
      </c>
      <c r="S68" s="21" t="s">
        <v>359</v>
      </c>
      <c r="T68" s="29"/>
      <c r="U68" s="29"/>
      <c r="V68" s="29"/>
    </row>
    <row r="69" spans="1:29" ht="18" customHeight="1" x14ac:dyDescent="0.3">
      <c r="A69" s="11">
        <v>68</v>
      </c>
      <c r="B69" s="12" t="s">
        <v>49</v>
      </c>
      <c r="C69" s="12" t="s">
        <v>148</v>
      </c>
      <c r="D69" s="12" t="s">
        <v>149</v>
      </c>
      <c r="E69" s="13">
        <v>6.26</v>
      </c>
      <c r="F69" s="14">
        <v>58612704</v>
      </c>
      <c r="G69" s="15" t="s">
        <v>272</v>
      </c>
      <c r="H69" s="12">
        <v>201352382</v>
      </c>
      <c r="I69" s="313" t="s">
        <v>4085</v>
      </c>
      <c r="J69" s="12" t="s">
        <v>360</v>
      </c>
      <c r="K69" s="12"/>
      <c r="L69" s="44" t="s">
        <v>361</v>
      </c>
      <c r="M69" s="19">
        <v>46541</v>
      </c>
      <c r="N69" s="19">
        <v>46387</v>
      </c>
      <c r="O69" s="20">
        <v>15000</v>
      </c>
      <c r="P69" s="21">
        <v>0</v>
      </c>
      <c r="Q69" s="22"/>
      <c r="R69" s="20" t="s">
        <v>270</v>
      </c>
      <c r="S69" s="21" t="s">
        <v>361</v>
      </c>
      <c r="T69" s="29"/>
      <c r="U69" s="29"/>
      <c r="V69" s="29"/>
    </row>
    <row r="70" spans="1:29" ht="18" customHeight="1" x14ac:dyDescent="0.3">
      <c r="A70" s="11">
        <v>69</v>
      </c>
      <c r="B70" s="12" t="s">
        <v>49</v>
      </c>
      <c r="C70" s="12" t="s">
        <v>297</v>
      </c>
      <c r="D70" s="12" t="s">
        <v>298</v>
      </c>
      <c r="E70" s="13">
        <v>4.24</v>
      </c>
      <c r="F70" s="14">
        <v>67537803</v>
      </c>
      <c r="G70" s="15" t="s">
        <v>362</v>
      </c>
      <c r="H70" s="29">
        <v>27383942</v>
      </c>
      <c r="I70" s="26" t="s">
        <v>363</v>
      </c>
      <c r="J70" s="21" t="s">
        <v>364</v>
      </c>
      <c r="K70" s="12"/>
      <c r="L70" s="44" t="s">
        <v>365</v>
      </c>
      <c r="M70" s="19">
        <v>46493</v>
      </c>
      <c r="N70" s="19">
        <v>46387</v>
      </c>
      <c r="O70" s="20">
        <v>75000</v>
      </c>
      <c r="P70" s="21">
        <v>60000</v>
      </c>
      <c r="Q70" s="22" t="s">
        <v>165</v>
      </c>
      <c r="R70" s="20" t="s">
        <v>366</v>
      </c>
      <c r="S70" s="21" t="s">
        <v>367</v>
      </c>
      <c r="T70" s="29"/>
      <c r="U70" s="29"/>
      <c r="V70" s="29"/>
    </row>
    <row r="71" spans="1:29" ht="18" customHeight="1" x14ac:dyDescent="0.3">
      <c r="A71" s="11">
        <v>70</v>
      </c>
      <c r="B71" s="12" t="s">
        <v>35</v>
      </c>
      <c r="C71" s="12" t="s">
        <v>76</v>
      </c>
      <c r="D71" s="12" t="s">
        <v>77</v>
      </c>
      <c r="E71" s="13">
        <v>4.25</v>
      </c>
      <c r="F71" s="14">
        <v>19958504</v>
      </c>
      <c r="G71" s="15" t="s">
        <v>368</v>
      </c>
      <c r="H71" s="29">
        <v>27817402</v>
      </c>
      <c r="I71" s="26" t="s">
        <v>369</v>
      </c>
      <c r="J71" s="21" t="s">
        <v>370</v>
      </c>
      <c r="K71" s="12"/>
      <c r="L71" s="44" t="s">
        <v>371</v>
      </c>
      <c r="M71" s="19">
        <v>46479</v>
      </c>
      <c r="N71" s="19">
        <v>46507</v>
      </c>
      <c r="O71" s="20">
        <v>60000</v>
      </c>
      <c r="P71" s="21">
        <v>45000</v>
      </c>
      <c r="Q71" s="22" t="s">
        <v>372</v>
      </c>
      <c r="R71" s="20" t="s">
        <v>27</v>
      </c>
      <c r="S71" s="21" t="s">
        <v>371</v>
      </c>
      <c r="T71" s="29"/>
      <c r="U71" s="29"/>
      <c r="V71" s="29"/>
    </row>
    <row r="72" spans="1:29" ht="18" customHeight="1" x14ac:dyDescent="0.3">
      <c r="A72" s="11">
        <v>71</v>
      </c>
      <c r="B72" s="12" t="s">
        <v>49</v>
      </c>
      <c r="C72" s="12" t="s">
        <v>373</v>
      </c>
      <c r="D72" s="12" t="s">
        <v>374</v>
      </c>
      <c r="E72" s="13">
        <v>6.25</v>
      </c>
      <c r="F72" s="14">
        <v>29460304</v>
      </c>
      <c r="G72" s="15" t="s">
        <v>375</v>
      </c>
      <c r="H72" s="29">
        <v>21669114</v>
      </c>
      <c r="I72" s="26" t="s">
        <v>376</v>
      </c>
      <c r="J72" s="21" t="s">
        <v>377</v>
      </c>
      <c r="K72" s="12"/>
      <c r="L72" s="44" t="s">
        <v>378</v>
      </c>
      <c r="M72" s="19">
        <v>46182</v>
      </c>
      <c r="N72" s="19">
        <v>46387</v>
      </c>
      <c r="O72" s="20">
        <v>40000</v>
      </c>
      <c r="P72" s="21">
        <v>20000</v>
      </c>
      <c r="Q72" s="22" t="s">
        <v>321</v>
      </c>
      <c r="R72" s="20" t="s">
        <v>379</v>
      </c>
      <c r="S72" s="21" t="s">
        <v>378</v>
      </c>
      <c r="T72" s="29"/>
      <c r="U72" s="29"/>
      <c r="V72" s="29"/>
    </row>
    <row r="73" spans="1:29" ht="18" customHeight="1" x14ac:dyDescent="0.3">
      <c r="A73" s="11">
        <v>72</v>
      </c>
      <c r="B73" s="12" t="s">
        <v>49</v>
      </c>
      <c r="C73" s="12" t="s">
        <v>76</v>
      </c>
      <c r="D73" s="12" t="s">
        <v>172</v>
      </c>
      <c r="E73" s="13">
        <v>7.25</v>
      </c>
      <c r="F73" s="14">
        <v>34709004</v>
      </c>
      <c r="G73" s="15" t="s">
        <v>380</v>
      </c>
      <c r="H73" s="12">
        <v>37459229</v>
      </c>
      <c r="I73" s="17" t="s">
        <v>4100</v>
      </c>
      <c r="J73" s="12" t="s">
        <v>382</v>
      </c>
      <c r="K73" s="12">
        <v>4</v>
      </c>
      <c r="L73" s="44" t="s">
        <v>88</v>
      </c>
      <c r="M73" s="19">
        <v>46211</v>
      </c>
      <c r="N73" s="19">
        <v>46387</v>
      </c>
      <c r="O73" s="20">
        <v>30000</v>
      </c>
      <c r="P73" s="21">
        <v>15000</v>
      </c>
      <c r="Q73" s="13" t="s">
        <v>108</v>
      </c>
      <c r="R73" s="20" t="s">
        <v>27</v>
      </c>
      <c r="S73" s="21" t="s">
        <v>92</v>
      </c>
      <c r="T73" s="29"/>
      <c r="U73" s="29"/>
      <c r="V73" s="29"/>
    </row>
    <row r="74" spans="1:29" ht="18" customHeight="1" x14ac:dyDescent="0.3">
      <c r="A74" s="11">
        <v>73</v>
      </c>
      <c r="B74" s="12" t="s">
        <v>35</v>
      </c>
      <c r="C74" s="12" t="s">
        <v>57</v>
      </c>
      <c r="D74" s="12" t="s">
        <v>58</v>
      </c>
      <c r="E74" s="13">
        <v>7.22</v>
      </c>
      <c r="F74" s="14">
        <v>17053103</v>
      </c>
      <c r="G74" s="15" t="s">
        <v>383</v>
      </c>
      <c r="H74" s="12">
        <v>201070349</v>
      </c>
      <c r="I74" s="32" t="s">
        <v>384</v>
      </c>
      <c r="J74" s="12" t="s">
        <v>385</v>
      </c>
      <c r="K74" s="12"/>
      <c r="L74" s="44" t="s">
        <v>248</v>
      </c>
      <c r="M74" s="18">
        <v>46219</v>
      </c>
      <c r="N74" s="18">
        <v>46234</v>
      </c>
      <c r="O74" s="20" t="s">
        <v>386</v>
      </c>
      <c r="P74" s="21">
        <v>75000</v>
      </c>
      <c r="Q74" s="22" t="s">
        <v>103</v>
      </c>
      <c r="R74" s="20" t="s">
        <v>366</v>
      </c>
      <c r="S74" s="21" t="s">
        <v>248</v>
      </c>
      <c r="T74" s="29"/>
      <c r="U74" s="29"/>
      <c r="V74" s="29"/>
    </row>
    <row r="75" spans="1:29" ht="18" customHeight="1" x14ac:dyDescent="0.3">
      <c r="A75" s="11">
        <v>74</v>
      </c>
      <c r="B75" s="12" t="s">
        <v>49</v>
      </c>
      <c r="C75" s="12" t="s">
        <v>76</v>
      </c>
      <c r="D75" s="12" t="s">
        <v>172</v>
      </c>
      <c r="E75" s="13">
        <v>8.25</v>
      </c>
      <c r="F75" s="14">
        <v>39060104</v>
      </c>
      <c r="G75" s="15" t="s">
        <v>173</v>
      </c>
      <c r="H75" s="12">
        <v>21711809</v>
      </c>
      <c r="I75" s="17" t="s">
        <v>387</v>
      </c>
      <c r="J75" s="12" t="s">
        <v>388</v>
      </c>
      <c r="K75" s="12"/>
      <c r="L75" s="44" t="s">
        <v>175</v>
      </c>
      <c r="M75" s="19">
        <v>46239</v>
      </c>
      <c r="N75" s="19">
        <v>46387</v>
      </c>
      <c r="O75" s="20" t="s">
        <v>158</v>
      </c>
      <c r="P75" s="21"/>
      <c r="Q75" s="22" t="s">
        <v>4095</v>
      </c>
      <c r="R75" s="20" t="s">
        <v>379</v>
      </c>
      <c r="S75" s="21" t="s">
        <v>175</v>
      </c>
      <c r="T75" s="29"/>
      <c r="U75" s="29"/>
      <c r="V75" s="29"/>
    </row>
    <row r="76" spans="1:29" ht="18" customHeight="1" x14ac:dyDescent="0.3">
      <c r="A76" s="11">
        <v>75</v>
      </c>
      <c r="B76" s="12" t="s">
        <v>49</v>
      </c>
      <c r="C76" s="12" t="s">
        <v>119</v>
      </c>
      <c r="D76" s="12" t="s">
        <v>394</v>
      </c>
      <c r="E76" s="13">
        <v>12.25</v>
      </c>
      <c r="F76" s="14">
        <v>35637204</v>
      </c>
      <c r="G76" s="15" t="s">
        <v>395</v>
      </c>
      <c r="H76" s="51">
        <v>43424316</v>
      </c>
      <c r="I76" s="17" t="s">
        <v>396</v>
      </c>
      <c r="J76" s="12" t="s">
        <v>397</v>
      </c>
      <c r="K76" s="12"/>
      <c r="L76" s="44" t="s">
        <v>398</v>
      </c>
      <c r="M76" s="19">
        <v>46358</v>
      </c>
      <c r="N76" s="19">
        <v>46387</v>
      </c>
      <c r="O76" s="20">
        <v>24000</v>
      </c>
      <c r="P76" s="21">
        <v>0</v>
      </c>
      <c r="Q76" s="22" t="s">
        <v>399</v>
      </c>
      <c r="R76" s="20" t="s">
        <v>393</v>
      </c>
      <c r="S76" s="21" t="s">
        <v>400</v>
      </c>
      <c r="T76" s="29"/>
      <c r="U76" s="29"/>
      <c r="V76" s="29"/>
    </row>
    <row r="77" spans="1:29" ht="18" customHeight="1" x14ac:dyDescent="0.3">
      <c r="A77" s="11">
        <v>76</v>
      </c>
      <c r="B77" s="17" t="s">
        <v>49</v>
      </c>
      <c r="C77" s="17" t="s">
        <v>76</v>
      </c>
      <c r="D77" s="17" t="s">
        <v>77</v>
      </c>
      <c r="E77" s="13">
        <v>1.26</v>
      </c>
      <c r="F77" s="26">
        <v>56863904</v>
      </c>
      <c r="G77" s="13" t="s">
        <v>246</v>
      </c>
      <c r="H77" s="14">
        <v>31386623</v>
      </c>
      <c r="I77" s="17" t="s">
        <v>401</v>
      </c>
      <c r="J77" s="17" t="s">
        <v>402</v>
      </c>
      <c r="K77" s="17"/>
      <c r="L77" s="52" t="s">
        <v>403</v>
      </c>
      <c r="M77" s="19">
        <v>46412</v>
      </c>
      <c r="N77" s="19">
        <v>46387</v>
      </c>
      <c r="O77" s="20">
        <v>15000</v>
      </c>
      <c r="P77" s="20">
        <v>0</v>
      </c>
      <c r="Q77" s="22"/>
      <c r="R77" s="20" t="s">
        <v>404</v>
      </c>
      <c r="S77" s="20" t="s">
        <v>405</v>
      </c>
      <c r="T77" s="26"/>
      <c r="U77" s="26"/>
      <c r="V77" s="26"/>
      <c r="W77" s="36"/>
      <c r="X77" s="36"/>
      <c r="Y77" s="36"/>
      <c r="Z77" s="36"/>
      <c r="AA77" s="36"/>
      <c r="AB77" s="36"/>
      <c r="AC77" s="36"/>
    </row>
    <row r="78" spans="1:29" ht="18" customHeight="1" x14ac:dyDescent="0.3">
      <c r="A78" s="11">
        <v>77</v>
      </c>
      <c r="B78" s="17" t="s">
        <v>49</v>
      </c>
      <c r="C78" s="17" t="s">
        <v>50</v>
      </c>
      <c r="D78" s="17">
        <v>7</v>
      </c>
      <c r="E78" s="13">
        <v>9.25</v>
      </c>
      <c r="F78" s="14">
        <v>36430104</v>
      </c>
      <c r="G78" s="13" t="s">
        <v>51</v>
      </c>
      <c r="H78" s="12">
        <v>22841803</v>
      </c>
      <c r="I78" s="17" t="s">
        <v>406</v>
      </c>
      <c r="J78" s="12" t="s">
        <v>407</v>
      </c>
      <c r="K78" s="17"/>
      <c r="L78" s="52" t="s">
        <v>408</v>
      </c>
      <c r="M78" s="19">
        <v>46294</v>
      </c>
      <c r="N78" s="19">
        <v>46387</v>
      </c>
      <c r="O78" s="20">
        <v>30000</v>
      </c>
      <c r="P78" s="20">
        <v>19082</v>
      </c>
      <c r="Q78" s="22" t="s">
        <v>409</v>
      </c>
      <c r="R78" s="17" t="s">
        <v>410</v>
      </c>
      <c r="S78" s="20" t="s">
        <v>411</v>
      </c>
      <c r="T78" s="26"/>
      <c r="U78" s="26"/>
      <c r="V78" s="26"/>
      <c r="W78" s="36"/>
      <c r="X78" s="36"/>
      <c r="Y78" s="36"/>
      <c r="Z78" s="36"/>
      <c r="AA78" s="36"/>
      <c r="AB78" s="36"/>
      <c r="AC78" s="36"/>
    </row>
    <row r="79" spans="1:29" ht="18" customHeight="1" x14ac:dyDescent="0.3">
      <c r="A79" s="11">
        <v>78</v>
      </c>
      <c r="B79" s="17" t="s">
        <v>49</v>
      </c>
      <c r="C79" s="17" t="s">
        <v>297</v>
      </c>
      <c r="D79" s="17" t="s">
        <v>250</v>
      </c>
      <c r="E79" s="13">
        <v>2.2599999999999998</v>
      </c>
      <c r="F79" s="14">
        <v>42935204</v>
      </c>
      <c r="G79" s="13" t="s">
        <v>412</v>
      </c>
      <c r="H79" s="17">
        <v>327130282</v>
      </c>
      <c r="I79" s="17" t="s">
        <v>413</v>
      </c>
      <c r="J79" s="17" t="s">
        <v>414</v>
      </c>
      <c r="K79" s="17"/>
      <c r="L79" s="52" t="s">
        <v>415</v>
      </c>
      <c r="M79" s="19">
        <v>46443</v>
      </c>
      <c r="N79" s="19">
        <v>46387</v>
      </c>
      <c r="O79" s="20">
        <v>15000</v>
      </c>
      <c r="P79" s="20">
        <v>0</v>
      </c>
      <c r="Q79" s="22"/>
      <c r="R79" s="20" t="s">
        <v>47</v>
      </c>
      <c r="S79" s="20" t="s">
        <v>415</v>
      </c>
      <c r="T79" s="26"/>
      <c r="U79" s="26"/>
      <c r="V79" s="26"/>
      <c r="W79" s="36"/>
      <c r="X79" s="36"/>
      <c r="Y79" s="36"/>
      <c r="Z79" s="36"/>
      <c r="AA79" s="36"/>
      <c r="AB79" s="36"/>
      <c r="AC79" s="36"/>
    </row>
    <row r="80" spans="1:29" ht="18" customHeight="1" x14ac:dyDescent="0.3">
      <c r="A80" s="11">
        <v>79</v>
      </c>
      <c r="B80" s="17" t="s">
        <v>49</v>
      </c>
      <c r="C80" s="17" t="s">
        <v>342</v>
      </c>
      <c r="D80" s="17" t="s">
        <v>416</v>
      </c>
      <c r="E80" s="13">
        <v>2.25</v>
      </c>
      <c r="F80" s="14">
        <v>24227404</v>
      </c>
      <c r="G80" s="13" t="s">
        <v>417</v>
      </c>
      <c r="H80" s="17">
        <v>303133706</v>
      </c>
      <c r="I80" s="17" t="s">
        <v>418</v>
      </c>
      <c r="J80" s="17" t="s">
        <v>419</v>
      </c>
      <c r="K80" s="17"/>
      <c r="L80" s="52" t="s">
        <v>47</v>
      </c>
      <c r="M80" s="19">
        <v>46437</v>
      </c>
      <c r="N80" s="19">
        <v>46387</v>
      </c>
      <c r="O80" s="20">
        <v>15000</v>
      </c>
      <c r="P80" s="20">
        <v>13000</v>
      </c>
      <c r="Q80" s="22"/>
      <c r="R80" s="20" t="s">
        <v>47</v>
      </c>
      <c r="S80" s="20" t="s">
        <v>47</v>
      </c>
      <c r="T80" s="26"/>
      <c r="U80" s="26"/>
      <c r="V80" s="26"/>
      <c r="W80" s="36"/>
      <c r="X80" s="36"/>
      <c r="Y80" s="36"/>
      <c r="Z80" s="36"/>
      <c r="AA80" s="36"/>
      <c r="AB80" s="36"/>
      <c r="AC80" s="36"/>
    </row>
    <row r="81" spans="1:29" ht="18" customHeight="1" x14ac:dyDescent="0.3">
      <c r="A81" s="11">
        <v>80</v>
      </c>
      <c r="B81" s="17" t="s">
        <v>49</v>
      </c>
      <c r="C81" s="17" t="s">
        <v>245</v>
      </c>
      <c r="D81" s="17" t="s">
        <v>172</v>
      </c>
      <c r="E81" s="13">
        <v>11.25</v>
      </c>
      <c r="F81" s="14">
        <v>49136604</v>
      </c>
      <c r="G81" s="13" t="s">
        <v>261</v>
      </c>
      <c r="H81" s="12">
        <v>36061620</v>
      </c>
      <c r="I81" s="17" t="s">
        <v>420</v>
      </c>
      <c r="J81" s="12" t="s">
        <v>421</v>
      </c>
      <c r="K81" s="17"/>
      <c r="L81" s="52" t="s">
        <v>422</v>
      </c>
      <c r="M81" s="19">
        <v>46330</v>
      </c>
      <c r="N81" s="19">
        <v>46387</v>
      </c>
      <c r="O81" s="20">
        <v>15000</v>
      </c>
      <c r="P81" s="20">
        <v>7812</v>
      </c>
      <c r="Q81" s="22" t="s">
        <v>409</v>
      </c>
      <c r="R81" s="20" t="s">
        <v>27</v>
      </c>
      <c r="S81" s="20" t="s">
        <v>422</v>
      </c>
      <c r="T81" s="26"/>
      <c r="U81" s="26"/>
      <c r="V81" s="26"/>
      <c r="W81" s="36"/>
      <c r="X81" s="36"/>
      <c r="Y81" s="36"/>
      <c r="Z81" s="36"/>
      <c r="AA81" s="36"/>
      <c r="AB81" s="36"/>
      <c r="AC81" s="36"/>
    </row>
    <row r="82" spans="1:29" ht="18" customHeight="1" x14ac:dyDescent="0.3">
      <c r="A82" s="11">
        <v>81</v>
      </c>
      <c r="B82" s="17" t="s">
        <v>49</v>
      </c>
      <c r="C82" s="17" t="s">
        <v>233</v>
      </c>
      <c r="D82" s="17" t="s">
        <v>285</v>
      </c>
      <c r="E82" s="13">
        <v>3.26</v>
      </c>
      <c r="F82" s="14">
        <v>56314403</v>
      </c>
      <c r="G82" s="13" t="s">
        <v>286</v>
      </c>
      <c r="H82" s="12">
        <v>304803117</v>
      </c>
      <c r="I82" s="17" t="s">
        <v>423</v>
      </c>
      <c r="J82" s="12" t="s">
        <v>424</v>
      </c>
      <c r="K82" s="17"/>
      <c r="L82" s="52" t="s">
        <v>231</v>
      </c>
      <c r="M82" s="19">
        <v>46456</v>
      </c>
      <c r="N82" s="19">
        <v>46387</v>
      </c>
      <c r="O82" s="20">
        <v>15000</v>
      </c>
      <c r="P82" s="20">
        <v>0</v>
      </c>
      <c r="Q82" s="22"/>
      <c r="R82" s="20" t="s">
        <v>425</v>
      </c>
      <c r="S82" s="20" t="s">
        <v>231</v>
      </c>
      <c r="T82" s="26"/>
      <c r="U82" s="26"/>
      <c r="V82" s="26"/>
      <c r="W82" s="36"/>
      <c r="X82" s="36"/>
      <c r="Y82" s="36"/>
      <c r="Z82" s="36"/>
      <c r="AA82" s="36"/>
      <c r="AB82" s="36"/>
      <c r="AC82" s="36"/>
    </row>
    <row r="83" spans="1:29" ht="18" customHeight="1" x14ac:dyDescent="0.3">
      <c r="A83" s="11">
        <v>82</v>
      </c>
      <c r="B83" s="17" t="s">
        <v>49</v>
      </c>
      <c r="C83" s="17" t="s">
        <v>135</v>
      </c>
      <c r="D83" s="17" t="s">
        <v>58</v>
      </c>
      <c r="E83" s="13"/>
      <c r="F83" s="14">
        <v>68704303</v>
      </c>
      <c r="G83" s="13"/>
      <c r="H83" s="12">
        <v>200715191</v>
      </c>
      <c r="I83" s="17" t="s">
        <v>426</v>
      </c>
      <c r="J83" s="12" t="s">
        <v>427</v>
      </c>
      <c r="K83" s="17"/>
      <c r="L83" s="52" t="s">
        <v>428</v>
      </c>
      <c r="M83" s="19">
        <v>46534</v>
      </c>
      <c r="N83" s="19">
        <v>46387</v>
      </c>
      <c r="O83" s="20">
        <v>30000</v>
      </c>
      <c r="P83" s="20">
        <v>24000</v>
      </c>
      <c r="Q83" s="22"/>
      <c r="R83" s="20" t="s">
        <v>425</v>
      </c>
      <c r="S83" s="20" t="s">
        <v>428</v>
      </c>
      <c r="T83" s="26"/>
      <c r="U83" s="26"/>
      <c r="V83" s="26"/>
      <c r="W83" s="36"/>
      <c r="X83" s="36"/>
      <c r="Y83" s="36"/>
      <c r="Z83" s="36"/>
      <c r="AA83" s="36"/>
      <c r="AB83" s="36"/>
      <c r="AC83" s="36"/>
    </row>
    <row r="84" spans="1:29" ht="18" customHeight="1" x14ac:dyDescent="0.3">
      <c r="A84" s="11">
        <v>83</v>
      </c>
      <c r="B84" s="12" t="s">
        <v>271</v>
      </c>
      <c r="C84" s="12" t="s">
        <v>429</v>
      </c>
      <c r="D84" s="12">
        <v>1</v>
      </c>
      <c r="E84" s="13">
        <v>9.23</v>
      </c>
      <c r="F84" s="14">
        <v>30803603</v>
      </c>
      <c r="G84" s="15"/>
      <c r="H84" s="17">
        <v>36017556</v>
      </c>
      <c r="I84" s="17" t="s">
        <v>430</v>
      </c>
      <c r="J84" s="17" t="s">
        <v>431</v>
      </c>
      <c r="K84" s="17"/>
      <c r="L84" s="52" t="s">
        <v>432</v>
      </c>
      <c r="M84" s="19">
        <v>46270</v>
      </c>
      <c r="N84" s="19">
        <v>46265</v>
      </c>
      <c r="O84" s="20">
        <v>105000</v>
      </c>
      <c r="P84" s="21">
        <v>91129</v>
      </c>
      <c r="Q84" s="22"/>
      <c r="R84" s="20" t="s">
        <v>433</v>
      </c>
      <c r="S84" s="20" t="s">
        <v>434</v>
      </c>
      <c r="T84" s="26"/>
      <c r="U84" s="26"/>
      <c r="V84" s="26"/>
      <c r="W84" s="36"/>
      <c r="X84" s="36"/>
      <c r="Y84" s="36"/>
      <c r="Z84" s="36"/>
      <c r="AA84" s="36"/>
      <c r="AB84" s="36"/>
      <c r="AC84" s="36"/>
    </row>
    <row r="85" spans="1:29" ht="18" customHeight="1" x14ac:dyDescent="0.3">
      <c r="A85" s="11">
        <v>84</v>
      </c>
      <c r="B85" s="12" t="s">
        <v>49</v>
      </c>
      <c r="C85" s="12" t="s">
        <v>233</v>
      </c>
      <c r="D85" s="12" t="s">
        <v>285</v>
      </c>
      <c r="E85" s="13">
        <v>3.26</v>
      </c>
      <c r="F85" s="14">
        <v>56313004</v>
      </c>
      <c r="G85" s="15" t="s">
        <v>286</v>
      </c>
      <c r="H85" s="17">
        <v>208931113</v>
      </c>
      <c r="I85" s="17" t="s">
        <v>435</v>
      </c>
      <c r="J85" s="17" t="s">
        <v>436</v>
      </c>
      <c r="K85" s="17"/>
      <c r="L85" s="52" t="s">
        <v>437</v>
      </c>
      <c r="M85" s="19">
        <v>46456</v>
      </c>
      <c r="N85" s="19">
        <v>46387</v>
      </c>
      <c r="O85" s="20">
        <v>15000</v>
      </c>
      <c r="P85" s="21">
        <v>0</v>
      </c>
      <c r="Q85" s="22"/>
      <c r="R85" s="20" t="s">
        <v>438</v>
      </c>
      <c r="S85" s="20" t="s">
        <v>437</v>
      </c>
      <c r="T85" s="26"/>
      <c r="U85" s="26"/>
      <c r="V85" s="26"/>
      <c r="W85" s="36"/>
      <c r="X85" s="36"/>
      <c r="Y85" s="36"/>
      <c r="Z85" s="36"/>
      <c r="AA85" s="36"/>
      <c r="AB85" s="36"/>
      <c r="AC85" s="36"/>
    </row>
    <row r="86" spans="1:29" ht="18" customHeight="1" x14ac:dyDescent="0.3">
      <c r="A86" s="11">
        <v>85</v>
      </c>
      <c r="B86" s="12" t="s">
        <v>271</v>
      </c>
      <c r="C86" s="12" t="s">
        <v>439</v>
      </c>
      <c r="D86" s="12">
        <v>3</v>
      </c>
      <c r="E86" s="13">
        <v>1.25</v>
      </c>
      <c r="F86" s="14">
        <v>18744204</v>
      </c>
      <c r="G86" s="15" t="s">
        <v>440</v>
      </c>
      <c r="H86" s="17">
        <v>308202803</v>
      </c>
      <c r="I86" s="17" t="s">
        <v>441</v>
      </c>
      <c r="J86" s="17" t="s">
        <v>442</v>
      </c>
      <c r="K86" s="17"/>
      <c r="L86" s="52" t="s">
        <v>443</v>
      </c>
      <c r="M86" s="19">
        <v>46388</v>
      </c>
      <c r="N86" s="19">
        <v>46387</v>
      </c>
      <c r="O86" s="20">
        <v>60000</v>
      </c>
      <c r="P86" s="21">
        <v>45000</v>
      </c>
      <c r="Q86" s="22"/>
      <c r="R86" s="20" t="s">
        <v>425</v>
      </c>
      <c r="S86" s="20" t="s">
        <v>443</v>
      </c>
      <c r="T86" s="26"/>
      <c r="U86" s="26"/>
      <c r="V86" s="26"/>
      <c r="W86" s="36"/>
      <c r="X86" s="36"/>
      <c r="Y86" s="36"/>
      <c r="Z86" s="36"/>
      <c r="AA86" s="36"/>
      <c r="AB86" s="36"/>
      <c r="AC86" s="36"/>
    </row>
    <row r="87" spans="1:29" ht="18" customHeight="1" x14ac:dyDescent="0.3">
      <c r="A87" s="11">
        <v>86</v>
      </c>
      <c r="B87" s="12" t="s">
        <v>166</v>
      </c>
      <c r="C87" s="12" t="s">
        <v>233</v>
      </c>
      <c r="D87" s="12" t="s">
        <v>285</v>
      </c>
      <c r="E87" s="13">
        <v>5.26</v>
      </c>
      <c r="F87" s="14">
        <v>69152104</v>
      </c>
      <c r="G87" s="15" t="s">
        <v>286</v>
      </c>
      <c r="H87" s="17">
        <v>21573100</v>
      </c>
      <c r="I87" s="17" t="s">
        <v>444</v>
      </c>
      <c r="J87" s="17" t="s">
        <v>370</v>
      </c>
      <c r="K87" s="17"/>
      <c r="L87" s="52" t="s">
        <v>434</v>
      </c>
      <c r="M87" s="19">
        <v>46516</v>
      </c>
      <c r="N87" s="19">
        <v>46387</v>
      </c>
      <c r="O87" s="20">
        <v>15000</v>
      </c>
      <c r="P87" s="21">
        <v>0</v>
      </c>
      <c r="Q87" s="22"/>
      <c r="R87" s="20" t="s">
        <v>321</v>
      </c>
      <c r="S87" s="20" t="s">
        <v>434</v>
      </c>
      <c r="T87" s="26"/>
      <c r="U87" s="26"/>
      <c r="V87" s="26"/>
      <c r="W87" s="36"/>
      <c r="X87" s="36"/>
      <c r="Y87" s="36"/>
      <c r="Z87" s="36"/>
      <c r="AA87" s="36"/>
      <c r="AB87" s="36"/>
      <c r="AC87" s="36"/>
    </row>
    <row r="88" spans="1:29" ht="18" customHeight="1" x14ac:dyDescent="0.3">
      <c r="A88" s="11">
        <v>87</v>
      </c>
      <c r="B88" s="53" t="s">
        <v>166</v>
      </c>
      <c r="C88" s="53" t="s">
        <v>50</v>
      </c>
      <c r="D88" s="53">
        <v>8</v>
      </c>
      <c r="E88" s="54">
        <v>5.26</v>
      </c>
      <c r="F88" s="55">
        <v>65608004</v>
      </c>
      <c r="G88" s="54" t="s">
        <v>445</v>
      </c>
      <c r="H88" s="56">
        <v>37426483</v>
      </c>
      <c r="I88" s="53" t="s">
        <v>446</v>
      </c>
      <c r="J88" s="56" t="s">
        <v>447</v>
      </c>
      <c r="K88" s="53"/>
      <c r="L88" s="57" t="s">
        <v>129</v>
      </c>
      <c r="M88" s="58">
        <v>46510</v>
      </c>
      <c r="N88" s="58">
        <v>46387</v>
      </c>
      <c r="O88" s="59">
        <v>15000</v>
      </c>
      <c r="P88" s="59">
        <v>0</v>
      </c>
      <c r="Q88" s="60"/>
      <c r="R88" s="59" t="s">
        <v>108</v>
      </c>
      <c r="S88" s="59" t="s">
        <v>129</v>
      </c>
      <c r="T88" s="61"/>
      <c r="U88" s="61"/>
      <c r="V88" s="26"/>
      <c r="W88" s="36"/>
      <c r="X88" s="36"/>
      <c r="Y88" s="36"/>
      <c r="Z88" s="36"/>
      <c r="AA88" s="36"/>
      <c r="AB88" s="36"/>
      <c r="AC88" s="36"/>
    </row>
    <row r="89" spans="1:29" ht="18" customHeight="1" x14ac:dyDescent="0.3">
      <c r="A89" s="11">
        <v>88</v>
      </c>
      <c r="B89" s="12" t="s">
        <v>271</v>
      </c>
      <c r="C89" s="12" t="s">
        <v>135</v>
      </c>
      <c r="D89" s="12" t="s">
        <v>448</v>
      </c>
      <c r="E89" s="13">
        <v>3.23</v>
      </c>
      <c r="F89" s="14">
        <v>43863903</v>
      </c>
      <c r="G89" s="15" t="s">
        <v>449</v>
      </c>
      <c r="H89" s="17">
        <v>323718056</v>
      </c>
      <c r="I89" s="17" t="s">
        <v>450</v>
      </c>
      <c r="J89" s="17" t="s">
        <v>451</v>
      </c>
      <c r="K89" s="17"/>
      <c r="L89" s="52" t="s">
        <v>409</v>
      </c>
      <c r="M89" s="19">
        <v>46473</v>
      </c>
      <c r="N89" s="19">
        <v>46446</v>
      </c>
      <c r="O89" s="20">
        <v>90000</v>
      </c>
      <c r="P89" s="21">
        <v>85000</v>
      </c>
      <c r="Q89" s="22"/>
      <c r="R89" s="20" t="s">
        <v>452</v>
      </c>
      <c r="S89" s="20" t="s">
        <v>409</v>
      </c>
      <c r="T89" s="26"/>
      <c r="U89" s="26"/>
      <c r="V89" s="62"/>
      <c r="W89" s="36"/>
      <c r="X89" s="36"/>
      <c r="Y89" s="36"/>
      <c r="Z89" s="36"/>
      <c r="AA89" s="36"/>
      <c r="AB89" s="36"/>
      <c r="AC89" s="36"/>
    </row>
    <row r="90" spans="1:29" ht="15" customHeight="1" x14ac:dyDescent="0.3">
      <c r="A90" s="11">
        <v>89</v>
      </c>
      <c r="B90" s="56" t="s">
        <v>271</v>
      </c>
      <c r="C90" s="63" t="s">
        <v>148</v>
      </c>
      <c r="D90" s="63" t="s">
        <v>149</v>
      </c>
      <c r="E90" s="63">
        <v>3.24</v>
      </c>
      <c r="F90" s="63">
        <v>88580302</v>
      </c>
      <c r="G90" s="63"/>
      <c r="H90" s="64">
        <v>36819753</v>
      </c>
      <c r="I90" s="61" t="s">
        <v>453</v>
      </c>
      <c r="J90" s="65" t="s">
        <v>454</v>
      </c>
      <c r="K90" s="63"/>
      <c r="L90" s="65" t="s">
        <v>455</v>
      </c>
      <c r="M90" s="66">
        <v>46459</v>
      </c>
      <c r="N90" s="66">
        <v>46446</v>
      </c>
      <c r="O90" s="63">
        <v>75000</v>
      </c>
      <c r="P90" s="63">
        <v>63292</v>
      </c>
      <c r="Q90" s="63"/>
      <c r="R90" s="65" t="s">
        <v>409</v>
      </c>
      <c r="S90" s="65" t="s">
        <v>455</v>
      </c>
      <c r="T90" s="63"/>
      <c r="U90" s="29"/>
      <c r="V90" s="29"/>
    </row>
    <row r="91" spans="1:29" ht="18" customHeight="1" x14ac:dyDescent="0.3">
      <c r="A91" s="11">
        <v>90</v>
      </c>
      <c r="B91" s="17" t="s">
        <v>49</v>
      </c>
      <c r="C91" s="17" t="s">
        <v>233</v>
      </c>
      <c r="D91" s="17" t="s">
        <v>285</v>
      </c>
      <c r="E91" s="13">
        <v>5.26</v>
      </c>
      <c r="F91" s="14">
        <v>69151004</v>
      </c>
      <c r="G91" s="13" t="s">
        <v>286</v>
      </c>
      <c r="H91" s="29">
        <v>46263604</v>
      </c>
      <c r="I91" s="17" t="s">
        <v>456</v>
      </c>
      <c r="J91" s="21" t="s">
        <v>457</v>
      </c>
      <c r="K91" s="17"/>
      <c r="L91" s="52" t="s">
        <v>244</v>
      </c>
      <c r="M91" s="19">
        <v>46516</v>
      </c>
      <c r="N91" s="19">
        <v>46387</v>
      </c>
      <c r="O91" s="20">
        <v>15000</v>
      </c>
      <c r="P91" s="20">
        <v>0</v>
      </c>
      <c r="Q91" s="22"/>
      <c r="R91" s="20" t="s">
        <v>244</v>
      </c>
      <c r="S91" s="20" t="s">
        <v>244</v>
      </c>
      <c r="T91" s="26"/>
      <c r="U91" s="36"/>
      <c r="V91" s="36"/>
      <c r="W91" s="36"/>
      <c r="X91" s="36"/>
      <c r="Y91" s="36"/>
      <c r="Z91" s="36"/>
      <c r="AA91" s="36"/>
      <c r="AB91" s="36"/>
      <c r="AC91" s="36"/>
    </row>
    <row r="92" spans="1:29" ht="13.5" customHeight="1" x14ac:dyDescent="0.2">
      <c r="A92" s="67"/>
      <c r="B92" s="68" t="s">
        <v>458</v>
      </c>
      <c r="C92" s="68" t="s">
        <v>459</v>
      </c>
      <c r="D92" s="68"/>
      <c r="E92" s="69"/>
      <c r="F92" s="70"/>
      <c r="G92" s="71"/>
      <c r="H92" s="72"/>
      <c r="I92" s="73"/>
      <c r="J92" s="71" t="s">
        <v>460</v>
      </c>
      <c r="K92" s="71"/>
      <c r="L92" s="72"/>
      <c r="M92" s="74"/>
      <c r="N92" s="74"/>
      <c r="O92" s="74"/>
      <c r="P92" s="75"/>
      <c r="Q92" s="67"/>
      <c r="R92" s="75"/>
      <c r="S92" s="75"/>
    </row>
    <row r="93" spans="1:29" ht="13.5" customHeight="1" x14ac:dyDescent="0.2">
      <c r="A93" s="67"/>
      <c r="B93" s="72"/>
      <c r="C93" s="72"/>
      <c r="D93" s="72" t="s">
        <v>30</v>
      </c>
      <c r="E93" s="73"/>
      <c r="F93" s="70"/>
      <c r="G93" s="71"/>
      <c r="H93" s="72"/>
      <c r="I93" s="73"/>
      <c r="J93" s="71"/>
      <c r="K93" s="71"/>
      <c r="L93" s="72"/>
      <c r="M93" s="74"/>
      <c r="N93" s="74"/>
      <c r="O93" s="74"/>
      <c r="P93" s="75"/>
      <c r="Q93" s="67"/>
      <c r="R93" s="75"/>
      <c r="S93" s="75"/>
    </row>
    <row r="94" spans="1:29" ht="13.5" customHeight="1" x14ac:dyDescent="0.2">
      <c r="A94" s="67"/>
      <c r="B94" s="72"/>
      <c r="C94" s="72"/>
      <c r="D94" s="72"/>
      <c r="E94" s="73"/>
      <c r="F94" s="70"/>
      <c r="G94" s="71"/>
      <c r="H94" s="72"/>
      <c r="I94" s="73"/>
      <c r="J94" s="71"/>
      <c r="K94" s="71"/>
      <c r="L94" s="72"/>
      <c r="M94" s="74"/>
      <c r="N94" s="74"/>
      <c r="O94" s="74"/>
      <c r="P94" s="75"/>
      <c r="Q94" s="67"/>
      <c r="R94" s="75"/>
      <c r="S94" s="75"/>
    </row>
    <row r="95" spans="1:29" ht="13.5" customHeight="1" x14ac:dyDescent="0.2">
      <c r="A95" s="67"/>
      <c r="B95" s="72"/>
      <c r="C95" s="72"/>
      <c r="D95" s="72"/>
      <c r="E95" s="73"/>
      <c r="F95" s="70"/>
      <c r="G95" s="71"/>
      <c r="H95" s="72"/>
      <c r="I95" s="73"/>
      <c r="J95" s="71"/>
      <c r="K95" s="71"/>
      <c r="L95" s="72"/>
      <c r="M95" s="74"/>
      <c r="N95" s="74"/>
      <c r="O95" s="74"/>
      <c r="P95" s="75"/>
      <c r="Q95" s="67"/>
      <c r="R95" s="75"/>
      <c r="S95" s="75"/>
    </row>
    <row r="96" spans="1:29" ht="13.5" customHeight="1" x14ac:dyDescent="0.2">
      <c r="A96" s="67"/>
      <c r="B96" s="72"/>
      <c r="C96" s="72"/>
      <c r="D96" s="72"/>
      <c r="E96" s="73"/>
      <c r="F96" s="70"/>
      <c r="G96" s="71"/>
      <c r="H96" s="72"/>
      <c r="I96" s="73"/>
      <c r="J96" s="71"/>
      <c r="K96" s="71"/>
      <c r="L96" s="72"/>
      <c r="M96" s="74"/>
      <c r="N96" s="74"/>
      <c r="O96" s="74"/>
      <c r="P96" s="75"/>
      <c r="Q96" s="67"/>
      <c r="R96" s="75"/>
      <c r="S96" s="75"/>
    </row>
    <row r="97" spans="1:19" ht="13.5" customHeight="1" x14ac:dyDescent="0.2">
      <c r="A97" s="67"/>
      <c r="B97" s="72"/>
      <c r="C97" s="72"/>
      <c r="D97" s="72"/>
      <c r="E97" s="73"/>
      <c r="F97" s="70"/>
      <c r="H97" s="72"/>
      <c r="I97" s="73"/>
      <c r="J97" s="71"/>
      <c r="K97" s="71"/>
      <c r="L97" s="72"/>
      <c r="M97" s="74"/>
      <c r="N97" s="74"/>
      <c r="O97" s="74"/>
      <c r="P97" s="75"/>
      <c r="Q97" s="67"/>
      <c r="R97" s="75"/>
      <c r="S97" s="75"/>
    </row>
    <row r="98" spans="1:19" ht="13.5" customHeight="1" x14ac:dyDescent="0.2">
      <c r="A98" s="67"/>
      <c r="B98" s="72"/>
      <c r="C98" s="72"/>
      <c r="D98" s="72"/>
      <c r="E98" s="73"/>
      <c r="F98" s="70"/>
      <c r="H98" s="72"/>
      <c r="I98" s="73"/>
      <c r="J98" s="71"/>
      <c r="K98" s="71"/>
      <c r="L98" s="72"/>
      <c r="M98" s="74"/>
      <c r="N98" s="74"/>
      <c r="O98" s="74"/>
      <c r="P98" s="75"/>
      <c r="Q98" s="67"/>
      <c r="R98" s="75"/>
      <c r="S98" s="75"/>
    </row>
    <row r="99" spans="1:19" ht="13.5" customHeight="1" x14ac:dyDescent="0.2">
      <c r="A99" s="67"/>
      <c r="B99" s="72"/>
      <c r="C99" s="72"/>
      <c r="D99" s="72"/>
      <c r="E99" s="73"/>
      <c r="F99" s="70"/>
      <c r="H99" s="72"/>
      <c r="I99" s="73"/>
      <c r="J99" s="71"/>
      <c r="K99" s="71"/>
      <c r="L99" s="72"/>
      <c r="M99" s="74"/>
      <c r="N99" s="74"/>
      <c r="O99" s="74"/>
      <c r="P99" s="75"/>
      <c r="Q99" s="67"/>
      <c r="R99" s="75"/>
      <c r="S99" s="75"/>
    </row>
    <row r="100" spans="1:19" ht="13.5" customHeight="1" x14ac:dyDescent="0.2">
      <c r="A100" s="67"/>
      <c r="B100" s="72"/>
      <c r="C100" s="72"/>
      <c r="D100" s="72"/>
      <c r="E100" s="73"/>
      <c r="F100" s="70"/>
      <c r="H100" s="72"/>
      <c r="I100" s="73"/>
      <c r="J100" s="71"/>
      <c r="K100" s="71"/>
      <c r="L100" s="72"/>
      <c r="M100" s="74"/>
      <c r="N100" s="74"/>
      <c r="O100" s="74"/>
      <c r="P100" s="75"/>
      <c r="Q100" s="67"/>
      <c r="R100" s="75"/>
      <c r="S100" s="75"/>
    </row>
    <row r="101" spans="1:19" ht="13.5" customHeight="1" x14ac:dyDescent="0.2">
      <c r="A101" s="67"/>
      <c r="B101" s="72"/>
      <c r="C101" s="72"/>
      <c r="D101" s="72"/>
      <c r="E101" s="73"/>
      <c r="F101" s="70"/>
      <c r="H101" s="72"/>
      <c r="I101" s="73"/>
      <c r="J101" s="71"/>
      <c r="K101" s="71"/>
      <c r="L101" s="72"/>
      <c r="M101" s="74"/>
      <c r="N101" s="74"/>
      <c r="O101" s="74"/>
      <c r="P101" s="75"/>
      <c r="Q101" s="67"/>
      <c r="R101" s="75"/>
      <c r="S101" s="75"/>
    </row>
    <row r="102" spans="1:19" ht="13.5" customHeight="1" x14ac:dyDescent="0.2">
      <c r="A102" s="67"/>
      <c r="B102" s="72"/>
      <c r="C102" s="72"/>
      <c r="D102" s="72"/>
      <c r="E102" s="73"/>
      <c r="F102" s="70"/>
      <c r="H102" s="72"/>
      <c r="I102" s="73"/>
      <c r="J102" s="71"/>
      <c r="K102" s="71"/>
      <c r="L102" s="72"/>
      <c r="M102" s="74"/>
      <c r="N102" s="74"/>
      <c r="O102" s="74"/>
      <c r="P102" s="75"/>
      <c r="Q102" s="67"/>
      <c r="R102" s="75"/>
      <c r="S102" s="75"/>
    </row>
    <row r="103" spans="1:19" ht="13.5" customHeight="1" x14ac:dyDescent="0.2">
      <c r="A103" s="67"/>
      <c r="B103" s="72"/>
      <c r="C103" s="72"/>
      <c r="D103" s="72"/>
      <c r="E103" s="73"/>
      <c r="F103" s="70"/>
      <c r="H103" s="72"/>
      <c r="I103" s="73"/>
      <c r="J103" s="71"/>
      <c r="K103" s="71"/>
      <c r="L103" s="72"/>
      <c r="M103" s="74"/>
      <c r="N103" s="74"/>
      <c r="O103" s="74"/>
      <c r="P103" s="75"/>
      <c r="Q103" s="67"/>
      <c r="R103" s="75"/>
      <c r="S103" s="75"/>
    </row>
    <row r="104" spans="1:19" ht="13.5" customHeight="1" x14ac:dyDescent="0.2">
      <c r="A104" s="67"/>
      <c r="B104" s="72"/>
      <c r="C104" s="72"/>
      <c r="D104" s="72"/>
      <c r="E104" s="73"/>
      <c r="F104" s="70"/>
      <c r="H104" s="72"/>
      <c r="I104" s="73"/>
      <c r="J104" s="71"/>
      <c r="K104" s="71"/>
      <c r="L104" s="72"/>
      <c r="M104" s="74"/>
      <c r="N104" s="74"/>
      <c r="O104" s="74"/>
      <c r="P104" s="75"/>
      <c r="Q104" s="67"/>
      <c r="R104" s="75"/>
      <c r="S104" s="75"/>
    </row>
    <row r="105" spans="1:19" ht="13.5" customHeight="1" x14ac:dyDescent="0.2">
      <c r="A105" s="67"/>
      <c r="B105" s="72"/>
      <c r="C105" s="72"/>
      <c r="D105" s="72"/>
      <c r="E105" s="73"/>
      <c r="F105" s="70"/>
      <c r="H105" s="72"/>
      <c r="I105" s="73"/>
      <c r="J105" s="71"/>
      <c r="K105" s="71"/>
      <c r="L105" s="72"/>
      <c r="M105" s="74"/>
      <c r="N105" s="74"/>
      <c r="O105" s="74"/>
      <c r="P105" s="75"/>
      <c r="Q105" s="67"/>
      <c r="R105" s="75"/>
      <c r="S105" s="75"/>
    </row>
    <row r="106" spans="1:19" ht="13.5" customHeight="1" x14ac:dyDescent="0.2">
      <c r="A106" s="67"/>
      <c r="B106" s="72"/>
      <c r="C106" s="72"/>
      <c r="D106" s="72"/>
      <c r="E106" s="73"/>
      <c r="F106" s="70"/>
      <c r="H106" s="72"/>
      <c r="I106" s="73"/>
      <c r="J106" s="71"/>
      <c r="K106" s="71"/>
      <c r="L106" s="72"/>
      <c r="M106" s="74"/>
      <c r="N106" s="74"/>
      <c r="O106" s="74"/>
      <c r="P106" s="75"/>
      <c r="Q106" s="67"/>
      <c r="R106" s="75"/>
      <c r="S106" s="75"/>
    </row>
    <row r="107" spans="1:19" ht="13.5" customHeight="1" x14ac:dyDescent="0.2">
      <c r="A107" s="67"/>
      <c r="B107" s="72"/>
      <c r="C107" s="72"/>
      <c r="D107" s="72"/>
      <c r="E107" s="73"/>
      <c r="F107" s="70"/>
      <c r="H107" s="72"/>
      <c r="I107" s="73"/>
      <c r="J107" s="71"/>
      <c r="K107" s="71"/>
      <c r="L107" s="72"/>
      <c r="M107" s="74"/>
      <c r="N107" s="74"/>
      <c r="O107" s="74"/>
      <c r="P107" s="75"/>
      <c r="Q107" s="67"/>
      <c r="R107" s="75"/>
      <c r="S107" s="75"/>
    </row>
    <row r="108" spans="1:19" ht="13.5" customHeight="1" x14ac:dyDescent="0.2">
      <c r="A108" s="67"/>
      <c r="B108" s="72"/>
      <c r="C108" s="72"/>
      <c r="D108" s="72"/>
      <c r="E108" s="73"/>
      <c r="F108" s="70"/>
      <c r="H108" s="72"/>
      <c r="I108" s="73"/>
      <c r="J108" s="71"/>
      <c r="K108" s="71"/>
      <c r="L108" s="72"/>
      <c r="M108" s="74"/>
      <c r="N108" s="74"/>
      <c r="O108" s="74"/>
      <c r="P108" s="75"/>
      <c r="Q108" s="67"/>
      <c r="R108" s="75"/>
      <c r="S108" s="75"/>
    </row>
    <row r="109" spans="1:19" ht="13.5" customHeight="1" x14ac:dyDescent="0.2">
      <c r="A109" s="67"/>
      <c r="B109" s="72"/>
      <c r="C109" s="72"/>
      <c r="D109" s="72"/>
      <c r="E109" s="73"/>
      <c r="F109" s="70"/>
      <c r="H109" s="72"/>
      <c r="I109" s="73"/>
      <c r="J109" s="71"/>
      <c r="K109" s="71"/>
      <c r="L109" s="72"/>
      <c r="M109" s="74"/>
      <c r="N109" s="74"/>
      <c r="O109" s="74"/>
      <c r="P109" s="75"/>
      <c r="Q109" s="67"/>
      <c r="R109" s="75"/>
      <c r="S109" s="75"/>
    </row>
    <row r="110" spans="1:19" ht="13.5" customHeight="1" x14ac:dyDescent="0.2">
      <c r="A110" s="67"/>
      <c r="B110" s="72"/>
      <c r="C110" s="72"/>
      <c r="D110" s="72"/>
      <c r="E110" s="73"/>
      <c r="F110" s="70"/>
      <c r="H110" s="72"/>
      <c r="I110" s="73"/>
      <c r="J110" s="71"/>
      <c r="K110" s="71"/>
      <c r="L110" s="72"/>
      <c r="M110" s="74"/>
      <c r="N110" s="74"/>
      <c r="O110" s="74"/>
      <c r="P110" s="75"/>
      <c r="Q110" s="67"/>
      <c r="R110" s="75"/>
      <c r="S110" s="75"/>
    </row>
    <row r="111" spans="1:19" ht="13.5" customHeight="1" x14ac:dyDescent="0.2">
      <c r="A111" s="67"/>
      <c r="B111" s="72"/>
      <c r="C111" s="72"/>
      <c r="D111" s="72"/>
      <c r="E111" s="73"/>
      <c r="F111" s="70"/>
      <c r="H111" s="72"/>
      <c r="I111" s="73"/>
      <c r="J111" s="71"/>
      <c r="K111" s="71"/>
      <c r="L111" s="72"/>
      <c r="M111" s="74"/>
      <c r="N111" s="74"/>
      <c r="O111" s="74"/>
      <c r="P111" s="75"/>
      <c r="Q111" s="67"/>
      <c r="R111" s="75"/>
      <c r="S111" s="75"/>
    </row>
    <row r="112" spans="1:19" ht="13.5" customHeight="1" x14ac:dyDescent="0.2">
      <c r="A112" s="67"/>
      <c r="B112" s="72"/>
      <c r="C112" s="72"/>
      <c r="D112" s="72"/>
      <c r="E112" s="73"/>
      <c r="F112" s="70"/>
      <c r="H112" s="72"/>
      <c r="I112" s="73"/>
      <c r="J112" s="71"/>
      <c r="K112" s="71"/>
      <c r="L112" s="72"/>
      <c r="M112" s="74"/>
      <c r="N112" s="74"/>
      <c r="O112" s="74"/>
      <c r="P112" s="75"/>
      <c r="Q112" s="67"/>
      <c r="R112" s="75"/>
      <c r="S112" s="75"/>
    </row>
    <row r="113" spans="1:19" ht="13.5" customHeight="1" x14ac:dyDescent="0.2">
      <c r="A113" s="67"/>
      <c r="B113" s="72"/>
      <c r="C113" s="72"/>
      <c r="D113" s="72"/>
      <c r="E113" s="73"/>
      <c r="F113" s="70"/>
      <c r="H113" s="72"/>
      <c r="I113" s="73"/>
      <c r="J113" s="71"/>
      <c r="K113" s="71"/>
      <c r="L113" s="72"/>
      <c r="M113" s="74"/>
      <c r="N113" s="74"/>
      <c r="O113" s="74"/>
      <c r="P113" s="75"/>
      <c r="Q113" s="67"/>
      <c r="R113" s="75"/>
      <c r="S113" s="75"/>
    </row>
    <row r="114" spans="1:19" ht="13.5" customHeight="1" x14ac:dyDescent="0.2">
      <c r="A114" s="67"/>
      <c r="B114" s="72"/>
      <c r="C114" s="72"/>
      <c r="D114" s="72"/>
      <c r="E114" s="73"/>
      <c r="F114" s="70"/>
      <c r="H114" s="72"/>
      <c r="I114" s="73"/>
      <c r="J114" s="71"/>
      <c r="K114" s="71"/>
      <c r="L114" s="72"/>
      <c r="M114" s="74"/>
      <c r="N114" s="74"/>
      <c r="O114" s="74"/>
      <c r="P114" s="75"/>
      <c r="Q114" s="67"/>
      <c r="R114" s="75"/>
      <c r="S114" s="75"/>
    </row>
    <row r="115" spans="1:19" ht="13.5" customHeight="1" x14ac:dyDescent="0.2">
      <c r="A115" s="67"/>
      <c r="B115" s="72"/>
      <c r="C115" s="72"/>
      <c r="D115" s="72"/>
      <c r="E115" s="73"/>
      <c r="F115" s="70"/>
      <c r="H115" s="72"/>
      <c r="I115" s="73"/>
      <c r="J115" s="71"/>
      <c r="K115" s="71"/>
      <c r="L115" s="72"/>
      <c r="M115" s="74"/>
      <c r="N115" s="74"/>
      <c r="O115" s="74"/>
      <c r="P115" s="75"/>
      <c r="Q115" s="67"/>
      <c r="R115" s="75"/>
      <c r="S115" s="75"/>
    </row>
    <row r="116" spans="1:19" ht="13.5" customHeight="1" x14ac:dyDescent="0.2">
      <c r="A116" s="67"/>
      <c r="B116" s="72"/>
      <c r="C116" s="72"/>
      <c r="D116" s="72"/>
      <c r="E116" s="73"/>
      <c r="F116" s="70"/>
      <c r="H116" s="72"/>
      <c r="I116" s="73"/>
      <c r="J116" s="71"/>
      <c r="K116" s="71"/>
      <c r="L116" s="72"/>
      <c r="M116" s="74"/>
      <c r="N116" s="74"/>
      <c r="O116" s="74"/>
      <c r="P116" s="75"/>
      <c r="Q116" s="67"/>
      <c r="R116" s="75"/>
      <c r="S116" s="75"/>
    </row>
    <row r="117" spans="1:19" ht="13.5" customHeight="1" x14ac:dyDescent="0.2">
      <c r="A117" s="67"/>
      <c r="B117" s="72"/>
      <c r="C117" s="72"/>
      <c r="D117" s="72"/>
      <c r="E117" s="73"/>
      <c r="F117" s="70"/>
      <c r="H117" s="72"/>
      <c r="I117" s="73"/>
      <c r="J117" s="71"/>
      <c r="K117" s="71"/>
      <c r="L117" s="72"/>
      <c r="M117" s="74"/>
      <c r="N117" s="74"/>
      <c r="O117" s="74"/>
      <c r="P117" s="75"/>
      <c r="Q117" s="67"/>
      <c r="R117" s="75"/>
      <c r="S117" s="75"/>
    </row>
    <row r="118" spans="1:19" ht="13.5" customHeight="1" x14ac:dyDescent="0.2">
      <c r="A118" s="67"/>
      <c r="B118" s="72"/>
      <c r="C118" s="72"/>
      <c r="D118" s="72"/>
      <c r="E118" s="73"/>
      <c r="F118" s="70"/>
      <c r="H118" s="72"/>
      <c r="I118" s="73"/>
      <c r="J118" s="71"/>
      <c r="K118" s="71"/>
      <c r="L118" s="72"/>
      <c r="M118" s="74"/>
      <c r="N118" s="74"/>
      <c r="O118" s="74"/>
      <c r="P118" s="75"/>
      <c r="Q118" s="67"/>
      <c r="R118" s="75"/>
      <c r="S118" s="75"/>
    </row>
    <row r="119" spans="1:19" ht="13.5" customHeight="1" x14ac:dyDescent="0.2">
      <c r="A119" s="67"/>
      <c r="B119" s="72"/>
      <c r="C119" s="72"/>
      <c r="D119" s="72"/>
      <c r="E119" s="73"/>
      <c r="F119" s="70"/>
      <c r="H119" s="72"/>
      <c r="I119" s="73"/>
      <c r="J119" s="71"/>
      <c r="K119" s="71"/>
      <c r="L119" s="72"/>
      <c r="M119" s="74"/>
      <c r="N119" s="74"/>
      <c r="O119" s="74"/>
      <c r="P119" s="75"/>
      <c r="Q119" s="67"/>
      <c r="R119" s="75"/>
      <c r="S119" s="75"/>
    </row>
    <row r="120" spans="1:19" ht="13.5" customHeight="1" x14ac:dyDescent="0.2">
      <c r="A120" s="67"/>
      <c r="B120" s="72"/>
      <c r="C120" s="72"/>
      <c r="D120" s="72"/>
      <c r="E120" s="73"/>
      <c r="F120" s="70"/>
      <c r="H120" s="72"/>
      <c r="I120" s="73"/>
      <c r="J120" s="71"/>
      <c r="K120" s="71"/>
      <c r="L120" s="72"/>
      <c r="M120" s="74"/>
      <c r="N120" s="74"/>
      <c r="O120" s="74"/>
      <c r="P120" s="75"/>
      <c r="Q120" s="67"/>
      <c r="R120" s="75"/>
      <c r="S120" s="75"/>
    </row>
    <row r="121" spans="1:19" ht="13.5" customHeight="1" x14ac:dyDescent="0.2">
      <c r="A121" s="67"/>
      <c r="B121" s="72"/>
      <c r="C121" s="72"/>
      <c r="D121" s="72"/>
      <c r="E121" s="73"/>
      <c r="F121" s="70"/>
      <c r="H121" s="72"/>
      <c r="I121" s="73"/>
      <c r="J121" s="71"/>
      <c r="K121" s="71"/>
      <c r="L121" s="72"/>
      <c r="M121" s="74"/>
      <c r="N121" s="74"/>
      <c r="O121" s="74"/>
      <c r="P121" s="75"/>
      <c r="Q121" s="67"/>
      <c r="R121" s="75"/>
      <c r="S121" s="75"/>
    </row>
    <row r="122" spans="1:19" ht="13.5" customHeight="1" x14ac:dyDescent="0.2">
      <c r="A122" s="67"/>
      <c r="B122" s="72"/>
      <c r="C122" s="72"/>
      <c r="D122" s="72"/>
      <c r="E122" s="73"/>
      <c r="F122" s="70"/>
      <c r="H122" s="72"/>
      <c r="I122" s="73"/>
      <c r="J122" s="71"/>
      <c r="K122" s="71"/>
      <c r="L122" s="72"/>
      <c r="M122" s="74"/>
      <c r="N122" s="74"/>
      <c r="O122" s="74"/>
      <c r="P122" s="75"/>
      <c r="Q122" s="67"/>
      <c r="R122" s="75"/>
      <c r="S122" s="75"/>
    </row>
    <row r="123" spans="1:19" ht="13.5" customHeight="1" x14ac:dyDescent="0.2">
      <c r="A123" s="67"/>
      <c r="B123" s="72"/>
      <c r="C123" s="72"/>
      <c r="D123" s="72"/>
      <c r="E123" s="73"/>
      <c r="F123" s="70"/>
      <c r="H123" s="72"/>
      <c r="I123" s="73" t="s">
        <v>30</v>
      </c>
      <c r="J123" s="71"/>
      <c r="K123" s="71"/>
      <c r="L123" s="72"/>
      <c r="M123" s="74"/>
      <c r="N123" s="74"/>
      <c r="O123" s="74"/>
      <c r="P123" s="75"/>
      <c r="Q123" s="67"/>
      <c r="R123" s="75"/>
      <c r="S123" s="75"/>
    </row>
    <row r="124" spans="1:19" ht="13.5" customHeight="1" x14ac:dyDescent="0.2">
      <c r="A124" s="67"/>
      <c r="B124" s="72"/>
      <c r="C124" s="72"/>
      <c r="D124" s="72"/>
      <c r="E124" s="73"/>
      <c r="F124" s="70"/>
      <c r="H124" s="72"/>
      <c r="I124" s="73"/>
      <c r="J124" s="71"/>
      <c r="K124" s="71"/>
      <c r="L124" s="72"/>
      <c r="M124" s="74"/>
      <c r="N124" s="74"/>
      <c r="O124" s="74"/>
      <c r="P124" s="75"/>
      <c r="Q124" s="67"/>
      <c r="R124" s="75"/>
      <c r="S124" s="75"/>
    </row>
    <row r="125" spans="1:19" ht="13.5" customHeight="1" x14ac:dyDescent="0.2">
      <c r="A125" s="67"/>
      <c r="B125" s="72"/>
      <c r="C125" s="72"/>
      <c r="D125" s="72"/>
      <c r="E125" s="73"/>
      <c r="F125" s="70"/>
      <c r="H125" s="72"/>
      <c r="I125" s="73"/>
      <c r="J125" s="71"/>
      <c r="K125" s="71"/>
      <c r="L125" s="72"/>
      <c r="M125" s="74"/>
      <c r="N125" s="74"/>
      <c r="O125" s="74"/>
      <c r="P125" s="75"/>
      <c r="Q125" s="67"/>
      <c r="R125" s="75"/>
      <c r="S125" s="75"/>
    </row>
    <row r="126" spans="1:19" ht="13.5" customHeight="1" x14ac:dyDescent="0.2">
      <c r="A126" s="67"/>
      <c r="B126" s="72"/>
      <c r="C126" s="72"/>
      <c r="D126" s="72"/>
      <c r="E126" s="73"/>
      <c r="F126" s="70"/>
      <c r="H126" s="72"/>
      <c r="I126" s="73"/>
      <c r="J126" s="71"/>
      <c r="K126" s="71"/>
      <c r="L126" s="72"/>
      <c r="M126" s="74"/>
      <c r="N126" s="74"/>
      <c r="O126" s="74"/>
      <c r="P126" s="75"/>
      <c r="Q126" s="67"/>
      <c r="R126" s="75"/>
      <c r="S126" s="75"/>
    </row>
    <row r="127" spans="1:19" ht="13.5" customHeight="1" x14ac:dyDescent="0.2">
      <c r="A127" s="67"/>
      <c r="B127" s="72"/>
      <c r="C127" s="72"/>
      <c r="D127" s="72"/>
      <c r="E127" s="73"/>
      <c r="F127" s="70"/>
      <c r="H127" s="72"/>
      <c r="I127" s="73"/>
      <c r="J127" s="71"/>
      <c r="K127" s="71"/>
      <c r="L127" s="72"/>
      <c r="M127" s="74"/>
      <c r="N127" s="74"/>
      <c r="O127" s="74"/>
      <c r="P127" s="75"/>
      <c r="Q127" s="67"/>
      <c r="R127" s="75"/>
      <c r="S127" s="75"/>
    </row>
    <row r="128" spans="1:19" ht="13.5" customHeight="1" x14ac:dyDescent="0.2">
      <c r="A128" s="67"/>
      <c r="B128" s="72"/>
      <c r="C128" s="72"/>
      <c r="D128" s="72"/>
      <c r="E128" s="73"/>
      <c r="F128" s="70"/>
      <c r="H128" s="72"/>
      <c r="I128" s="73"/>
      <c r="J128" s="71"/>
      <c r="K128" s="71"/>
      <c r="L128" s="72"/>
      <c r="M128" s="74"/>
      <c r="N128" s="74"/>
      <c r="O128" s="74"/>
      <c r="P128" s="75"/>
      <c r="Q128" s="67"/>
      <c r="R128" s="75"/>
      <c r="S128" s="75"/>
    </row>
    <row r="129" spans="1:19" ht="13.5" customHeight="1" x14ac:dyDescent="0.2">
      <c r="A129" s="67"/>
      <c r="B129" s="72"/>
      <c r="C129" s="72"/>
      <c r="D129" s="72"/>
      <c r="E129" s="73"/>
      <c r="F129" s="70"/>
      <c r="H129" s="72"/>
      <c r="I129" s="73"/>
      <c r="J129" s="71"/>
      <c r="K129" s="71"/>
      <c r="L129" s="72"/>
      <c r="M129" s="74"/>
      <c r="N129" s="74"/>
      <c r="O129" s="74"/>
      <c r="P129" s="75"/>
      <c r="Q129" s="67"/>
      <c r="R129" s="75"/>
      <c r="S129" s="75"/>
    </row>
    <row r="130" spans="1:19" ht="13.5" customHeight="1" x14ac:dyDescent="0.2">
      <c r="A130" s="67"/>
      <c r="B130" s="72"/>
      <c r="C130" s="72"/>
      <c r="D130" s="72"/>
      <c r="E130" s="73"/>
      <c r="F130" s="70"/>
      <c r="H130" s="72"/>
      <c r="I130" s="73"/>
      <c r="J130" s="71"/>
      <c r="K130" s="71"/>
      <c r="L130" s="72"/>
      <c r="M130" s="74"/>
      <c r="N130" s="74"/>
      <c r="O130" s="74"/>
      <c r="P130" s="75"/>
      <c r="Q130" s="67"/>
      <c r="R130" s="75"/>
      <c r="S130" s="75"/>
    </row>
    <row r="131" spans="1:19" ht="13.5" customHeight="1" x14ac:dyDescent="0.2">
      <c r="A131" s="67"/>
      <c r="B131" s="72"/>
      <c r="C131" s="72"/>
      <c r="D131" s="72"/>
      <c r="E131" s="73"/>
      <c r="F131" s="70"/>
      <c r="H131" s="72"/>
      <c r="I131" s="73"/>
      <c r="J131" s="71"/>
      <c r="K131" s="71"/>
      <c r="L131" s="72"/>
      <c r="M131" s="74"/>
      <c r="N131" s="74"/>
      <c r="O131" s="74"/>
      <c r="P131" s="75"/>
      <c r="Q131" s="67"/>
      <c r="R131" s="75"/>
      <c r="S131" s="75"/>
    </row>
    <row r="132" spans="1:19" ht="13.5" customHeight="1" x14ac:dyDescent="0.2">
      <c r="A132" s="67"/>
      <c r="B132" s="72"/>
      <c r="C132" s="72"/>
      <c r="D132" s="72"/>
      <c r="E132" s="73"/>
      <c r="F132" s="70"/>
      <c r="H132" s="72"/>
      <c r="I132" s="73"/>
      <c r="J132" s="71"/>
      <c r="K132" s="71"/>
      <c r="L132" s="72"/>
      <c r="M132" s="74"/>
      <c r="N132" s="74"/>
      <c r="O132" s="74"/>
      <c r="P132" s="75"/>
      <c r="Q132" s="67"/>
      <c r="R132" s="75"/>
      <c r="S132" s="75"/>
    </row>
    <row r="133" spans="1:19" ht="13.5" customHeight="1" x14ac:dyDescent="0.2">
      <c r="A133" s="67"/>
      <c r="B133" s="72"/>
      <c r="C133" s="72"/>
      <c r="D133" s="72"/>
      <c r="E133" s="73"/>
      <c r="F133" s="70"/>
      <c r="H133" s="72"/>
      <c r="I133" s="73"/>
      <c r="J133" s="71"/>
      <c r="K133" s="71"/>
      <c r="L133" s="72"/>
      <c r="M133" s="74"/>
      <c r="N133" s="74"/>
      <c r="O133" s="74"/>
      <c r="P133" s="75"/>
      <c r="Q133" s="67"/>
      <c r="R133" s="75"/>
      <c r="S133" s="75"/>
    </row>
    <row r="134" spans="1:19" ht="13.5" customHeight="1" x14ac:dyDescent="0.2">
      <c r="A134" s="67"/>
      <c r="B134" s="72"/>
      <c r="C134" s="72"/>
      <c r="D134" s="72"/>
      <c r="E134" s="73"/>
      <c r="F134" s="70"/>
      <c r="H134" s="72"/>
      <c r="I134" s="73"/>
      <c r="J134" s="71"/>
      <c r="K134" s="71"/>
      <c r="L134" s="72"/>
      <c r="M134" s="74"/>
      <c r="N134" s="74"/>
      <c r="O134" s="74"/>
      <c r="P134" s="75"/>
      <c r="Q134" s="67"/>
      <c r="R134" s="75"/>
      <c r="S134" s="75"/>
    </row>
    <row r="135" spans="1:19" ht="13.5" customHeight="1" x14ac:dyDescent="0.2">
      <c r="A135" s="67"/>
      <c r="B135" s="72"/>
      <c r="C135" s="72"/>
      <c r="D135" s="72"/>
      <c r="E135" s="73"/>
      <c r="F135" s="70"/>
      <c r="G135" s="71"/>
      <c r="H135" s="72"/>
      <c r="I135" s="73"/>
      <c r="J135" s="71"/>
      <c r="K135" s="71"/>
      <c r="L135" s="72"/>
      <c r="M135" s="74"/>
      <c r="N135" s="74"/>
      <c r="O135" s="74"/>
      <c r="P135" s="75"/>
      <c r="Q135" s="67"/>
      <c r="R135" s="75"/>
      <c r="S135" s="75"/>
    </row>
    <row r="136" spans="1:19" ht="13.5" customHeight="1" x14ac:dyDescent="0.2">
      <c r="A136" s="67"/>
      <c r="B136" s="72"/>
      <c r="C136" s="72"/>
      <c r="D136" s="72"/>
      <c r="E136" s="73"/>
      <c r="F136" s="70"/>
      <c r="G136" s="71"/>
      <c r="H136" s="72"/>
      <c r="I136" s="73"/>
      <c r="J136" s="71"/>
      <c r="K136" s="71"/>
      <c r="L136" s="72"/>
      <c r="M136" s="74"/>
      <c r="N136" s="74"/>
      <c r="O136" s="74"/>
      <c r="P136" s="75"/>
      <c r="Q136" s="67"/>
      <c r="R136" s="75"/>
      <c r="S136" s="75"/>
    </row>
    <row r="137" spans="1:19" ht="13.5" customHeight="1" x14ac:dyDescent="0.2">
      <c r="A137" s="67"/>
      <c r="B137" s="72"/>
      <c r="C137" s="72"/>
      <c r="D137" s="72"/>
      <c r="E137" s="73"/>
      <c r="F137" s="70"/>
      <c r="G137" s="71"/>
      <c r="H137" s="72"/>
      <c r="I137" s="73"/>
      <c r="J137" s="71"/>
      <c r="K137" s="71"/>
      <c r="L137" s="72"/>
      <c r="M137" s="74"/>
      <c r="N137" s="74"/>
      <c r="O137" s="74"/>
      <c r="P137" s="75"/>
      <c r="Q137" s="67"/>
      <c r="R137" s="75"/>
      <c r="S137" s="75"/>
    </row>
    <row r="138" spans="1:19" ht="13.5" customHeight="1" x14ac:dyDescent="0.2">
      <c r="A138" s="67"/>
      <c r="B138" s="72"/>
      <c r="C138" s="72"/>
      <c r="D138" s="72"/>
      <c r="E138" s="73"/>
      <c r="F138" s="70"/>
      <c r="G138" s="71"/>
      <c r="H138" s="72"/>
      <c r="I138" s="73"/>
      <c r="J138" s="71"/>
      <c r="K138" s="71"/>
      <c r="L138" s="72"/>
      <c r="M138" s="74"/>
      <c r="N138" s="74"/>
      <c r="O138" s="74"/>
      <c r="P138" s="75"/>
      <c r="Q138" s="67"/>
      <c r="R138" s="75"/>
      <c r="S138" s="75"/>
    </row>
    <row r="139" spans="1:19" ht="13.5" customHeight="1" x14ac:dyDescent="0.2">
      <c r="A139" s="67"/>
      <c r="B139" s="72"/>
      <c r="C139" s="72"/>
      <c r="D139" s="72"/>
      <c r="E139" s="73"/>
      <c r="F139" s="70"/>
      <c r="G139" s="71"/>
      <c r="H139" s="72"/>
      <c r="I139" s="73"/>
      <c r="J139" s="71"/>
      <c r="K139" s="71"/>
      <c r="L139" s="72"/>
      <c r="M139" s="74"/>
      <c r="N139" s="74"/>
      <c r="O139" s="74"/>
      <c r="P139" s="75"/>
      <c r="Q139" s="67"/>
      <c r="R139" s="75"/>
      <c r="S139" s="75"/>
    </row>
    <row r="140" spans="1:19" ht="13.5" customHeight="1" x14ac:dyDescent="0.2">
      <c r="A140" s="67"/>
      <c r="B140" s="72"/>
      <c r="C140" s="72"/>
      <c r="D140" s="72"/>
      <c r="E140" s="73"/>
      <c r="F140" s="70"/>
      <c r="G140" s="71"/>
      <c r="H140" s="72"/>
      <c r="I140" s="73"/>
      <c r="J140" s="71"/>
      <c r="K140" s="71"/>
      <c r="L140" s="72"/>
      <c r="M140" s="74"/>
      <c r="N140" s="74"/>
      <c r="O140" s="74"/>
      <c r="P140" s="75"/>
      <c r="Q140" s="67"/>
      <c r="R140" s="75"/>
      <c r="S140" s="75"/>
    </row>
    <row r="141" spans="1:19" ht="13.5" customHeight="1" x14ac:dyDescent="0.2">
      <c r="A141" s="67"/>
      <c r="B141" s="72"/>
      <c r="C141" s="72"/>
      <c r="D141" s="72"/>
      <c r="E141" s="73"/>
      <c r="F141" s="70"/>
      <c r="G141" s="71"/>
      <c r="H141" s="72"/>
      <c r="I141" s="73"/>
      <c r="J141" s="71"/>
      <c r="K141" s="71"/>
      <c r="L141" s="72"/>
      <c r="M141" s="74"/>
      <c r="N141" s="74"/>
      <c r="O141" s="74"/>
      <c r="P141" s="75"/>
      <c r="Q141" s="67"/>
      <c r="R141" s="75"/>
      <c r="S141" s="75"/>
    </row>
    <row r="142" spans="1:19" ht="13.5" customHeight="1" x14ac:dyDescent="0.2">
      <c r="A142" s="67"/>
      <c r="B142" s="72"/>
      <c r="C142" s="72"/>
      <c r="D142" s="72"/>
      <c r="E142" s="73"/>
      <c r="F142" s="70"/>
      <c r="G142" s="71"/>
      <c r="H142" s="72"/>
      <c r="I142" s="73"/>
      <c r="J142" s="71"/>
      <c r="K142" s="71"/>
      <c r="L142" s="72"/>
      <c r="M142" s="74"/>
      <c r="N142" s="74"/>
      <c r="O142" s="74"/>
      <c r="P142" s="75"/>
      <c r="Q142" s="67"/>
      <c r="R142" s="75"/>
      <c r="S142" s="75"/>
    </row>
    <row r="143" spans="1:19" ht="13.5" customHeight="1" x14ac:dyDescent="0.2">
      <c r="A143" s="67"/>
      <c r="B143" s="72"/>
      <c r="C143" s="72"/>
      <c r="D143" s="72"/>
      <c r="E143" s="73"/>
      <c r="F143" s="70"/>
      <c r="G143" s="71"/>
      <c r="H143" s="72"/>
      <c r="I143" s="73"/>
      <c r="J143" s="71"/>
      <c r="K143" s="71"/>
      <c r="L143" s="72"/>
      <c r="M143" s="74"/>
      <c r="N143" s="74"/>
      <c r="O143" s="74"/>
      <c r="P143" s="75"/>
      <c r="Q143" s="67"/>
      <c r="R143" s="75"/>
      <c r="S143" s="75"/>
    </row>
    <row r="144" spans="1:19" ht="13.5" customHeight="1" x14ac:dyDescent="0.2">
      <c r="A144" s="67"/>
      <c r="B144" s="72"/>
      <c r="C144" s="72"/>
      <c r="D144" s="72"/>
      <c r="E144" s="73"/>
      <c r="F144" s="70"/>
      <c r="G144" s="71"/>
      <c r="H144" s="72"/>
      <c r="I144" s="73"/>
      <c r="J144" s="71"/>
      <c r="K144" s="71"/>
      <c r="L144" s="72"/>
      <c r="M144" s="74"/>
      <c r="N144" s="74"/>
      <c r="O144" s="74"/>
      <c r="P144" s="75"/>
      <c r="Q144" s="67"/>
      <c r="R144" s="75"/>
      <c r="S144" s="75"/>
    </row>
    <row r="145" spans="1:19" ht="13.5" customHeight="1" x14ac:dyDescent="0.2">
      <c r="A145" s="67"/>
      <c r="B145" s="72"/>
      <c r="C145" s="72"/>
      <c r="D145" s="72"/>
      <c r="E145" s="73"/>
      <c r="F145" s="70"/>
      <c r="G145" s="71"/>
      <c r="H145" s="72"/>
      <c r="I145" s="73"/>
      <c r="J145" s="71"/>
      <c r="K145" s="71"/>
      <c r="L145" s="72"/>
      <c r="M145" s="74"/>
      <c r="N145" s="74"/>
      <c r="O145" s="74"/>
      <c r="P145" s="75"/>
      <c r="Q145" s="67"/>
      <c r="R145" s="75"/>
      <c r="S145" s="75"/>
    </row>
    <row r="146" spans="1:19" ht="13.5" customHeight="1" x14ac:dyDescent="0.2">
      <c r="A146" s="67"/>
      <c r="B146" s="72"/>
      <c r="C146" s="72"/>
      <c r="D146" s="72"/>
      <c r="E146" s="73"/>
      <c r="F146" s="70"/>
      <c r="G146" s="71"/>
      <c r="H146" s="72"/>
      <c r="I146" s="73"/>
      <c r="J146" s="71"/>
      <c r="K146" s="71"/>
      <c r="L146" s="72"/>
      <c r="M146" s="74"/>
      <c r="N146" s="74"/>
      <c r="O146" s="74"/>
      <c r="P146" s="75"/>
      <c r="Q146" s="67"/>
      <c r="R146" s="75"/>
      <c r="S146" s="75"/>
    </row>
    <row r="147" spans="1:19" ht="13.5" customHeight="1" x14ac:dyDescent="0.2">
      <c r="A147" s="67"/>
      <c r="B147" s="72"/>
      <c r="C147" s="72"/>
      <c r="D147" s="72"/>
      <c r="E147" s="73"/>
      <c r="F147" s="70"/>
      <c r="G147" s="71"/>
      <c r="H147" s="72"/>
      <c r="I147" s="73"/>
      <c r="J147" s="71"/>
      <c r="K147" s="71"/>
      <c r="L147" s="72"/>
      <c r="M147" s="74"/>
      <c r="N147" s="74"/>
      <c r="O147" s="74"/>
      <c r="P147" s="75"/>
      <c r="Q147" s="67"/>
      <c r="R147" s="75"/>
      <c r="S147" s="75"/>
    </row>
    <row r="148" spans="1:19" ht="13.5" customHeight="1" x14ac:dyDescent="0.2">
      <c r="A148" s="67"/>
      <c r="B148" s="72"/>
      <c r="C148" s="72"/>
      <c r="D148" s="72"/>
      <c r="E148" s="73"/>
      <c r="F148" s="70"/>
      <c r="G148" s="71"/>
      <c r="H148" s="72"/>
      <c r="I148" s="73"/>
      <c r="J148" s="71"/>
      <c r="K148" s="71"/>
      <c r="L148" s="72"/>
      <c r="M148" s="74"/>
      <c r="N148" s="74"/>
      <c r="O148" s="74"/>
      <c r="P148" s="75"/>
      <c r="Q148" s="67"/>
      <c r="R148" s="75"/>
      <c r="S148" s="75"/>
    </row>
    <row r="149" spans="1:19" ht="13.5" customHeight="1" x14ac:dyDescent="0.2">
      <c r="A149" s="67"/>
      <c r="B149" s="72"/>
      <c r="C149" s="72"/>
      <c r="D149" s="72"/>
      <c r="E149" s="73"/>
      <c r="F149" s="70"/>
      <c r="G149" s="71"/>
      <c r="H149" s="72"/>
      <c r="I149" s="73"/>
      <c r="J149" s="71"/>
      <c r="K149" s="71"/>
      <c r="L149" s="72"/>
      <c r="M149" s="74"/>
      <c r="N149" s="74"/>
      <c r="O149" s="74"/>
      <c r="P149" s="75"/>
      <c r="Q149" s="67"/>
      <c r="R149" s="75"/>
      <c r="S149" s="75"/>
    </row>
    <row r="150" spans="1:19" ht="13.5" customHeight="1" x14ac:dyDescent="0.2">
      <c r="A150" s="67"/>
      <c r="B150" s="72"/>
      <c r="C150" s="72"/>
      <c r="D150" s="72"/>
      <c r="E150" s="73"/>
      <c r="F150" s="70"/>
      <c r="G150" s="71"/>
      <c r="H150" s="72"/>
      <c r="I150" s="73"/>
      <c r="J150" s="71"/>
      <c r="K150" s="71"/>
      <c r="L150" s="72"/>
      <c r="M150" s="74"/>
      <c r="N150" s="74"/>
      <c r="O150" s="74"/>
      <c r="P150" s="75"/>
      <c r="Q150" s="67"/>
      <c r="R150" s="75"/>
      <c r="S150" s="75"/>
    </row>
    <row r="151" spans="1:19" ht="13.5" customHeight="1" x14ac:dyDescent="0.2">
      <c r="A151" s="67"/>
      <c r="B151" s="72"/>
      <c r="C151" s="72"/>
      <c r="D151" s="72"/>
      <c r="E151" s="73"/>
      <c r="F151" s="70"/>
      <c r="G151" s="71"/>
      <c r="H151" s="72"/>
      <c r="I151" s="73"/>
      <c r="J151" s="71"/>
      <c r="K151" s="71"/>
      <c r="L151" s="72"/>
      <c r="M151" s="74"/>
      <c r="N151" s="74"/>
      <c r="O151" s="74"/>
      <c r="P151" s="75"/>
      <c r="Q151" s="67"/>
      <c r="R151" s="75"/>
      <c r="S151" s="75"/>
    </row>
    <row r="152" spans="1:19" ht="13.5" customHeight="1" x14ac:dyDescent="0.2">
      <c r="A152" s="67"/>
      <c r="B152" s="72"/>
      <c r="C152" s="72"/>
      <c r="D152" s="72"/>
      <c r="E152" s="73"/>
      <c r="F152" s="70"/>
      <c r="G152" s="71"/>
      <c r="H152" s="72"/>
      <c r="I152" s="73"/>
      <c r="J152" s="71"/>
      <c r="K152" s="71"/>
      <c r="L152" s="72"/>
      <c r="M152" s="74"/>
      <c r="N152" s="74"/>
      <c r="O152" s="74"/>
      <c r="P152" s="75"/>
      <c r="Q152" s="67"/>
      <c r="R152" s="75"/>
      <c r="S152" s="75"/>
    </row>
    <row r="153" spans="1:19" ht="13.5" customHeight="1" x14ac:dyDescent="0.2">
      <c r="A153" s="67"/>
      <c r="B153" s="72"/>
      <c r="C153" s="72"/>
      <c r="D153" s="72"/>
      <c r="E153" s="73"/>
      <c r="F153" s="70"/>
      <c r="G153" s="71"/>
      <c r="H153" s="72"/>
      <c r="I153" s="73"/>
      <c r="J153" s="71"/>
      <c r="K153" s="71"/>
      <c r="L153" s="72"/>
      <c r="M153" s="74"/>
      <c r="N153" s="74"/>
      <c r="O153" s="74"/>
      <c r="P153" s="75"/>
      <c r="Q153" s="67"/>
      <c r="R153" s="75"/>
      <c r="S153" s="75"/>
    </row>
    <row r="154" spans="1:19" ht="13.5" customHeight="1" x14ac:dyDescent="0.2">
      <c r="A154" s="67"/>
      <c r="B154" s="72"/>
      <c r="C154" s="72"/>
      <c r="D154" s="72"/>
      <c r="E154" s="73"/>
      <c r="F154" s="70"/>
      <c r="G154" s="71"/>
      <c r="H154" s="72"/>
      <c r="I154" s="73"/>
      <c r="J154" s="71"/>
      <c r="K154" s="71"/>
      <c r="L154" s="72"/>
      <c r="M154" s="74"/>
      <c r="N154" s="74"/>
      <c r="O154" s="74"/>
      <c r="P154" s="75"/>
      <c r="Q154" s="67"/>
      <c r="R154" s="75"/>
      <c r="S154" s="75"/>
    </row>
    <row r="155" spans="1:19" ht="13.5" customHeight="1" x14ac:dyDescent="0.2">
      <c r="A155" s="67"/>
      <c r="B155" s="72"/>
      <c r="C155" s="72"/>
      <c r="D155" s="72"/>
      <c r="E155" s="73"/>
      <c r="F155" s="70"/>
      <c r="G155" s="71"/>
      <c r="H155" s="72"/>
      <c r="I155" s="73"/>
      <c r="J155" s="71"/>
      <c r="K155" s="71"/>
      <c r="L155" s="72"/>
      <c r="M155" s="74"/>
      <c r="N155" s="74"/>
      <c r="O155" s="74"/>
      <c r="P155" s="75"/>
      <c r="Q155" s="67"/>
      <c r="R155" s="75"/>
      <c r="S155" s="75"/>
    </row>
    <row r="156" spans="1:19" ht="13.5" customHeight="1" x14ac:dyDescent="0.2">
      <c r="A156" s="67"/>
      <c r="B156" s="72"/>
      <c r="C156" s="72"/>
      <c r="D156" s="72"/>
      <c r="E156" s="73"/>
      <c r="F156" s="70"/>
      <c r="G156" s="71"/>
      <c r="H156" s="72"/>
      <c r="I156" s="73"/>
      <c r="J156" s="71"/>
      <c r="K156" s="71"/>
      <c r="L156" s="72"/>
      <c r="M156" s="74"/>
      <c r="N156" s="74"/>
      <c r="O156" s="74"/>
      <c r="P156" s="75"/>
      <c r="Q156" s="67"/>
      <c r="R156" s="75"/>
      <c r="S156" s="75"/>
    </row>
    <row r="157" spans="1:19" ht="13.5" customHeight="1" x14ac:dyDescent="0.2">
      <c r="A157" s="67"/>
      <c r="B157" s="72"/>
      <c r="C157" s="72"/>
      <c r="D157" s="72"/>
      <c r="E157" s="73"/>
      <c r="F157" s="70"/>
      <c r="G157" s="71"/>
      <c r="H157" s="72"/>
      <c r="I157" s="73"/>
      <c r="J157" s="71"/>
      <c r="K157" s="71"/>
      <c r="L157" s="72"/>
      <c r="M157" s="74"/>
      <c r="N157" s="74"/>
      <c r="O157" s="74"/>
      <c r="P157" s="75"/>
      <c r="Q157" s="67"/>
      <c r="R157" s="75"/>
      <c r="S157" s="75"/>
    </row>
    <row r="158" spans="1:19" ht="13.5" customHeight="1" x14ac:dyDescent="0.2">
      <c r="A158" s="67"/>
      <c r="B158" s="72"/>
      <c r="C158" s="72"/>
      <c r="D158" s="72"/>
      <c r="E158" s="73"/>
      <c r="F158" s="70"/>
      <c r="G158" s="71"/>
      <c r="H158" s="72"/>
      <c r="I158" s="73"/>
      <c r="J158" s="71"/>
      <c r="K158" s="71"/>
      <c r="L158" s="72"/>
      <c r="M158" s="74"/>
      <c r="N158" s="74"/>
      <c r="O158" s="74"/>
      <c r="P158" s="75"/>
      <c r="Q158" s="67"/>
      <c r="R158" s="75"/>
      <c r="S158" s="75"/>
    </row>
    <row r="159" spans="1:19" ht="13.5" customHeight="1" x14ac:dyDescent="0.2">
      <c r="A159" s="67"/>
      <c r="B159" s="72"/>
      <c r="C159" s="72"/>
      <c r="D159" s="72"/>
      <c r="E159" s="73"/>
      <c r="F159" s="70"/>
      <c r="G159" s="71"/>
      <c r="H159" s="72"/>
      <c r="I159" s="73"/>
      <c r="J159" s="71"/>
      <c r="K159" s="71"/>
      <c r="L159" s="72"/>
      <c r="M159" s="74"/>
      <c r="N159" s="74"/>
      <c r="O159" s="74"/>
      <c r="P159" s="75"/>
      <c r="Q159" s="67"/>
      <c r="R159" s="75"/>
      <c r="S159" s="75"/>
    </row>
    <row r="160" spans="1:19" ht="13.5" customHeight="1" x14ac:dyDescent="0.2">
      <c r="A160" s="67"/>
      <c r="B160" s="72"/>
      <c r="C160" s="72"/>
      <c r="D160" s="72"/>
      <c r="E160" s="73"/>
      <c r="F160" s="70"/>
      <c r="G160" s="71"/>
      <c r="H160" s="72"/>
      <c r="I160" s="73"/>
      <c r="J160" s="71"/>
      <c r="K160" s="71"/>
      <c r="L160" s="72"/>
      <c r="M160" s="74"/>
      <c r="N160" s="74"/>
      <c r="O160" s="74"/>
      <c r="P160" s="75"/>
      <c r="Q160" s="67"/>
      <c r="R160" s="75"/>
      <c r="S160" s="75"/>
    </row>
    <row r="161" spans="1:19" ht="13.5" customHeight="1" x14ac:dyDescent="0.2">
      <c r="A161" s="67"/>
      <c r="B161" s="72"/>
      <c r="C161" s="72"/>
      <c r="D161" s="72"/>
      <c r="E161" s="73"/>
      <c r="F161" s="70"/>
      <c r="G161" s="71"/>
      <c r="H161" s="72"/>
      <c r="I161" s="73"/>
      <c r="J161" s="71"/>
      <c r="K161" s="71"/>
      <c r="L161" s="72"/>
      <c r="M161" s="74"/>
      <c r="N161" s="74"/>
      <c r="O161" s="74"/>
      <c r="P161" s="75"/>
      <c r="Q161" s="67"/>
      <c r="R161" s="75"/>
      <c r="S161" s="75"/>
    </row>
    <row r="162" spans="1:19" ht="13.5" customHeight="1" x14ac:dyDescent="0.2">
      <c r="A162" s="67"/>
      <c r="B162" s="72"/>
      <c r="C162" s="72"/>
      <c r="D162" s="72"/>
      <c r="E162" s="73"/>
      <c r="F162" s="70"/>
      <c r="G162" s="71"/>
      <c r="H162" s="72"/>
      <c r="I162" s="73"/>
      <c r="J162" s="71"/>
      <c r="K162" s="71"/>
      <c r="L162" s="72"/>
      <c r="M162" s="74"/>
      <c r="N162" s="74"/>
      <c r="O162" s="74"/>
      <c r="P162" s="75"/>
      <c r="Q162" s="67"/>
      <c r="R162" s="75"/>
      <c r="S162" s="75"/>
    </row>
    <row r="163" spans="1:19" ht="13.5" customHeight="1" x14ac:dyDescent="0.2">
      <c r="A163" s="67"/>
      <c r="B163" s="72"/>
      <c r="C163" s="72"/>
      <c r="D163" s="72"/>
      <c r="E163" s="73"/>
      <c r="F163" s="70"/>
      <c r="G163" s="71"/>
      <c r="H163" s="72"/>
      <c r="I163" s="73"/>
      <c r="J163" s="71"/>
      <c r="K163" s="71"/>
      <c r="L163" s="72"/>
      <c r="M163" s="74"/>
      <c r="N163" s="74"/>
      <c r="O163" s="74"/>
      <c r="P163" s="75"/>
      <c r="Q163" s="67"/>
      <c r="R163" s="75"/>
      <c r="S163" s="75"/>
    </row>
    <row r="164" spans="1:19" ht="13.5" customHeight="1" x14ac:dyDescent="0.2">
      <c r="A164" s="67"/>
      <c r="B164" s="72"/>
      <c r="C164" s="72"/>
      <c r="D164" s="72"/>
      <c r="E164" s="73"/>
      <c r="F164" s="70"/>
      <c r="G164" s="71"/>
      <c r="H164" s="72"/>
      <c r="I164" s="73"/>
      <c r="J164" s="71"/>
      <c r="K164" s="71"/>
      <c r="L164" s="72"/>
      <c r="M164" s="74"/>
      <c r="N164" s="74"/>
      <c r="O164" s="74"/>
      <c r="P164" s="75"/>
      <c r="Q164" s="67"/>
      <c r="R164" s="75"/>
      <c r="S164" s="75"/>
    </row>
    <row r="165" spans="1:19" ht="13.5" customHeight="1" x14ac:dyDescent="0.2">
      <c r="A165" s="67"/>
      <c r="B165" s="72"/>
      <c r="C165" s="72"/>
      <c r="D165" s="72"/>
      <c r="E165" s="73"/>
      <c r="F165" s="70"/>
      <c r="G165" s="71"/>
      <c r="H165" s="72"/>
      <c r="I165" s="73"/>
      <c r="J165" s="71"/>
      <c r="K165" s="71"/>
      <c r="L165" s="72"/>
      <c r="M165" s="74"/>
      <c r="N165" s="74"/>
      <c r="O165" s="74"/>
      <c r="P165" s="75"/>
      <c r="Q165" s="67"/>
      <c r="R165" s="75"/>
      <c r="S165" s="75"/>
    </row>
    <row r="166" spans="1:19" ht="13.5" customHeight="1" x14ac:dyDescent="0.2">
      <c r="A166" s="67"/>
      <c r="B166" s="72"/>
      <c r="C166" s="72"/>
      <c r="D166" s="72"/>
      <c r="E166" s="73"/>
      <c r="F166" s="70"/>
      <c r="G166" s="71"/>
      <c r="H166" s="72"/>
      <c r="I166" s="73"/>
      <c r="J166" s="71"/>
      <c r="K166" s="71"/>
      <c r="L166" s="72"/>
      <c r="M166" s="74"/>
      <c r="N166" s="74"/>
      <c r="O166" s="74"/>
      <c r="P166" s="75"/>
      <c r="Q166" s="67"/>
      <c r="R166" s="75"/>
      <c r="S166" s="75"/>
    </row>
    <row r="167" spans="1:19" ht="13.5" customHeight="1" x14ac:dyDescent="0.2">
      <c r="A167" s="67"/>
      <c r="B167" s="72"/>
      <c r="C167" s="72"/>
      <c r="D167" s="72"/>
      <c r="E167" s="73"/>
      <c r="F167" s="70"/>
      <c r="G167" s="71"/>
      <c r="H167" s="72"/>
      <c r="I167" s="73"/>
      <c r="J167" s="71"/>
      <c r="K167" s="71"/>
      <c r="L167" s="72"/>
      <c r="M167" s="74"/>
      <c r="N167" s="74"/>
      <c r="O167" s="74"/>
      <c r="P167" s="75"/>
      <c r="Q167" s="67"/>
      <c r="R167" s="75"/>
      <c r="S167" s="75"/>
    </row>
    <row r="168" spans="1:19" ht="13.5" customHeight="1" x14ac:dyDescent="0.2">
      <c r="A168" s="67"/>
      <c r="B168" s="72"/>
      <c r="C168" s="72"/>
      <c r="D168" s="72"/>
      <c r="E168" s="73"/>
      <c r="F168" s="70"/>
      <c r="G168" s="71"/>
      <c r="H168" s="72"/>
      <c r="I168" s="73"/>
      <c r="J168" s="71"/>
      <c r="K168" s="71"/>
      <c r="L168" s="72"/>
      <c r="M168" s="74"/>
      <c r="N168" s="74"/>
      <c r="O168" s="74"/>
      <c r="P168" s="75"/>
      <c r="Q168" s="67"/>
      <c r="R168" s="75"/>
      <c r="S168" s="75"/>
    </row>
    <row r="169" spans="1:19" ht="13.5" customHeight="1" x14ac:dyDescent="0.2">
      <c r="A169" s="67"/>
      <c r="B169" s="72"/>
      <c r="C169" s="72"/>
      <c r="D169" s="72"/>
      <c r="E169" s="73"/>
      <c r="F169" s="70"/>
      <c r="G169" s="71"/>
      <c r="H169" s="72"/>
      <c r="I169" s="73"/>
      <c r="J169" s="71"/>
      <c r="K169" s="71"/>
      <c r="L169" s="72"/>
      <c r="M169" s="74"/>
      <c r="N169" s="74"/>
      <c r="O169" s="74"/>
      <c r="P169" s="75"/>
      <c r="Q169" s="67"/>
      <c r="R169" s="75"/>
      <c r="S169" s="75"/>
    </row>
    <row r="170" spans="1:19" ht="13.5" customHeight="1" x14ac:dyDescent="0.2">
      <c r="A170" s="67"/>
      <c r="B170" s="72"/>
      <c r="C170" s="72"/>
      <c r="D170" s="72"/>
      <c r="E170" s="73"/>
      <c r="F170" s="70"/>
      <c r="G170" s="71"/>
      <c r="H170" s="72"/>
      <c r="I170" s="73"/>
      <c r="J170" s="71"/>
      <c r="K170" s="71"/>
      <c r="L170" s="72"/>
      <c r="M170" s="74"/>
      <c r="N170" s="74"/>
      <c r="P170" s="75"/>
      <c r="Q170" s="67"/>
      <c r="R170" s="75"/>
      <c r="S170" s="75"/>
    </row>
    <row r="171" spans="1:19" ht="13.5" customHeight="1" x14ac:dyDescent="0.2">
      <c r="A171" s="67"/>
      <c r="B171" s="72"/>
      <c r="C171" s="72"/>
      <c r="D171" s="72"/>
      <c r="E171" s="73"/>
      <c r="F171" s="70"/>
      <c r="G171" s="71"/>
      <c r="H171" s="72"/>
      <c r="I171" s="73"/>
      <c r="J171" s="71"/>
      <c r="K171" s="71"/>
      <c r="L171" s="72"/>
      <c r="M171" s="74"/>
      <c r="N171" s="74"/>
      <c r="P171" s="75"/>
      <c r="Q171" s="67"/>
      <c r="R171" s="75"/>
      <c r="S171" s="75"/>
    </row>
    <row r="172" spans="1:19" ht="13.5" customHeight="1" x14ac:dyDescent="0.2">
      <c r="A172" s="67"/>
      <c r="B172" s="72"/>
      <c r="C172" s="72"/>
      <c r="D172" s="72"/>
      <c r="E172" s="73"/>
      <c r="F172" s="70"/>
      <c r="G172" s="71"/>
      <c r="H172" s="72"/>
      <c r="I172" s="73"/>
      <c r="J172" s="71"/>
      <c r="K172" s="71"/>
      <c r="L172" s="72"/>
      <c r="M172" s="74"/>
      <c r="N172" s="74"/>
      <c r="P172" s="75"/>
      <c r="Q172" s="67"/>
      <c r="R172" s="75"/>
      <c r="S172" s="75"/>
    </row>
    <row r="173" spans="1:19" ht="13.5" customHeight="1" x14ac:dyDescent="0.2">
      <c r="A173" s="67"/>
      <c r="B173" s="72"/>
      <c r="C173" s="72"/>
      <c r="D173" s="72"/>
      <c r="E173" s="73"/>
      <c r="F173" s="70"/>
      <c r="G173" s="71"/>
      <c r="H173" s="72"/>
      <c r="I173" s="73"/>
      <c r="J173" s="71"/>
      <c r="K173" s="71"/>
      <c r="L173" s="72"/>
      <c r="M173" s="74"/>
      <c r="N173" s="74"/>
      <c r="P173" s="75"/>
      <c r="Q173" s="67"/>
      <c r="R173" s="75"/>
      <c r="S173" s="75"/>
    </row>
    <row r="174" spans="1:19" ht="13.5" customHeight="1" x14ac:dyDescent="0.2">
      <c r="A174" s="67"/>
      <c r="B174" s="72"/>
      <c r="C174" s="72"/>
      <c r="D174" s="72"/>
      <c r="E174" s="73"/>
      <c r="F174" s="70"/>
      <c r="G174" s="71"/>
      <c r="H174" s="72"/>
      <c r="I174" s="73"/>
      <c r="J174" s="71"/>
      <c r="K174" s="71"/>
      <c r="L174" s="72"/>
      <c r="M174" s="74"/>
      <c r="N174" s="74"/>
      <c r="P174" s="75"/>
      <c r="Q174" s="67"/>
      <c r="R174" s="75"/>
      <c r="S174" s="75"/>
    </row>
    <row r="175" spans="1:19" ht="13.5" customHeight="1" x14ac:dyDescent="0.2">
      <c r="A175" s="67"/>
      <c r="B175" s="72"/>
      <c r="C175" s="72"/>
      <c r="D175" s="72"/>
      <c r="E175" s="73"/>
      <c r="F175" s="70"/>
      <c r="G175" s="71"/>
      <c r="H175" s="72"/>
      <c r="I175" s="73"/>
      <c r="J175" s="71"/>
      <c r="K175" s="71"/>
      <c r="L175" s="72"/>
      <c r="M175" s="74"/>
      <c r="N175" s="74"/>
      <c r="P175" s="75"/>
      <c r="Q175" s="67"/>
      <c r="R175" s="75"/>
      <c r="S175" s="75"/>
    </row>
    <row r="176" spans="1:19" ht="13.5" customHeight="1" x14ac:dyDescent="0.2">
      <c r="A176" s="67"/>
      <c r="B176" s="72"/>
      <c r="C176" s="72"/>
      <c r="D176" s="72"/>
      <c r="E176" s="73"/>
      <c r="F176" s="70"/>
      <c r="G176" s="71"/>
      <c r="H176" s="72"/>
      <c r="I176" s="73"/>
      <c r="J176" s="71"/>
      <c r="K176" s="71"/>
      <c r="L176" s="72"/>
      <c r="M176" s="74"/>
      <c r="N176" s="74"/>
      <c r="P176" s="75"/>
      <c r="Q176" s="67"/>
      <c r="R176" s="75"/>
      <c r="S176" s="75"/>
    </row>
    <row r="177" spans="1:19" ht="13.5" customHeight="1" x14ac:dyDescent="0.2">
      <c r="A177" s="67"/>
      <c r="B177" s="72"/>
      <c r="C177" s="72"/>
      <c r="D177" s="72"/>
      <c r="E177" s="73"/>
      <c r="F177" s="70"/>
      <c r="G177" s="71"/>
      <c r="H177" s="72"/>
      <c r="I177" s="73"/>
      <c r="J177" s="71"/>
      <c r="K177" s="71"/>
      <c r="L177" s="72"/>
      <c r="M177" s="74"/>
      <c r="N177" s="74"/>
      <c r="P177" s="75"/>
      <c r="Q177" s="67"/>
      <c r="R177" s="75"/>
      <c r="S177" s="75"/>
    </row>
    <row r="178" spans="1:19" ht="13.5" customHeight="1" x14ac:dyDescent="0.2">
      <c r="A178" s="67"/>
      <c r="B178" s="72"/>
      <c r="C178" s="72"/>
      <c r="D178" s="72"/>
      <c r="E178" s="73"/>
      <c r="F178" s="70"/>
      <c r="G178" s="71"/>
      <c r="H178" s="72"/>
      <c r="I178" s="73"/>
      <c r="J178" s="71"/>
      <c r="K178" s="71"/>
      <c r="L178" s="72"/>
      <c r="M178" s="74"/>
      <c r="N178" s="74"/>
      <c r="P178" s="75"/>
      <c r="Q178" s="67"/>
      <c r="R178" s="75"/>
      <c r="S178" s="75"/>
    </row>
    <row r="179" spans="1:19" ht="13.5" customHeight="1" x14ac:dyDescent="0.2">
      <c r="A179" s="67"/>
      <c r="B179" s="72"/>
      <c r="C179" s="72"/>
      <c r="D179" s="72"/>
      <c r="E179" s="73"/>
      <c r="F179" s="70"/>
      <c r="G179" s="71"/>
      <c r="H179" s="72"/>
      <c r="I179" s="73"/>
      <c r="J179" s="71"/>
      <c r="K179" s="71"/>
      <c r="L179" s="72"/>
      <c r="M179" s="74"/>
      <c r="N179" s="74"/>
      <c r="P179" s="75"/>
      <c r="Q179" s="67"/>
      <c r="R179" s="75"/>
      <c r="S179" s="75"/>
    </row>
    <row r="180" spans="1:19" ht="13.5" customHeight="1" x14ac:dyDescent="0.2">
      <c r="A180" s="67"/>
      <c r="B180" s="72"/>
      <c r="C180" s="72"/>
      <c r="D180" s="72"/>
      <c r="E180" s="73"/>
      <c r="F180" s="70"/>
      <c r="G180" s="71"/>
      <c r="H180" s="72"/>
      <c r="I180" s="73"/>
      <c r="J180" s="71"/>
      <c r="K180" s="71"/>
      <c r="L180" s="72"/>
      <c r="M180" s="74"/>
      <c r="N180" s="74"/>
      <c r="P180" s="75"/>
      <c r="Q180" s="67"/>
      <c r="R180" s="75"/>
      <c r="S180" s="75"/>
    </row>
    <row r="181" spans="1:19" ht="13.5" customHeight="1" x14ac:dyDescent="0.2">
      <c r="A181" s="67"/>
      <c r="B181" s="72"/>
      <c r="C181" s="72"/>
      <c r="D181" s="72"/>
      <c r="E181" s="73"/>
      <c r="F181" s="70"/>
      <c r="G181" s="71"/>
      <c r="H181" s="72"/>
      <c r="I181" s="73"/>
      <c r="J181" s="71"/>
      <c r="K181" s="71"/>
      <c r="L181" s="72"/>
      <c r="M181" s="74"/>
      <c r="N181" s="74"/>
      <c r="P181" s="75"/>
      <c r="Q181" s="67"/>
      <c r="R181" s="75"/>
      <c r="S181" s="75"/>
    </row>
    <row r="182" spans="1:19" ht="13.5" customHeight="1" x14ac:dyDescent="0.2">
      <c r="A182" s="67"/>
      <c r="B182" s="72"/>
      <c r="C182" s="72"/>
      <c r="D182" s="72"/>
      <c r="E182" s="73"/>
      <c r="F182" s="70"/>
      <c r="G182" s="71"/>
      <c r="H182" s="72"/>
      <c r="I182" s="73"/>
      <c r="J182" s="71"/>
      <c r="K182" s="71"/>
      <c r="L182" s="72"/>
      <c r="M182" s="74"/>
      <c r="N182" s="74"/>
      <c r="P182" s="75"/>
      <c r="Q182" s="67"/>
      <c r="R182" s="75"/>
      <c r="S182" s="75"/>
    </row>
    <row r="183" spans="1:19" ht="13.5" customHeight="1" x14ac:dyDescent="0.2">
      <c r="A183" s="67"/>
      <c r="B183" s="72"/>
      <c r="C183" s="72"/>
      <c r="D183" s="72"/>
      <c r="E183" s="73"/>
      <c r="F183" s="70"/>
      <c r="G183" s="71"/>
      <c r="H183" s="72"/>
      <c r="I183" s="73"/>
      <c r="J183" s="71"/>
      <c r="K183" s="71"/>
      <c r="L183" s="72"/>
      <c r="M183" s="74"/>
      <c r="N183" s="74"/>
      <c r="P183" s="75"/>
      <c r="Q183" s="67"/>
      <c r="R183" s="75"/>
      <c r="S183" s="75"/>
    </row>
    <row r="184" spans="1:19" ht="13.5" customHeight="1" x14ac:dyDescent="0.2">
      <c r="A184" s="67"/>
      <c r="B184" s="72"/>
      <c r="C184" s="72"/>
      <c r="D184" s="72"/>
      <c r="E184" s="73"/>
      <c r="F184" s="70"/>
      <c r="G184" s="71"/>
      <c r="H184" s="72"/>
      <c r="I184" s="73"/>
      <c r="J184" s="71"/>
      <c r="K184" s="71"/>
      <c r="L184" s="72"/>
      <c r="M184" s="74"/>
      <c r="N184" s="74"/>
      <c r="P184" s="75"/>
      <c r="Q184" s="67"/>
      <c r="R184" s="75"/>
      <c r="S184" s="75"/>
    </row>
    <row r="185" spans="1:19" ht="13.5" customHeight="1" x14ac:dyDescent="0.2">
      <c r="A185" s="67"/>
      <c r="B185" s="72"/>
      <c r="C185" s="72"/>
      <c r="D185" s="72"/>
      <c r="E185" s="73"/>
      <c r="F185" s="70"/>
      <c r="G185" s="71"/>
      <c r="H185" s="72"/>
      <c r="I185" s="73"/>
      <c r="J185" s="71"/>
      <c r="K185" s="71"/>
      <c r="L185" s="72"/>
      <c r="M185" s="74"/>
      <c r="N185" s="74"/>
      <c r="P185" s="75"/>
      <c r="Q185" s="67"/>
      <c r="R185" s="75"/>
      <c r="S185" s="75"/>
    </row>
    <row r="186" spans="1:19" ht="13.5" customHeight="1" x14ac:dyDescent="0.2">
      <c r="A186" s="67"/>
      <c r="B186" s="72"/>
      <c r="C186" s="72"/>
      <c r="D186" s="72"/>
      <c r="E186" s="73"/>
      <c r="F186" s="70"/>
      <c r="G186" s="71"/>
      <c r="H186" s="72"/>
      <c r="I186" s="73"/>
      <c r="J186" s="71"/>
      <c r="K186" s="71"/>
      <c r="L186" s="72"/>
      <c r="M186" s="74"/>
      <c r="N186" s="74"/>
      <c r="P186" s="75"/>
      <c r="Q186" s="67"/>
      <c r="R186" s="75"/>
      <c r="S186" s="75"/>
    </row>
    <row r="187" spans="1:19" ht="13.5" customHeight="1" x14ac:dyDescent="0.2">
      <c r="A187" s="67"/>
      <c r="B187" s="72"/>
      <c r="C187" s="72"/>
      <c r="D187" s="72"/>
      <c r="E187" s="73"/>
      <c r="F187" s="70"/>
      <c r="G187" s="71"/>
      <c r="H187" s="72"/>
      <c r="I187" s="73"/>
      <c r="J187" s="71"/>
      <c r="K187" s="71"/>
      <c r="L187" s="72"/>
      <c r="M187" s="74"/>
      <c r="N187" s="74"/>
      <c r="P187" s="75"/>
      <c r="Q187" s="67"/>
      <c r="R187" s="75"/>
      <c r="S187" s="75"/>
    </row>
    <row r="188" spans="1:19" ht="13.5" customHeight="1" x14ac:dyDescent="0.2">
      <c r="A188" s="67"/>
      <c r="B188" s="72"/>
      <c r="C188" s="72"/>
      <c r="D188" s="72"/>
      <c r="E188" s="73"/>
      <c r="F188" s="70"/>
      <c r="G188" s="71"/>
      <c r="H188" s="72"/>
      <c r="I188" s="73"/>
      <c r="J188" s="71"/>
      <c r="K188" s="71"/>
      <c r="L188" s="72"/>
      <c r="M188" s="74"/>
      <c r="N188" s="74"/>
      <c r="P188" s="75"/>
      <c r="Q188" s="67"/>
      <c r="R188" s="75"/>
      <c r="S188" s="75"/>
    </row>
    <row r="189" spans="1:19" ht="13.5" customHeight="1" x14ac:dyDescent="0.2">
      <c r="A189" s="67"/>
      <c r="B189" s="72"/>
      <c r="C189" s="72"/>
      <c r="D189" s="72"/>
      <c r="E189" s="73"/>
      <c r="F189" s="70"/>
      <c r="G189" s="71"/>
      <c r="H189" s="72"/>
      <c r="I189" s="73"/>
      <c r="J189" s="71"/>
      <c r="K189" s="71"/>
      <c r="L189" s="72"/>
      <c r="M189" s="74"/>
      <c r="N189" s="74"/>
      <c r="P189" s="75"/>
      <c r="Q189" s="67"/>
      <c r="R189" s="75"/>
      <c r="S189" s="75"/>
    </row>
    <row r="190" spans="1:19" ht="13.5" customHeight="1" x14ac:dyDescent="0.2">
      <c r="A190" s="67"/>
      <c r="B190" s="72"/>
      <c r="C190" s="72"/>
      <c r="D190" s="72"/>
      <c r="E190" s="73"/>
      <c r="F190" s="70"/>
      <c r="G190" s="71"/>
      <c r="H190" s="72"/>
      <c r="I190" s="73"/>
      <c r="J190" s="71"/>
      <c r="K190" s="71"/>
      <c r="L190" s="72"/>
      <c r="M190" s="74"/>
      <c r="N190" s="74"/>
      <c r="P190" s="75"/>
      <c r="Q190" s="67"/>
      <c r="R190" s="75"/>
      <c r="S190" s="75"/>
    </row>
    <row r="191" spans="1:19" ht="13.5" customHeight="1" x14ac:dyDescent="0.2">
      <c r="A191" s="67"/>
      <c r="B191" s="72"/>
      <c r="C191" s="72"/>
      <c r="D191" s="72"/>
      <c r="E191" s="73"/>
      <c r="F191" s="70"/>
      <c r="G191" s="71"/>
      <c r="H191" s="72"/>
      <c r="I191" s="73"/>
      <c r="J191" s="71"/>
      <c r="K191" s="71"/>
      <c r="L191" s="72"/>
      <c r="M191" s="74"/>
      <c r="N191" s="74"/>
      <c r="P191" s="75"/>
      <c r="Q191" s="67"/>
      <c r="R191" s="75"/>
      <c r="S191" s="75"/>
    </row>
    <row r="192" spans="1:19" ht="13.5" customHeight="1" x14ac:dyDescent="0.2">
      <c r="A192" s="67"/>
      <c r="B192" s="72"/>
      <c r="C192" s="72"/>
      <c r="D192" s="72"/>
      <c r="E192" s="73"/>
      <c r="F192" s="70"/>
      <c r="G192" s="71"/>
      <c r="H192" s="72"/>
      <c r="I192" s="73"/>
      <c r="J192" s="71"/>
      <c r="K192" s="71"/>
      <c r="L192" s="72"/>
      <c r="M192" s="74"/>
      <c r="N192" s="74"/>
      <c r="P192" s="75"/>
      <c r="Q192" s="67"/>
      <c r="R192" s="75"/>
      <c r="S192" s="75"/>
    </row>
    <row r="193" spans="1:19" ht="13.5" customHeight="1" x14ac:dyDescent="0.2">
      <c r="A193" s="67"/>
      <c r="B193" s="72"/>
      <c r="C193" s="72"/>
      <c r="D193" s="72"/>
      <c r="E193" s="73"/>
      <c r="F193" s="70"/>
      <c r="G193" s="71"/>
      <c r="H193" s="72"/>
      <c r="I193" s="73"/>
      <c r="J193" s="71"/>
      <c r="K193" s="71"/>
      <c r="L193" s="72"/>
      <c r="M193" s="74"/>
      <c r="N193" s="74"/>
      <c r="P193" s="75"/>
      <c r="Q193" s="67"/>
      <c r="R193" s="75"/>
      <c r="S193" s="75"/>
    </row>
    <row r="194" spans="1:19" ht="13.5" customHeight="1" x14ac:dyDescent="0.2">
      <c r="A194" s="67"/>
      <c r="B194" s="72"/>
      <c r="C194" s="72"/>
      <c r="D194" s="72"/>
      <c r="E194" s="73"/>
      <c r="F194" s="70"/>
      <c r="G194" s="71"/>
      <c r="H194" s="72"/>
      <c r="I194" s="73"/>
      <c r="J194" s="71"/>
      <c r="K194" s="71"/>
      <c r="L194" s="72"/>
      <c r="M194" s="74"/>
      <c r="N194" s="74"/>
      <c r="P194" s="75"/>
      <c r="Q194" s="67"/>
      <c r="R194" s="75"/>
      <c r="S194" s="75"/>
    </row>
    <row r="195" spans="1:19" ht="13.5" customHeight="1" x14ac:dyDescent="0.2">
      <c r="A195" s="67"/>
      <c r="B195" s="72"/>
      <c r="C195" s="72"/>
      <c r="D195" s="72"/>
      <c r="E195" s="73"/>
      <c r="F195" s="70"/>
      <c r="G195" s="71"/>
      <c r="H195" s="72"/>
      <c r="I195" s="73"/>
      <c r="J195" s="71"/>
      <c r="K195" s="71"/>
      <c r="L195" s="72"/>
      <c r="M195" s="74"/>
      <c r="N195" s="74"/>
      <c r="P195" s="75"/>
      <c r="Q195" s="67"/>
      <c r="R195" s="75"/>
      <c r="S195" s="75"/>
    </row>
    <row r="196" spans="1:19" ht="13.5" customHeight="1" x14ac:dyDescent="0.2">
      <c r="A196" s="67"/>
      <c r="B196" s="72"/>
      <c r="C196" s="72"/>
      <c r="D196" s="72"/>
      <c r="E196" s="73"/>
      <c r="F196" s="70"/>
      <c r="G196" s="71"/>
      <c r="H196" s="72"/>
      <c r="I196" s="73"/>
      <c r="J196" s="71"/>
      <c r="K196" s="71"/>
      <c r="L196" s="72"/>
      <c r="M196" s="74"/>
      <c r="N196" s="74"/>
      <c r="P196" s="75"/>
      <c r="Q196" s="67"/>
      <c r="R196" s="75"/>
      <c r="S196" s="75"/>
    </row>
    <row r="197" spans="1:19" ht="13.5" customHeight="1" x14ac:dyDescent="0.2">
      <c r="A197" s="67"/>
      <c r="B197" s="72"/>
      <c r="C197" s="72"/>
      <c r="D197" s="72"/>
      <c r="E197" s="73"/>
      <c r="F197" s="70"/>
      <c r="G197" s="71"/>
      <c r="H197" s="72"/>
      <c r="I197" s="73"/>
      <c r="J197" s="71"/>
      <c r="K197" s="71"/>
      <c r="L197" s="72"/>
      <c r="M197" s="74"/>
      <c r="N197" s="74"/>
      <c r="P197" s="75"/>
      <c r="Q197" s="67"/>
      <c r="R197" s="75"/>
      <c r="S197" s="75"/>
    </row>
    <row r="198" spans="1:19" ht="13.5" customHeight="1" x14ac:dyDescent="0.2">
      <c r="A198" s="67"/>
      <c r="B198" s="72"/>
      <c r="C198" s="72"/>
      <c r="D198" s="72"/>
      <c r="E198" s="73"/>
      <c r="F198" s="70"/>
      <c r="G198" s="71"/>
      <c r="H198" s="72"/>
      <c r="I198" s="73"/>
      <c r="J198" s="71"/>
      <c r="K198" s="71"/>
      <c r="L198" s="72"/>
      <c r="M198" s="74"/>
      <c r="N198" s="74"/>
      <c r="P198" s="75"/>
      <c r="Q198" s="67"/>
      <c r="R198" s="75"/>
      <c r="S198" s="75"/>
    </row>
    <row r="199" spans="1:19" ht="13.5" customHeight="1" x14ac:dyDescent="0.2">
      <c r="A199" s="67"/>
      <c r="B199" s="72"/>
      <c r="C199" s="72"/>
      <c r="D199" s="72"/>
      <c r="E199" s="73"/>
      <c r="F199" s="70"/>
      <c r="G199" s="71"/>
      <c r="H199" s="72"/>
      <c r="I199" s="73"/>
      <c r="J199" s="71"/>
      <c r="K199" s="71"/>
      <c r="L199" s="72"/>
      <c r="M199" s="74"/>
      <c r="N199" s="74"/>
      <c r="P199" s="75"/>
      <c r="Q199" s="67"/>
      <c r="R199" s="75"/>
      <c r="S199" s="75"/>
    </row>
    <row r="200" spans="1:19" ht="13.5" customHeight="1" x14ac:dyDescent="0.2">
      <c r="A200" s="67"/>
      <c r="B200" s="72"/>
      <c r="C200" s="72"/>
      <c r="D200" s="72"/>
      <c r="E200" s="73"/>
      <c r="F200" s="70"/>
      <c r="G200" s="71"/>
      <c r="H200" s="72"/>
      <c r="I200" s="73"/>
      <c r="J200" s="71"/>
      <c r="K200" s="71"/>
      <c r="L200" s="72"/>
      <c r="M200" s="74"/>
      <c r="N200" s="74"/>
      <c r="P200" s="75"/>
      <c r="Q200" s="67"/>
      <c r="R200" s="75"/>
      <c r="S200" s="75"/>
    </row>
    <row r="201" spans="1:19" ht="13.5" customHeight="1" x14ac:dyDescent="0.2">
      <c r="A201" s="67"/>
      <c r="B201" s="72"/>
      <c r="C201" s="72"/>
      <c r="D201" s="72"/>
      <c r="E201" s="73"/>
      <c r="F201" s="70"/>
      <c r="G201" s="71"/>
      <c r="H201" s="72"/>
      <c r="I201" s="73"/>
      <c r="J201" s="71"/>
      <c r="K201" s="71"/>
      <c r="L201" s="72"/>
      <c r="M201" s="74"/>
      <c r="N201" s="74"/>
      <c r="P201" s="75"/>
      <c r="Q201" s="67"/>
      <c r="R201" s="75"/>
      <c r="S201" s="75"/>
    </row>
    <row r="202" spans="1:19" ht="13.5" customHeight="1" x14ac:dyDescent="0.2">
      <c r="A202" s="67"/>
      <c r="B202" s="72"/>
      <c r="C202" s="72"/>
      <c r="D202" s="72"/>
      <c r="E202" s="73"/>
      <c r="F202" s="70"/>
      <c r="G202" s="71"/>
      <c r="H202" s="72"/>
      <c r="I202" s="73"/>
      <c r="J202" s="71"/>
      <c r="K202" s="71"/>
      <c r="L202" s="72"/>
      <c r="M202" s="74"/>
      <c r="N202" s="74"/>
      <c r="P202" s="75"/>
      <c r="Q202" s="67"/>
      <c r="R202" s="75"/>
      <c r="S202" s="75"/>
    </row>
    <row r="203" spans="1:19" ht="13.5" customHeight="1" x14ac:dyDescent="0.2">
      <c r="A203" s="67"/>
      <c r="B203" s="72"/>
      <c r="C203" s="72"/>
      <c r="D203" s="72"/>
      <c r="E203" s="73"/>
      <c r="F203" s="70"/>
      <c r="G203" s="71"/>
      <c r="H203" s="72"/>
      <c r="I203" s="73"/>
      <c r="J203" s="71"/>
      <c r="K203" s="71"/>
      <c r="L203" s="72"/>
      <c r="M203" s="74"/>
      <c r="N203" s="74"/>
      <c r="P203" s="75"/>
      <c r="Q203" s="67"/>
      <c r="R203" s="75"/>
      <c r="S203" s="75"/>
    </row>
    <row r="204" spans="1:19" ht="13.5" customHeight="1" x14ac:dyDescent="0.2">
      <c r="A204" s="67"/>
      <c r="B204" s="72"/>
      <c r="C204" s="72"/>
      <c r="D204" s="72"/>
      <c r="E204" s="73"/>
      <c r="F204" s="70"/>
      <c r="G204" s="71"/>
      <c r="H204" s="72"/>
      <c r="I204" s="73"/>
      <c r="J204" s="71"/>
      <c r="K204" s="71"/>
      <c r="L204" s="72"/>
      <c r="M204" s="74"/>
      <c r="N204" s="74"/>
      <c r="P204" s="75"/>
      <c r="Q204" s="67"/>
      <c r="R204" s="75"/>
      <c r="S204" s="75"/>
    </row>
    <row r="205" spans="1:19" ht="13.5" customHeight="1" x14ac:dyDescent="0.2">
      <c r="A205" s="67"/>
      <c r="B205" s="72"/>
      <c r="C205" s="72"/>
      <c r="D205" s="72"/>
      <c r="E205" s="73"/>
      <c r="F205" s="70"/>
      <c r="G205" s="71"/>
      <c r="H205" s="72"/>
      <c r="I205" s="73"/>
      <c r="J205" s="71"/>
      <c r="K205" s="71"/>
      <c r="L205" s="72"/>
      <c r="M205" s="74"/>
      <c r="N205" s="74"/>
      <c r="P205" s="75"/>
      <c r="Q205" s="67"/>
      <c r="R205" s="75"/>
      <c r="S205" s="75"/>
    </row>
    <row r="206" spans="1:19" ht="13.5" customHeight="1" x14ac:dyDescent="0.2">
      <c r="A206" s="67"/>
      <c r="B206" s="72"/>
      <c r="C206" s="72"/>
      <c r="D206" s="72"/>
      <c r="E206" s="73"/>
      <c r="F206" s="70"/>
      <c r="G206" s="71"/>
      <c r="H206" s="72"/>
      <c r="I206" s="73"/>
      <c r="J206" s="71"/>
      <c r="K206" s="71"/>
      <c r="L206" s="72"/>
      <c r="M206" s="74"/>
      <c r="N206" s="74"/>
      <c r="P206" s="75"/>
      <c r="Q206" s="67"/>
      <c r="R206" s="75"/>
      <c r="S206" s="75"/>
    </row>
    <row r="207" spans="1:19" ht="13.5" customHeight="1" x14ac:dyDescent="0.2">
      <c r="A207" s="67"/>
      <c r="B207" s="72"/>
      <c r="C207" s="72"/>
      <c r="D207" s="72"/>
      <c r="E207" s="73"/>
      <c r="F207" s="70"/>
      <c r="G207" s="71"/>
      <c r="H207" s="72"/>
      <c r="I207" s="73"/>
      <c r="J207" s="71"/>
      <c r="K207" s="71"/>
      <c r="L207" s="72"/>
      <c r="M207" s="74"/>
      <c r="N207" s="74"/>
      <c r="P207" s="75"/>
      <c r="Q207" s="67"/>
      <c r="R207" s="75"/>
      <c r="S207" s="75"/>
    </row>
    <row r="208" spans="1:19" ht="13.5" customHeight="1" x14ac:dyDescent="0.2">
      <c r="A208" s="67"/>
      <c r="B208" s="72"/>
      <c r="C208" s="72"/>
      <c r="D208" s="72"/>
      <c r="E208" s="73"/>
      <c r="F208" s="70"/>
      <c r="G208" s="71"/>
      <c r="H208" s="72"/>
      <c r="I208" s="73"/>
      <c r="J208" s="71"/>
      <c r="K208" s="71"/>
      <c r="L208" s="72"/>
      <c r="M208" s="74"/>
      <c r="N208" s="74"/>
      <c r="P208" s="75"/>
      <c r="Q208" s="67"/>
      <c r="R208" s="75"/>
      <c r="S208" s="75"/>
    </row>
    <row r="209" spans="1:19" ht="13.5" customHeight="1" x14ac:dyDescent="0.2">
      <c r="A209" s="67"/>
      <c r="B209" s="72"/>
      <c r="C209" s="72"/>
      <c r="D209" s="72"/>
      <c r="E209" s="73"/>
      <c r="F209" s="70"/>
      <c r="G209" s="71"/>
      <c r="H209" s="72"/>
      <c r="I209" s="73"/>
      <c r="J209" s="71"/>
      <c r="K209" s="71"/>
      <c r="L209" s="72"/>
      <c r="M209" s="74"/>
      <c r="N209" s="74"/>
      <c r="P209" s="75"/>
      <c r="Q209" s="67"/>
      <c r="R209" s="75"/>
      <c r="S209" s="75"/>
    </row>
    <row r="210" spans="1:19" ht="13.5" customHeight="1" x14ac:dyDescent="0.2">
      <c r="A210" s="67"/>
      <c r="B210" s="72"/>
      <c r="C210" s="72"/>
      <c r="D210" s="72"/>
      <c r="E210" s="73"/>
      <c r="F210" s="70"/>
      <c r="G210" s="71"/>
      <c r="H210" s="72"/>
      <c r="I210" s="73"/>
      <c r="J210" s="71"/>
      <c r="K210" s="71"/>
      <c r="L210" s="72"/>
      <c r="M210" s="74"/>
      <c r="N210" s="74"/>
      <c r="P210" s="75"/>
      <c r="Q210" s="67"/>
      <c r="R210" s="75"/>
      <c r="S210" s="75"/>
    </row>
    <row r="211" spans="1:19" ht="13.5" customHeight="1" x14ac:dyDescent="0.2">
      <c r="A211" s="67"/>
      <c r="B211" s="72"/>
      <c r="C211" s="72"/>
      <c r="D211" s="72"/>
      <c r="E211" s="73"/>
      <c r="F211" s="70"/>
      <c r="G211" s="71"/>
      <c r="H211" s="72"/>
      <c r="I211" s="73"/>
      <c r="J211" s="71"/>
      <c r="K211" s="71"/>
      <c r="L211" s="72"/>
      <c r="M211" s="74"/>
      <c r="N211" s="74"/>
      <c r="P211" s="75"/>
      <c r="Q211" s="67"/>
      <c r="R211" s="75"/>
      <c r="S211" s="75"/>
    </row>
    <row r="212" spans="1:19" ht="13.5" customHeight="1" x14ac:dyDescent="0.2">
      <c r="A212" s="67"/>
      <c r="B212" s="72"/>
      <c r="C212" s="72"/>
      <c r="D212" s="72"/>
      <c r="E212" s="73"/>
      <c r="F212" s="70"/>
      <c r="G212" s="71"/>
      <c r="H212" s="72"/>
      <c r="I212" s="73"/>
      <c r="J212" s="71"/>
      <c r="K212" s="71"/>
      <c r="L212" s="72"/>
      <c r="M212" s="74"/>
      <c r="N212" s="74"/>
      <c r="P212" s="75"/>
      <c r="Q212" s="67"/>
      <c r="R212" s="75"/>
      <c r="S212" s="75"/>
    </row>
    <row r="213" spans="1:19" ht="13.5" customHeight="1" x14ac:dyDescent="0.2">
      <c r="A213" s="67"/>
      <c r="B213" s="72"/>
      <c r="C213" s="72"/>
      <c r="D213" s="72"/>
      <c r="E213" s="73"/>
      <c r="F213" s="70"/>
      <c r="G213" s="71"/>
      <c r="H213" s="72"/>
      <c r="I213" s="73"/>
      <c r="J213" s="71"/>
      <c r="K213" s="71"/>
      <c r="L213" s="72"/>
      <c r="M213" s="74"/>
      <c r="N213" s="74"/>
      <c r="P213" s="75"/>
      <c r="Q213" s="67"/>
      <c r="R213" s="75"/>
      <c r="S213" s="75"/>
    </row>
    <row r="214" spans="1:19" ht="13.5" customHeight="1" x14ac:dyDescent="0.2">
      <c r="A214" s="67"/>
      <c r="B214" s="72"/>
      <c r="C214" s="72"/>
      <c r="D214" s="72"/>
      <c r="E214" s="73"/>
      <c r="F214" s="70"/>
      <c r="G214" s="71"/>
      <c r="H214" s="72"/>
      <c r="I214" s="73"/>
      <c r="J214" s="71"/>
      <c r="K214" s="71"/>
      <c r="L214" s="72"/>
      <c r="M214" s="74"/>
      <c r="N214" s="74"/>
      <c r="P214" s="75"/>
      <c r="Q214" s="67"/>
      <c r="R214" s="75"/>
      <c r="S214" s="75"/>
    </row>
    <row r="215" spans="1:19" ht="13.5" customHeight="1" x14ac:dyDescent="0.2">
      <c r="A215" s="67"/>
      <c r="B215" s="72"/>
      <c r="C215" s="72"/>
      <c r="D215" s="72"/>
      <c r="E215" s="73"/>
      <c r="F215" s="70"/>
      <c r="G215" s="71"/>
      <c r="H215" s="72"/>
      <c r="I215" s="73"/>
      <c r="J215" s="71"/>
      <c r="K215" s="71"/>
      <c r="L215" s="72"/>
      <c r="M215" s="74"/>
      <c r="N215" s="74"/>
      <c r="P215" s="75"/>
      <c r="Q215" s="67"/>
      <c r="R215" s="75"/>
      <c r="S215" s="75"/>
    </row>
    <row r="216" spans="1:19" ht="13.5" customHeight="1" x14ac:dyDescent="0.2">
      <c r="A216" s="67"/>
      <c r="B216" s="72"/>
      <c r="C216" s="72"/>
      <c r="D216" s="72"/>
      <c r="E216" s="73"/>
      <c r="F216" s="70"/>
      <c r="G216" s="71"/>
      <c r="H216" s="72"/>
      <c r="I216" s="73"/>
      <c r="J216" s="71"/>
      <c r="K216" s="71"/>
      <c r="L216" s="72"/>
      <c r="M216" s="74"/>
      <c r="N216" s="74"/>
      <c r="P216" s="75"/>
      <c r="Q216" s="67"/>
      <c r="R216" s="75"/>
      <c r="S216" s="75"/>
    </row>
    <row r="217" spans="1:19" ht="13.5" customHeight="1" x14ac:dyDescent="0.2">
      <c r="A217" s="67"/>
      <c r="B217" s="72"/>
      <c r="C217" s="72"/>
      <c r="D217" s="72"/>
      <c r="E217" s="73"/>
      <c r="F217" s="70"/>
      <c r="G217" s="71"/>
      <c r="H217" s="72"/>
      <c r="I217" s="73"/>
      <c r="J217" s="71"/>
      <c r="K217" s="71"/>
      <c r="L217" s="72"/>
      <c r="M217" s="74"/>
      <c r="N217" s="74"/>
      <c r="P217" s="75"/>
      <c r="Q217" s="67"/>
      <c r="R217" s="75"/>
      <c r="S217" s="75"/>
    </row>
    <row r="218" spans="1:19" ht="13.5" customHeight="1" x14ac:dyDescent="0.2">
      <c r="A218" s="67"/>
      <c r="B218" s="72"/>
      <c r="C218" s="72"/>
      <c r="D218" s="72"/>
      <c r="E218" s="73"/>
      <c r="F218" s="70"/>
      <c r="G218" s="71"/>
      <c r="H218" s="72"/>
      <c r="I218" s="73"/>
      <c r="J218" s="71"/>
      <c r="K218" s="71"/>
      <c r="L218" s="72"/>
      <c r="M218" s="74"/>
      <c r="N218" s="74"/>
      <c r="P218" s="75"/>
      <c r="Q218" s="67"/>
      <c r="R218" s="75"/>
      <c r="S218" s="75"/>
    </row>
    <row r="219" spans="1:19" ht="13.5" customHeight="1" x14ac:dyDescent="0.2">
      <c r="A219" s="67"/>
      <c r="B219" s="72"/>
      <c r="C219" s="72"/>
      <c r="D219" s="72"/>
      <c r="E219" s="73"/>
      <c r="F219" s="70"/>
      <c r="G219" s="71"/>
      <c r="H219" s="72"/>
      <c r="I219" s="73"/>
      <c r="J219" s="71"/>
      <c r="K219" s="71"/>
      <c r="L219" s="72"/>
      <c r="M219" s="74"/>
      <c r="N219" s="74"/>
      <c r="P219" s="75"/>
      <c r="Q219" s="67"/>
      <c r="R219" s="75"/>
      <c r="S219" s="75"/>
    </row>
    <row r="220" spans="1:19" ht="13.5" customHeight="1" x14ac:dyDescent="0.2">
      <c r="A220" s="67"/>
      <c r="B220" s="72"/>
      <c r="C220" s="72"/>
      <c r="D220" s="72"/>
      <c r="E220" s="73"/>
      <c r="F220" s="70"/>
      <c r="G220" s="71"/>
      <c r="H220" s="72"/>
      <c r="I220" s="73"/>
      <c r="J220" s="71"/>
      <c r="K220" s="71"/>
      <c r="L220" s="72"/>
      <c r="M220" s="74"/>
      <c r="N220" s="74"/>
      <c r="P220" s="75"/>
      <c r="Q220" s="67"/>
      <c r="R220" s="75"/>
      <c r="S220" s="75"/>
    </row>
    <row r="221" spans="1:19" ht="13.5" customHeight="1" x14ac:dyDescent="0.2">
      <c r="A221" s="67"/>
      <c r="B221" s="72"/>
      <c r="C221" s="72"/>
      <c r="D221" s="72"/>
      <c r="E221" s="73"/>
      <c r="F221" s="70"/>
      <c r="G221" s="71"/>
      <c r="H221" s="72"/>
      <c r="I221" s="73"/>
      <c r="J221" s="71"/>
      <c r="K221" s="71"/>
      <c r="L221" s="72"/>
      <c r="M221" s="74"/>
      <c r="N221" s="74"/>
      <c r="P221" s="75"/>
      <c r="Q221" s="67"/>
      <c r="R221" s="75"/>
      <c r="S221" s="75"/>
    </row>
    <row r="222" spans="1:19" ht="13.5" customHeight="1" x14ac:dyDescent="0.2">
      <c r="A222" s="67"/>
      <c r="B222" s="72"/>
      <c r="C222" s="72"/>
      <c r="D222" s="72"/>
      <c r="E222" s="73"/>
      <c r="F222" s="70"/>
      <c r="G222" s="71"/>
      <c r="H222" s="72"/>
      <c r="I222" s="73"/>
      <c r="J222" s="71"/>
      <c r="K222" s="71"/>
      <c r="L222" s="72"/>
      <c r="M222" s="74"/>
      <c r="N222" s="74"/>
      <c r="P222" s="75"/>
      <c r="Q222" s="67"/>
      <c r="R222" s="75"/>
      <c r="S222" s="75"/>
    </row>
    <row r="223" spans="1:19" ht="13.5" customHeight="1" x14ac:dyDescent="0.2">
      <c r="A223" s="67"/>
      <c r="B223" s="72"/>
      <c r="C223" s="72"/>
      <c r="D223" s="72"/>
      <c r="E223" s="73"/>
      <c r="F223" s="70"/>
      <c r="G223" s="71"/>
      <c r="H223" s="72"/>
      <c r="I223" s="73"/>
      <c r="J223" s="71"/>
      <c r="K223" s="71"/>
      <c r="L223" s="72"/>
      <c r="M223" s="74"/>
      <c r="N223" s="74"/>
      <c r="P223" s="75"/>
      <c r="Q223" s="67"/>
      <c r="R223" s="75"/>
      <c r="S223" s="75"/>
    </row>
    <row r="224" spans="1:19" ht="13.5" customHeight="1" x14ac:dyDescent="0.2">
      <c r="A224" s="67"/>
      <c r="B224" s="72"/>
      <c r="C224" s="72"/>
      <c r="D224" s="72"/>
      <c r="E224" s="73"/>
      <c r="F224" s="70"/>
      <c r="G224" s="71"/>
      <c r="H224" s="72"/>
      <c r="I224" s="73"/>
      <c r="J224" s="71"/>
      <c r="K224" s="71"/>
      <c r="L224" s="72"/>
      <c r="M224" s="74"/>
      <c r="N224" s="74"/>
      <c r="P224" s="75"/>
      <c r="Q224" s="67"/>
      <c r="R224" s="75"/>
      <c r="S224" s="75"/>
    </row>
    <row r="225" spans="1:19" ht="13.5" customHeight="1" x14ac:dyDescent="0.2">
      <c r="A225" s="67"/>
      <c r="B225" s="72"/>
      <c r="C225" s="72"/>
      <c r="D225" s="72"/>
      <c r="E225" s="73"/>
      <c r="F225" s="70"/>
      <c r="G225" s="71"/>
      <c r="H225" s="72"/>
      <c r="I225" s="73"/>
      <c r="J225" s="71"/>
      <c r="K225" s="71"/>
      <c r="L225" s="72"/>
      <c r="M225" s="74"/>
      <c r="N225" s="74"/>
      <c r="P225" s="75"/>
      <c r="Q225" s="67"/>
      <c r="R225" s="75"/>
      <c r="S225" s="75"/>
    </row>
    <row r="226" spans="1:19" ht="13.5" customHeight="1" x14ac:dyDescent="0.2">
      <c r="A226" s="67"/>
      <c r="B226" s="72"/>
      <c r="C226" s="72"/>
      <c r="D226" s="72"/>
      <c r="E226" s="73"/>
      <c r="F226" s="70"/>
      <c r="G226" s="71"/>
      <c r="H226" s="72"/>
      <c r="I226" s="73"/>
      <c r="J226" s="71"/>
      <c r="K226" s="71"/>
      <c r="L226" s="72"/>
      <c r="M226" s="74"/>
      <c r="N226" s="74"/>
      <c r="P226" s="75"/>
      <c r="Q226" s="67"/>
      <c r="R226" s="75"/>
      <c r="S226" s="75"/>
    </row>
    <row r="227" spans="1:19" ht="13.5" customHeight="1" x14ac:dyDescent="0.2">
      <c r="A227" s="67"/>
      <c r="B227" s="72"/>
      <c r="C227" s="72"/>
      <c r="D227" s="72"/>
      <c r="E227" s="73"/>
      <c r="F227" s="70"/>
      <c r="G227" s="71"/>
      <c r="H227" s="72"/>
      <c r="I227" s="73"/>
      <c r="J227" s="71"/>
      <c r="K227" s="71"/>
      <c r="L227" s="72"/>
      <c r="M227" s="74"/>
      <c r="N227" s="74"/>
      <c r="P227" s="75"/>
      <c r="Q227" s="67"/>
      <c r="R227" s="75"/>
      <c r="S227" s="75"/>
    </row>
    <row r="228" spans="1:19" ht="13.5" customHeight="1" x14ac:dyDescent="0.2">
      <c r="A228" s="67"/>
      <c r="B228" s="72"/>
      <c r="C228" s="72"/>
      <c r="D228" s="72"/>
      <c r="E228" s="73"/>
      <c r="F228" s="70"/>
      <c r="G228" s="71"/>
      <c r="H228" s="72"/>
      <c r="I228" s="73"/>
      <c r="J228" s="71"/>
      <c r="K228" s="71"/>
      <c r="L228" s="72"/>
      <c r="M228" s="74"/>
      <c r="N228" s="74"/>
      <c r="P228" s="75"/>
      <c r="Q228" s="67"/>
      <c r="R228" s="75"/>
      <c r="S228" s="75"/>
    </row>
    <row r="229" spans="1:19" ht="13.5" customHeight="1" x14ac:dyDescent="0.2">
      <c r="A229" s="67"/>
      <c r="B229" s="72"/>
      <c r="C229" s="72"/>
      <c r="D229" s="72"/>
      <c r="E229" s="73"/>
      <c r="F229" s="70"/>
      <c r="G229" s="71"/>
      <c r="H229" s="72"/>
      <c r="I229" s="73"/>
      <c r="J229" s="71"/>
      <c r="K229" s="71"/>
      <c r="L229" s="72"/>
      <c r="M229" s="74"/>
      <c r="N229" s="74"/>
      <c r="P229" s="75"/>
      <c r="Q229" s="67"/>
      <c r="R229" s="75"/>
      <c r="S229" s="75"/>
    </row>
    <row r="230" spans="1:19" ht="13.5" customHeight="1" x14ac:dyDescent="0.2">
      <c r="A230" s="67"/>
      <c r="B230" s="72"/>
      <c r="C230" s="72"/>
      <c r="D230" s="72"/>
      <c r="E230" s="73"/>
      <c r="F230" s="70"/>
      <c r="G230" s="71"/>
      <c r="H230" s="72"/>
      <c r="I230" s="73"/>
      <c r="J230" s="71"/>
      <c r="K230" s="71"/>
      <c r="L230" s="72"/>
      <c r="M230" s="74"/>
      <c r="N230" s="74"/>
      <c r="P230" s="75"/>
      <c r="Q230" s="67"/>
      <c r="R230" s="75"/>
      <c r="S230" s="75"/>
    </row>
    <row r="231" spans="1:19" ht="13.5" customHeight="1" x14ac:dyDescent="0.2">
      <c r="A231" s="67"/>
      <c r="B231" s="72"/>
      <c r="C231" s="72"/>
      <c r="D231" s="72"/>
      <c r="E231" s="73"/>
      <c r="F231" s="70"/>
      <c r="G231" s="71"/>
      <c r="H231" s="72"/>
      <c r="I231" s="73"/>
      <c r="J231" s="71"/>
      <c r="K231" s="71"/>
      <c r="L231" s="72"/>
      <c r="M231" s="74"/>
      <c r="N231" s="74"/>
      <c r="P231" s="75"/>
      <c r="Q231" s="67"/>
      <c r="R231" s="75"/>
      <c r="S231" s="75"/>
    </row>
    <row r="232" spans="1:19" ht="13.5" customHeight="1" x14ac:dyDescent="0.2">
      <c r="A232" s="67"/>
      <c r="B232" s="72"/>
      <c r="C232" s="72"/>
      <c r="D232" s="72"/>
      <c r="E232" s="73"/>
      <c r="F232" s="70"/>
      <c r="G232" s="71"/>
      <c r="H232" s="72"/>
      <c r="I232" s="73"/>
      <c r="J232" s="71"/>
      <c r="K232" s="71"/>
      <c r="L232" s="72"/>
      <c r="M232" s="74"/>
      <c r="N232" s="74"/>
      <c r="P232" s="75"/>
      <c r="Q232" s="67"/>
      <c r="R232" s="75"/>
      <c r="S232" s="75"/>
    </row>
    <row r="233" spans="1:19" ht="13.5" customHeight="1" x14ac:dyDescent="0.2">
      <c r="A233" s="67"/>
      <c r="B233" s="72"/>
      <c r="C233" s="72"/>
      <c r="D233" s="72"/>
      <c r="E233" s="73"/>
      <c r="F233" s="70"/>
      <c r="G233" s="71"/>
      <c r="H233" s="72"/>
      <c r="I233" s="73"/>
      <c r="J233" s="71"/>
      <c r="K233" s="71"/>
      <c r="L233" s="72"/>
      <c r="M233" s="74"/>
      <c r="N233" s="74"/>
      <c r="P233" s="75"/>
      <c r="Q233" s="67"/>
      <c r="R233" s="75"/>
      <c r="S233" s="75"/>
    </row>
    <row r="234" spans="1:19" ht="13.5" customHeight="1" x14ac:dyDescent="0.2">
      <c r="A234" s="67"/>
      <c r="B234" s="72"/>
      <c r="C234" s="72"/>
      <c r="D234" s="72"/>
      <c r="E234" s="73"/>
      <c r="F234" s="70"/>
      <c r="G234" s="71"/>
      <c r="H234" s="72"/>
      <c r="I234" s="73"/>
      <c r="J234" s="71"/>
      <c r="K234" s="71"/>
      <c r="L234" s="72"/>
      <c r="M234" s="74"/>
      <c r="N234" s="74"/>
      <c r="P234" s="75"/>
      <c r="Q234" s="67"/>
      <c r="R234" s="75"/>
      <c r="S234" s="75"/>
    </row>
    <row r="235" spans="1:19" ht="13.5" customHeight="1" x14ac:dyDescent="0.2">
      <c r="A235" s="67"/>
      <c r="B235" s="72"/>
      <c r="C235" s="72"/>
      <c r="D235" s="72"/>
      <c r="E235" s="73"/>
      <c r="F235" s="70"/>
      <c r="G235" s="71"/>
      <c r="H235" s="72"/>
      <c r="I235" s="73"/>
      <c r="J235" s="71"/>
      <c r="K235" s="71"/>
      <c r="L235" s="72"/>
      <c r="M235" s="74"/>
      <c r="N235" s="74"/>
      <c r="P235" s="75"/>
      <c r="Q235" s="67"/>
      <c r="R235" s="75"/>
      <c r="S235" s="75"/>
    </row>
    <row r="236" spans="1:19" ht="13.5" customHeight="1" x14ac:dyDescent="0.2">
      <c r="A236" s="67"/>
      <c r="B236" s="72"/>
      <c r="C236" s="72"/>
      <c r="D236" s="72"/>
      <c r="E236" s="73"/>
      <c r="F236" s="70"/>
      <c r="G236" s="71"/>
      <c r="H236" s="72"/>
      <c r="I236" s="73"/>
      <c r="J236" s="71"/>
      <c r="K236" s="71"/>
      <c r="L236" s="72"/>
      <c r="M236" s="74"/>
      <c r="N236" s="74"/>
      <c r="P236" s="75"/>
      <c r="Q236" s="67"/>
      <c r="R236" s="75"/>
      <c r="S236" s="75"/>
    </row>
    <row r="237" spans="1:19" ht="13.5" customHeight="1" x14ac:dyDescent="0.2">
      <c r="A237" s="67"/>
      <c r="B237" s="72"/>
      <c r="C237" s="72"/>
      <c r="D237" s="72"/>
      <c r="E237" s="73"/>
      <c r="F237" s="70"/>
      <c r="G237" s="71"/>
      <c r="H237" s="72"/>
      <c r="I237" s="73"/>
      <c r="J237" s="71"/>
      <c r="K237" s="71"/>
      <c r="L237" s="72"/>
      <c r="M237" s="74"/>
      <c r="N237" s="74"/>
      <c r="P237" s="75"/>
      <c r="Q237" s="67"/>
      <c r="R237" s="75"/>
      <c r="S237" s="75"/>
    </row>
    <row r="238" spans="1:19" ht="13.5" customHeight="1" x14ac:dyDescent="0.2">
      <c r="A238" s="67"/>
      <c r="B238" s="72"/>
      <c r="C238" s="72"/>
      <c r="D238" s="72"/>
      <c r="E238" s="73"/>
      <c r="F238" s="70"/>
      <c r="G238" s="71"/>
      <c r="H238" s="72"/>
      <c r="I238" s="73"/>
      <c r="J238" s="71"/>
      <c r="K238" s="71"/>
      <c r="L238" s="72"/>
      <c r="M238" s="74"/>
      <c r="N238" s="74"/>
      <c r="P238" s="75"/>
      <c r="Q238" s="67"/>
      <c r="R238" s="75"/>
      <c r="S238" s="75"/>
    </row>
    <row r="239" spans="1:19" ht="13.5" customHeight="1" x14ac:dyDescent="0.2">
      <c r="A239" s="67"/>
      <c r="B239" s="72"/>
      <c r="C239" s="72"/>
      <c r="D239" s="72"/>
      <c r="E239" s="73"/>
      <c r="F239" s="70"/>
      <c r="G239" s="71"/>
      <c r="H239" s="72"/>
      <c r="I239" s="73"/>
      <c r="J239" s="71"/>
      <c r="K239" s="71"/>
      <c r="L239" s="72"/>
      <c r="M239" s="74"/>
      <c r="N239" s="74"/>
      <c r="P239" s="75"/>
      <c r="Q239" s="67"/>
      <c r="R239" s="75"/>
      <c r="S239" s="75"/>
    </row>
    <row r="240" spans="1:19" ht="13.5" customHeight="1" x14ac:dyDescent="0.2">
      <c r="A240" s="67"/>
      <c r="B240" s="72"/>
      <c r="C240" s="72"/>
      <c r="D240" s="72"/>
      <c r="E240" s="73"/>
      <c r="F240" s="70"/>
      <c r="G240" s="71"/>
      <c r="H240" s="72"/>
      <c r="I240" s="73"/>
      <c r="J240" s="71"/>
      <c r="K240" s="71"/>
      <c r="L240" s="72"/>
      <c r="M240" s="74"/>
      <c r="N240" s="74"/>
      <c r="P240" s="75"/>
      <c r="Q240" s="67"/>
      <c r="R240" s="75"/>
      <c r="S240" s="75"/>
    </row>
    <row r="241" spans="1:19" ht="13.5" customHeight="1" x14ac:dyDescent="0.2">
      <c r="A241" s="67"/>
      <c r="B241" s="72"/>
      <c r="C241" s="72"/>
      <c r="D241" s="72"/>
      <c r="E241" s="73"/>
      <c r="F241" s="70"/>
      <c r="G241" s="71"/>
      <c r="H241" s="72"/>
      <c r="I241" s="73"/>
      <c r="J241" s="71"/>
      <c r="K241" s="71"/>
      <c r="L241" s="72"/>
      <c r="M241" s="74"/>
      <c r="N241" s="74"/>
      <c r="P241" s="75"/>
      <c r="Q241" s="67"/>
      <c r="R241" s="75"/>
      <c r="S241" s="75"/>
    </row>
    <row r="242" spans="1:19" ht="13.5" customHeight="1" x14ac:dyDescent="0.2">
      <c r="A242" s="67"/>
      <c r="B242" s="72"/>
      <c r="C242" s="72"/>
      <c r="D242" s="72"/>
      <c r="E242" s="73"/>
      <c r="F242" s="70"/>
      <c r="G242" s="71"/>
      <c r="H242" s="72"/>
      <c r="I242" s="73"/>
      <c r="J242" s="71"/>
      <c r="K242" s="71"/>
      <c r="L242" s="72"/>
      <c r="M242" s="74"/>
      <c r="N242" s="74"/>
      <c r="P242" s="75"/>
      <c r="Q242" s="67"/>
      <c r="R242" s="75"/>
      <c r="S242" s="75"/>
    </row>
    <row r="243" spans="1:19" ht="13.5" customHeight="1" x14ac:dyDescent="0.2">
      <c r="A243" s="67"/>
      <c r="B243" s="72"/>
      <c r="C243" s="72"/>
      <c r="D243" s="72"/>
      <c r="E243" s="73"/>
      <c r="F243" s="70"/>
      <c r="G243" s="71"/>
      <c r="H243" s="72"/>
      <c r="I243" s="73"/>
      <c r="J243" s="71"/>
      <c r="K243" s="71"/>
      <c r="L243" s="72"/>
      <c r="M243" s="74"/>
      <c r="N243" s="74"/>
      <c r="P243" s="75"/>
      <c r="Q243" s="67"/>
      <c r="R243" s="75"/>
      <c r="S243" s="75"/>
    </row>
    <row r="244" spans="1:19" ht="13.5" customHeight="1" x14ac:dyDescent="0.2">
      <c r="A244" s="67"/>
      <c r="B244" s="72"/>
      <c r="C244" s="72"/>
      <c r="D244" s="72"/>
      <c r="E244" s="73"/>
      <c r="F244" s="70"/>
      <c r="G244" s="71"/>
      <c r="H244" s="72"/>
      <c r="I244" s="73"/>
      <c r="J244" s="71"/>
      <c r="K244" s="71"/>
      <c r="L244" s="72"/>
      <c r="M244" s="74"/>
      <c r="N244" s="74"/>
      <c r="P244" s="75"/>
      <c r="Q244" s="67"/>
      <c r="R244" s="75"/>
      <c r="S244" s="75"/>
    </row>
    <row r="245" spans="1:19" ht="13.5" customHeight="1" x14ac:dyDescent="0.2">
      <c r="A245" s="67"/>
      <c r="B245" s="72"/>
      <c r="C245" s="72"/>
      <c r="D245" s="72"/>
      <c r="E245" s="73"/>
      <c r="F245" s="70"/>
      <c r="G245" s="71"/>
      <c r="H245" s="72"/>
      <c r="I245" s="73"/>
      <c r="J245" s="71"/>
      <c r="K245" s="71"/>
      <c r="L245" s="72"/>
      <c r="M245" s="74"/>
      <c r="N245" s="74"/>
      <c r="P245" s="75"/>
      <c r="Q245" s="67"/>
      <c r="R245" s="75"/>
      <c r="S245" s="75"/>
    </row>
    <row r="246" spans="1:19" ht="13.5" customHeight="1" x14ac:dyDescent="0.2">
      <c r="A246" s="67"/>
      <c r="B246" s="72"/>
      <c r="C246" s="72"/>
      <c r="D246" s="72"/>
      <c r="E246" s="73"/>
      <c r="F246" s="70"/>
      <c r="G246" s="71"/>
      <c r="H246" s="72"/>
      <c r="I246" s="73"/>
      <c r="J246" s="71"/>
      <c r="K246" s="71"/>
      <c r="L246" s="72"/>
      <c r="M246" s="74"/>
      <c r="N246" s="74"/>
      <c r="P246" s="75"/>
      <c r="Q246" s="67"/>
      <c r="R246" s="75"/>
      <c r="S246" s="75"/>
    </row>
    <row r="247" spans="1:19" ht="13.5" customHeight="1" x14ac:dyDescent="0.2">
      <c r="A247" s="67"/>
      <c r="B247" s="72"/>
      <c r="C247" s="72"/>
      <c r="D247" s="72"/>
      <c r="E247" s="73"/>
      <c r="F247" s="70"/>
      <c r="G247" s="71"/>
      <c r="H247" s="72"/>
      <c r="I247" s="73"/>
      <c r="J247" s="71"/>
      <c r="K247" s="71"/>
      <c r="L247" s="72"/>
      <c r="M247" s="74"/>
      <c r="N247" s="74"/>
      <c r="P247" s="75"/>
      <c r="Q247" s="67"/>
      <c r="R247" s="75"/>
      <c r="S247" s="75"/>
    </row>
    <row r="248" spans="1:19" ht="13.5" customHeight="1" x14ac:dyDescent="0.2">
      <c r="A248" s="67"/>
      <c r="B248" s="72"/>
      <c r="C248" s="72"/>
      <c r="D248" s="72"/>
      <c r="E248" s="73"/>
      <c r="F248" s="70"/>
      <c r="G248" s="71"/>
      <c r="H248" s="72"/>
      <c r="I248" s="73"/>
      <c r="J248" s="71"/>
      <c r="K248" s="71"/>
      <c r="L248" s="72"/>
      <c r="M248" s="74"/>
      <c r="N248" s="74"/>
      <c r="P248" s="75"/>
      <c r="Q248" s="67"/>
      <c r="R248" s="75"/>
      <c r="S248" s="75"/>
    </row>
    <row r="249" spans="1:19" ht="13.5" customHeight="1" x14ac:dyDescent="0.2">
      <c r="A249" s="67"/>
      <c r="B249" s="72"/>
      <c r="C249" s="72"/>
      <c r="D249" s="72"/>
      <c r="E249" s="73"/>
      <c r="F249" s="70"/>
      <c r="G249" s="71"/>
      <c r="H249" s="72"/>
      <c r="I249" s="73"/>
      <c r="J249" s="71"/>
      <c r="K249" s="71"/>
      <c r="L249" s="72"/>
      <c r="M249" s="74"/>
      <c r="N249" s="74"/>
      <c r="P249" s="75"/>
      <c r="Q249" s="67"/>
      <c r="R249" s="75"/>
      <c r="S249" s="75"/>
    </row>
    <row r="250" spans="1:19" ht="13.5" customHeight="1" x14ac:dyDescent="0.2">
      <c r="A250" s="67"/>
      <c r="B250" s="72"/>
      <c r="C250" s="72"/>
      <c r="D250" s="72"/>
      <c r="E250" s="73"/>
      <c r="F250" s="70"/>
      <c r="G250" s="71"/>
      <c r="H250" s="72"/>
      <c r="I250" s="73"/>
      <c r="J250" s="71"/>
      <c r="K250" s="71"/>
      <c r="L250" s="72"/>
      <c r="M250" s="74"/>
      <c r="N250" s="74"/>
      <c r="P250" s="75"/>
      <c r="Q250" s="67"/>
      <c r="R250" s="75"/>
      <c r="S250" s="75"/>
    </row>
    <row r="251" spans="1:19" ht="13.5" customHeight="1" x14ac:dyDescent="0.2">
      <c r="A251" s="67"/>
      <c r="B251" s="72"/>
      <c r="C251" s="72"/>
      <c r="D251" s="72"/>
      <c r="E251" s="73"/>
      <c r="F251" s="70"/>
      <c r="G251" s="71"/>
      <c r="H251" s="72"/>
      <c r="I251" s="73"/>
      <c r="J251" s="71"/>
      <c r="K251" s="71"/>
      <c r="L251" s="72"/>
      <c r="M251" s="74"/>
      <c r="N251" s="74"/>
      <c r="P251" s="75"/>
      <c r="Q251" s="67"/>
      <c r="R251" s="75"/>
      <c r="S251" s="75"/>
    </row>
    <row r="252" spans="1:19" ht="13.5" customHeight="1" x14ac:dyDescent="0.2">
      <c r="A252" s="67"/>
      <c r="B252" s="72"/>
      <c r="C252" s="72"/>
      <c r="D252" s="72"/>
      <c r="E252" s="73"/>
      <c r="F252" s="70"/>
      <c r="G252" s="71"/>
      <c r="H252" s="72"/>
      <c r="I252" s="73"/>
      <c r="J252" s="71"/>
      <c r="K252" s="71"/>
      <c r="L252" s="72"/>
      <c r="M252" s="74"/>
      <c r="N252" s="74"/>
      <c r="P252" s="75"/>
      <c r="Q252" s="67"/>
      <c r="R252" s="75"/>
      <c r="S252" s="75"/>
    </row>
    <row r="253" spans="1:19" ht="13.5" customHeight="1" x14ac:dyDescent="0.2">
      <c r="A253" s="67"/>
      <c r="B253" s="72"/>
      <c r="C253" s="72"/>
      <c r="D253" s="72"/>
      <c r="E253" s="73"/>
      <c r="F253" s="70"/>
      <c r="G253" s="71"/>
      <c r="H253" s="72"/>
      <c r="I253" s="73"/>
      <c r="J253" s="71"/>
      <c r="K253" s="71"/>
      <c r="L253" s="72"/>
      <c r="M253" s="74"/>
      <c r="N253" s="74"/>
      <c r="P253" s="75"/>
      <c r="Q253" s="67"/>
      <c r="R253" s="75"/>
      <c r="S253" s="75"/>
    </row>
    <row r="254" spans="1:19" ht="13.5" customHeight="1" x14ac:dyDescent="0.2">
      <c r="A254" s="67"/>
      <c r="B254" s="72"/>
      <c r="C254" s="72"/>
      <c r="D254" s="72"/>
      <c r="E254" s="73"/>
      <c r="F254" s="70"/>
      <c r="G254" s="71"/>
      <c r="H254" s="72"/>
      <c r="I254" s="73"/>
      <c r="J254" s="71"/>
      <c r="K254" s="71"/>
      <c r="L254" s="72"/>
      <c r="M254" s="74"/>
      <c r="N254" s="74"/>
      <c r="P254" s="75"/>
      <c r="Q254" s="67"/>
      <c r="R254" s="75"/>
      <c r="S254" s="75"/>
    </row>
    <row r="255" spans="1:19" ht="15.75" customHeight="1" x14ac:dyDescent="0.2">
      <c r="A255" s="67"/>
      <c r="B255" s="72"/>
      <c r="C255" s="72"/>
      <c r="D255" s="72"/>
      <c r="E255" s="73"/>
      <c r="F255" s="70"/>
      <c r="G255" s="71"/>
      <c r="H255" s="72"/>
      <c r="I255" s="73"/>
      <c r="J255" s="71"/>
      <c r="K255" s="71"/>
      <c r="L255" s="72"/>
      <c r="M255" s="74"/>
      <c r="N255" s="74"/>
      <c r="P255" s="75"/>
      <c r="Q255" s="67"/>
      <c r="R255" s="75"/>
      <c r="S255" s="75"/>
    </row>
    <row r="256" spans="1:19" ht="15.75" customHeight="1" x14ac:dyDescent="0.2">
      <c r="A256" s="67"/>
      <c r="B256" s="72"/>
      <c r="C256" s="72"/>
      <c r="D256" s="72"/>
      <c r="E256" s="73"/>
      <c r="F256" s="70"/>
      <c r="G256" s="71"/>
      <c r="H256" s="72"/>
      <c r="I256" s="73"/>
      <c r="J256" s="71"/>
      <c r="K256" s="71"/>
      <c r="L256" s="72"/>
      <c r="M256" s="74"/>
      <c r="N256" s="74"/>
      <c r="P256" s="75"/>
      <c r="Q256" s="67"/>
      <c r="R256" s="75"/>
      <c r="S256" s="75"/>
    </row>
    <row r="257" spans="1:19" ht="15.75" customHeight="1" x14ac:dyDescent="0.2">
      <c r="A257" s="67"/>
      <c r="B257" s="72"/>
      <c r="C257" s="72"/>
      <c r="D257" s="72"/>
      <c r="E257" s="73"/>
      <c r="F257" s="70"/>
      <c r="G257" s="71"/>
      <c r="H257" s="72"/>
      <c r="I257" s="73"/>
      <c r="J257" s="71"/>
      <c r="K257" s="71"/>
      <c r="L257" s="72"/>
      <c r="M257" s="74"/>
      <c r="N257" s="74"/>
      <c r="P257" s="75"/>
      <c r="Q257" s="67"/>
      <c r="R257" s="75"/>
      <c r="S257" s="75"/>
    </row>
    <row r="258" spans="1:19" ht="15.75" customHeight="1" x14ac:dyDescent="0.2">
      <c r="A258" s="67"/>
      <c r="B258" s="72"/>
      <c r="C258" s="72"/>
      <c r="D258" s="72"/>
      <c r="E258" s="73"/>
      <c r="F258" s="70"/>
      <c r="G258" s="71"/>
      <c r="H258" s="72"/>
      <c r="I258" s="73"/>
      <c r="J258" s="71"/>
      <c r="K258" s="71"/>
      <c r="L258" s="72"/>
      <c r="M258" s="74"/>
      <c r="N258" s="74"/>
      <c r="P258" s="75"/>
      <c r="Q258" s="67"/>
      <c r="R258" s="75"/>
      <c r="S258" s="75"/>
    </row>
    <row r="259" spans="1:19" ht="15.75" customHeight="1" x14ac:dyDescent="0.2">
      <c r="A259" s="67"/>
      <c r="B259" s="72"/>
      <c r="C259" s="72"/>
      <c r="D259" s="72"/>
      <c r="E259" s="73"/>
      <c r="F259" s="70"/>
      <c r="G259" s="71"/>
      <c r="H259" s="72"/>
      <c r="I259" s="73"/>
      <c r="J259" s="71"/>
      <c r="K259" s="71"/>
      <c r="L259" s="72"/>
      <c r="M259" s="74"/>
      <c r="N259" s="74"/>
      <c r="P259" s="75"/>
      <c r="Q259" s="67"/>
      <c r="R259" s="75"/>
      <c r="S259" s="75"/>
    </row>
    <row r="260" spans="1:19" ht="15.75" customHeight="1" x14ac:dyDescent="0.2">
      <c r="A260" s="67"/>
      <c r="B260" s="72"/>
      <c r="C260" s="72"/>
      <c r="D260" s="72"/>
      <c r="E260" s="73"/>
      <c r="F260" s="70"/>
      <c r="G260" s="71"/>
      <c r="H260" s="72"/>
      <c r="I260" s="73"/>
      <c r="J260" s="71"/>
      <c r="K260" s="71"/>
      <c r="L260" s="72"/>
      <c r="M260" s="74"/>
      <c r="N260" s="74"/>
      <c r="P260" s="75"/>
      <c r="Q260" s="67"/>
      <c r="R260" s="75"/>
      <c r="S260" s="75"/>
    </row>
    <row r="261" spans="1:19" ht="15.75" customHeight="1" x14ac:dyDescent="0.2">
      <c r="A261" s="67"/>
      <c r="B261" s="72"/>
      <c r="C261" s="72"/>
      <c r="D261" s="72"/>
      <c r="E261" s="73"/>
      <c r="F261" s="70"/>
      <c r="G261" s="71"/>
      <c r="H261" s="72"/>
      <c r="I261" s="73"/>
      <c r="J261" s="71"/>
      <c r="K261" s="71"/>
      <c r="L261" s="72"/>
      <c r="M261" s="74"/>
      <c r="N261" s="74"/>
      <c r="P261" s="75"/>
      <c r="Q261" s="67"/>
      <c r="R261" s="75"/>
      <c r="S261" s="75"/>
    </row>
    <row r="262" spans="1:19" ht="15.75" customHeight="1" x14ac:dyDescent="0.2">
      <c r="A262" s="67"/>
      <c r="B262" s="72"/>
      <c r="C262" s="72"/>
      <c r="D262" s="72"/>
      <c r="E262" s="73"/>
      <c r="F262" s="70"/>
      <c r="G262" s="71"/>
      <c r="H262" s="72"/>
      <c r="I262" s="73"/>
      <c r="J262" s="71"/>
      <c r="K262" s="71"/>
      <c r="L262" s="72"/>
      <c r="M262" s="74"/>
      <c r="N262" s="74"/>
      <c r="P262" s="75"/>
      <c r="Q262" s="67"/>
      <c r="R262" s="75"/>
      <c r="S262" s="75"/>
    </row>
    <row r="263" spans="1:19" ht="15.75" customHeight="1" x14ac:dyDescent="0.2">
      <c r="A263" s="67"/>
      <c r="B263" s="72"/>
      <c r="C263" s="72"/>
      <c r="D263" s="72"/>
      <c r="E263" s="73"/>
      <c r="F263" s="70"/>
      <c r="G263" s="71"/>
      <c r="H263" s="72"/>
      <c r="I263" s="73"/>
      <c r="J263" s="71"/>
      <c r="K263" s="71"/>
      <c r="L263" s="72"/>
      <c r="M263" s="74"/>
      <c r="N263" s="74"/>
      <c r="P263" s="75"/>
      <c r="Q263" s="67"/>
      <c r="R263" s="75"/>
      <c r="S263" s="75"/>
    </row>
    <row r="264" spans="1:19" ht="15.75" customHeight="1" x14ac:dyDescent="0.2">
      <c r="A264" s="67"/>
      <c r="B264" s="72"/>
      <c r="C264" s="72"/>
      <c r="D264" s="72"/>
      <c r="E264" s="73"/>
      <c r="F264" s="70"/>
      <c r="G264" s="71"/>
      <c r="H264" s="72"/>
      <c r="I264" s="73"/>
      <c r="J264" s="71"/>
      <c r="K264" s="71"/>
      <c r="L264" s="72"/>
      <c r="M264" s="74"/>
      <c r="N264" s="74"/>
      <c r="P264" s="75"/>
      <c r="Q264" s="67"/>
      <c r="R264" s="75"/>
      <c r="S264" s="75"/>
    </row>
    <row r="265" spans="1:19" ht="15.75" customHeight="1" x14ac:dyDescent="0.2">
      <c r="A265" s="67"/>
      <c r="B265" s="72"/>
      <c r="C265" s="72"/>
      <c r="D265" s="72"/>
      <c r="E265" s="73"/>
      <c r="F265" s="70"/>
      <c r="G265" s="71"/>
      <c r="H265" s="72"/>
      <c r="I265" s="73"/>
      <c r="J265" s="71"/>
      <c r="K265" s="71"/>
      <c r="L265" s="72"/>
      <c r="M265" s="74"/>
      <c r="N265" s="74"/>
      <c r="P265" s="75"/>
      <c r="Q265" s="67"/>
      <c r="R265" s="75"/>
      <c r="S265" s="75"/>
    </row>
    <row r="266" spans="1:19" ht="15.75" customHeight="1" x14ac:dyDescent="0.2">
      <c r="A266" s="67"/>
      <c r="B266" s="72"/>
      <c r="C266" s="72"/>
      <c r="D266" s="72"/>
      <c r="E266" s="73"/>
      <c r="F266" s="70"/>
      <c r="G266" s="71"/>
      <c r="H266" s="72"/>
      <c r="I266" s="73"/>
      <c r="J266" s="71"/>
      <c r="K266" s="71"/>
      <c r="L266" s="72"/>
      <c r="M266" s="74"/>
      <c r="N266" s="74"/>
      <c r="P266" s="75"/>
      <c r="Q266" s="67"/>
      <c r="R266" s="75"/>
      <c r="S266" s="75"/>
    </row>
    <row r="267" spans="1:19" ht="15.75" customHeight="1" x14ac:dyDescent="0.2">
      <c r="A267" s="67"/>
      <c r="B267" s="72"/>
      <c r="C267" s="72"/>
      <c r="D267" s="72"/>
      <c r="E267" s="73"/>
      <c r="F267" s="70"/>
      <c r="G267" s="71"/>
      <c r="H267" s="72"/>
      <c r="I267" s="73"/>
      <c r="J267" s="71"/>
      <c r="K267" s="71"/>
      <c r="L267" s="72"/>
      <c r="M267" s="74"/>
      <c r="N267" s="74"/>
      <c r="P267" s="75"/>
      <c r="Q267" s="67"/>
      <c r="R267" s="75"/>
      <c r="S267" s="75"/>
    </row>
    <row r="268" spans="1:19" ht="15.75" customHeight="1" x14ac:dyDescent="0.2">
      <c r="A268" s="67"/>
      <c r="B268" s="72"/>
      <c r="C268" s="72"/>
      <c r="D268" s="72"/>
      <c r="E268" s="73"/>
      <c r="F268" s="70"/>
      <c r="G268" s="71"/>
      <c r="H268" s="72"/>
      <c r="I268" s="73"/>
      <c r="J268" s="71"/>
      <c r="K268" s="71"/>
      <c r="L268" s="72"/>
      <c r="M268" s="74"/>
      <c r="N268" s="74"/>
      <c r="P268" s="75"/>
      <c r="Q268" s="67"/>
      <c r="R268" s="75"/>
      <c r="S268" s="75"/>
    </row>
    <row r="269" spans="1:19" ht="15.75" customHeight="1" x14ac:dyDescent="0.2">
      <c r="A269" s="67"/>
      <c r="B269" s="72"/>
      <c r="C269" s="72"/>
      <c r="D269" s="72"/>
      <c r="E269" s="73"/>
      <c r="F269" s="70"/>
      <c r="G269" s="71"/>
      <c r="H269" s="72"/>
      <c r="I269" s="73"/>
      <c r="J269" s="71"/>
      <c r="K269" s="71"/>
      <c r="L269" s="72"/>
      <c r="M269" s="74"/>
      <c r="N269" s="74"/>
      <c r="P269" s="75"/>
      <c r="Q269" s="67"/>
      <c r="R269" s="75"/>
      <c r="S269" s="75"/>
    </row>
    <row r="270" spans="1:19" ht="15.75" customHeight="1" x14ac:dyDescent="0.2">
      <c r="A270" s="67"/>
      <c r="B270" s="72"/>
      <c r="C270" s="72"/>
      <c r="D270" s="72"/>
      <c r="E270" s="73"/>
      <c r="F270" s="70"/>
      <c r="G270" s="71"/>
      <c r="H270" s="72"/>
      <c r="I270" s="73"/>
      <c r="J270" s="71"/>
      <c r="K270" s="71"/>
      <c r="L270" s="72"/>
      <c r="M270" s="74"/>
      <c r="N270" s="74"/>
      <c r="P270" s="75"/>
      <c r="Q270" s="67"/>
      <c r="R270" s="75"/>
      <c r="S270" s="75"/>
    </row>
    <row r="271" spans="1:19" ht="15.75" customHeight="1" x14ac:dyDescent="0.2">
      <c r="A271" s="67"/>
      <c r="B271" s="72"/>
      <c r="C271" s="72"/>
      <c r="D271" s="72"/>
      <c r="E271" s="73"/>
      <c r="F271" s="70"/>
      <c r="G271" s="71"/>
      <c r="H271" s="72"/>
      <c r="I271" s="73"/>
      <c r="J271" s="71"/>
      <c r="K271" s="71"/>
      <c r="L271" s="72"/>
      <c r="M271" s="74"/>
      <c r="N271" s="74"/>
      <c r="P271" s="75"/>
      <c r="Q271" s="67"/>
      <c r="R271" s="75"/>
      <c r="S271" s="75"/>
    </row>
    <row r="272" spans="1:19" ht="15.75" customHeight="1" x14ac:dyDescent="0.2">
      <c r="A272" s="67"/>
      <c r="B272" s="72"/>
      <c r="C272" s="72"/>
      <c r="D272" s="72"/>
      <c r="E272" s="73"/>
      <c r="F272" s="70"/>
      <c r="G272" s="71"/>
      <c r="H272" s="72"/>
      <c r="I272" s="73"/>
      <c r="J272" s="71"/>
      <c r="K272" s="71"/>
      <c r="L272" s="72"/>
      <c r="M272" s="74"/>
      <c r="N272" s="74"/>
      <c r="P272" s="75"/>
      <c r="Q272" s="67"/>
      <c r="R272" s="75"/>
      <c r="S272" s="75"/>
    </row>
    <row r="273" spans="1:19" ht="15.75" customHeight="1" x14ac:dyDescent="0.2">
      <c r="A273" s="67"/>
      <c r="B273" s="72"/>
      <c r="C273" s="72"/>
      <c r="D273" s="72"/>
      <c r="E273" s="73"/>
      <c r="F273" s="70"/>
      <c r="G273" s="71"/>
      <c r="H273" s="72"/>
      <c r="I273" s="73"/>
      <c r="J273" s="71"/>
      <c r="K273" s="71"/>
      <c r="L273" s="72"/>
      <c r="M273" s="74"/>
      <c r="N273" s="74"/>
      <c r="P273" s="75"/>
      <c r="Q273" s="67"/>
      <c r="R273" s="75"/>
      <c r="S273" s="75"/>
    </row>
    <row r="274" spans="1:19" ht="15.75" customHeight="1" x14ac:dyDescent="0.2">
      <c r="A274" s="67"/>
      <c r="B274" s="72"/>
      <c r="C274" s="72"/>
      <c r="D274" s="72"/>
      <c r="E274" s="73"/>
      <c r="F274" s="70"/>
      <c r="G274" s="71"/>
      <c r="H274" s="72"/>
      <c r="I274" s="73"/>
      <c r="J274" s="71"/>
      <c r="K274" s="71"/>
      <c r="L274" s="72"/>
      <c r="M274" s="74"/>
      <c r="N274" s="74"/>
      <c r="P274" s="75"/>
      <c r="Q274" s="67"/>
      <c r="R274" s="75"/>
      <c r="S274" s="75"/>
    </row>
    <row r="275" spans="1:19" ht="15.75" customHeight="1" x14ac:dyDescent="0.2">
      <c r="A275" s="67"/>
      <c r="B275" s="72"/>
      <c r="C275" s="72"/>
      <c r="D275" s="72"/>
      <c r="E275" s="73"/>
      <c r="F275" s="70"/>
      <c r="G275" s="71"/>
      <c r="H275" s="72"/>
      <c r="I275" s="73"/>
      <c r="J275" s="71"/>
      <c r="K275" s="71"/>
      <c r="L275" s="72"/>
      <c r="M275" s="74"/>
      <c r="N275" s="74"/>
      <c r="P275" s="75"/>
      <c r="Q275" s="67"/>
      <c r="R275" s="75"/>
      <c r="S275" s="75"/>
    </row>
    <row r="276" spans="1:19" ht="15.75" customHeight="1" x14ac:dyDescent="0.2">
      <c r="A276" s="67"/>
      <c r="B276" s="72"/>
      <c r="C276" s="72"/>
      <c r="D276" s="72"/>
      <c r="E276" s="73"/>
      <c r="F276" s="70"/>
      <c r="G276" s="71"/>
      <c r="H276" s="72"/>
      <c r="I276" s="73"/>
      <c r="J276" s="71"/>
      <c r="K276" s="71"/>
      <c r="L276" s="72"/>
      <c r="M276" s="74"/>
      <c r="N276" s="74"/>
      <c r="P276" s="75"/>
      <c r="Q276" s="67"/>
      <c r="R276" s="75"/>
      <c r="S276" s="75"/>
    </row>
    <row r="277" spans="1:19" ht="15.75" customHeight="1" x14ac:dyDescent="0.2">
      <c r="A277" s="67"/>
      <c r="B277" s="72"/>
      <c r="C277" s="72"/>
      <c r="D277" s="72"/>
      <c r="E277" s="73"/>
      <c r="F277" s="70"/>
      <c r="G277" s="71"/>
      <c r="H277" s="72"/>
      <c r="I277" s="73"/>
      <c r="J277" s="71"/>
      <c r="K277" s="71"/>
      <c r="L277" s="72"/>
      <c r="M277" s="74"/>
      <c r="N277" s="74"/>
      <c r="P277" s="75"/>
      <c r="Q277" s="67"/>
      <c r="R277" s="75"/>
      <c r="S277" s="75"/>
    </row>
    <row r="278" spans="1:19" ht="15.75" customHeight="1" x14ac:dyDescent="0.2">
      <c r="A278" s="67"/>
      <c r="B278" s="72"/>
      <c r="C278" s="72"/>
      <c r="D278" s="72"/>
      <c r="E278" s="73"/>
      <c r="F278" s="70"/>
      <c r="G278" s="71"/>
      <c r="H278" s="72"/>
      <c r="I278" s="73"/>
      <c r="J278" s="71"/>
      <c r="K278" s="71"/>
      <c r="L278" s="72"/>
      <c r="M278" s="74"/>
      <c r="N278" s="74"/>
      <c r="P278" s="75"/>
      <c r="Q278" s="67"/>
      <c r="R278" s="75"/>
      <c r="S278" s="75"/>
    </row>
    <row r="279" spans="1:19" ht="15.75" customHeight="1" x14ac:dyDescent="0.2">
      <c r="A279" s="67"/>
      <c r="B279" s="72"/>
      <c r="C279" s="72"/>
      <c r="D279" s="72"/>
      <c r="E279" s="73"/>
      <c r="F279" s="70"/>
      <c r="G279" s="71"/>
      <c r="H279" s="72"/>
      <c r="I279" s="73"/>
      <c r="J279" s="71"/>
      <c r="K279" s="71"/>
      <c r="L279" s="72"/>
      <c r="M279" s="74"/>
      <c r="N279" s="74"/>
      <c r="P279" s="75"/>
      <c r="Q279" s="67"/>
      <c r="R279" s="75"/>
      <c r="S279" s="75"/>
    </row>
    <row r="280" spans="1:19" ht="15.75" customHeight="1" x14ac:dyDescent="0.2">
      <c r="A280" s="67"/>
      <c r="B280" s="72"/>
      <c r="C280" s="72"/>
      <c r="D280" s="72"/>
      <c r="E280" s="73"/>
      <c r="F280" s="70"/>
      <c r="G280" s="71"/>
      <c r="H280" s="72"/>
      <c r="I280" s="73"/>
      <c r="J280" s="71"/>
      <c r="K280" s="71"/>
      <c r="L280" s="72"/>
      <c r="M280" s="74"/>
      <c r="N280" s="74"/>
      <c r="P280" s="75"/>
      <c r="Q280" s="67"/>
      <c r="R280" s="75"/>
      <c r="S280" s="75"/>
    </row>
    <row r="281" spans="1:19" ht="15.75" customHeight="1" x14ac:dyDescent="0.2">
      <c r="A281" s="67"/>
      <c r="B281" s="72"/>
      <c r="C281" s="72"/>
      <c r="D281" s="72"/>
      <c r="E281" s="73"/>
      <c r="F281" s="70"/>
      <c r="G281" s="71"/>
      <c r="H281" s="72"/>
      <c r="I281" s="73"/>
      <c r="J281" s="71"/>
      <c r="K281" s="71"/>
      <c r="L281" s="72"/>
      <c r="M281" s="74"/>
      <c r="N281" s="74"/>
      <c r="P281" s="75"/>
      <c r="Q281" s="67"/>
      <c r="R281" s="75"/>
      <c r="S281" s="75"/>
    </row>
    <row r="282" spans="1:19" ht="15.75" customHeight="1" x14ac:dyDescent="0.2">
      <c r="A282" s="67"/>
      <c r="B282" s="72"/>
      <c r="C282" s="72"/>
      <c r="D282" s="72"/>
      <c r="E282" s="73"/>
      <c r="F282" s="70"/>
      <c r="G282" s="71"/>
      <c r="H282" s="72"/>
      <c r="I282" s="73"/>
      <c r="J282" s="71"/>
      <c r="K282" s="71"/>
      <c r="L282" s="72"/>
      <c r="M282" s="74"/>
      <c r="N282" s="74"/>
      <c r="P282" s="75"/>
      <c r="Q282" s="67"/>
      <c r="R282" s="75"/>
      <c r="S282" s="75"/>
    </row>
    <row r="283" spans="1:19" ht="15.75" customHeight="1" x14ac:dyDescent="0.2">
      <c r="A283" s="67"/>
      <c r="B283" s="72"/>
      <c r="C283" s="72"/>
      <c r="D283" s="72"/>
      <c r="E283" s="73"/>
      <c r="F283" s="70"/>
      <c r="G283" s="71"/>
      <c r="H283" s="72"/>
      <c r="I283" s="73"/>
      <c r="J283" s="71"/>
      <c r="K283" s="71"/>
      <c r="L283" s="72"/>
      <c r="M283" s="74"/>
      <c r="N283" s="74"/>
      <c r="P283" s="75"/>
      <c r="Q283" s="67"/>
      <c r="R283" s="75"/>
      <c r="S283" s="75"/>
    </row>
    <row r="284" spans="1:19" ht="15.75" customHeight="1" x14ac:dyDescent="0.2">
      <c r="A284" s="67"/>
      <c r="B284" s="72"/>
      <c r="C284" s="72"/>
      <c r="D284" s="72"/>
      <c r="E284" s="73"/>
      <c r="F284" s="70"/>
      <c r="G284" s="71"/>
      <c r="H284" s="72"/>
      <c r="I284" s="73"/>
      <c r="J284" s="71"/>
      <c r="K284" s="71"/>
      <c r="L284" s="72"/>
      <c r="M284" s="74"/>
      <c r="N284" s="74"/>
      <c r="P284" s="75"/>
      <c r="Q284" s="67"/>
      <c r="R284" s="75"/>
      <c r="S284" s="75"/>
    </row>
    <row r="285" spans="1:19" ht="15.75" customHeight="1" x14ac:dyDescent="0.2">
      <c r="A285" s="67"/>
      <c r="B285" s="72"/>
      <c r="C285" s="72"/>
      <c r="D285" s="72"/>
      <c r="E285" s="73"/>
      <c r="F285" s="70"/>
      <c r="G285" s="71"/>
      <c r="H285" s="72"/>
      <c r="I285" s="73"/>
      <c r="J285" s="71"/>
      <c r="K285" s="71"/>
      <c r="L285" s="72"/>
      <c r="M285" s="74"/>
      <c r="N285" s="74"/>
      <c r="P285" s="75"/>
      <c r="Q285" s="67"/>
      <c r="R285" s="75"/>
      <c r="S285" s="75"/>
    </row>
    <row r="286" spans="1:19" ht="15.75" customHeight="1" x14ac:dyDescent="0.2">
      <c r="A286" s="67"/>
      <c r="B286" s="72"/>
      <c r="C286" s="72"/>
      <c r="D286" s="72"/>
      <c r="E286" s="73"/>
      <c r="F286" s="70"/>
      <c r="G286" s="71"/>
      <c r="H286" s="72"/>
      <c r="I286" s="73"/>
      <c r="J286" s="71"/>
      <c r="K286" s="71"/>
      <c r="L286" s="72"/>
      <c r="M286" s="74"/>
      <c r="N286" s="74"/>
      <c r="P286" s="75"/>
      <c r="Q286" s="67"/>
      <c r="R286" s="75"/>
      <c r="S286" s="75"/>
    </row>
    <row r="287" spans="1:19" ht="15.75" customHeight="1" x14ac:dyDescent="0.2">
      <c r="A287" s="67"/>
      <c r="B287" s="72"/>
      <c r="C287" s="72"/>
      <c r="D287" s="72"/>
      <c r="E287" s="73"/>
      <c r="F287" s="70"/>
      <c r="G287" s="71"/>
      <c r="H287" s="72"/>
      <c r="I287" s="73"/>
      <c r="J287" s="71"/>
      <c r="K287" s="71"/>
      <c r="L287" s="72"/>
      <c r="M287" s="74"/>
      <c r="N287" s="74"/>
      <c r="P287" s="75"/>
      <c r="Q287" s="67"/>
      <c r="R287" s="75"/>
      <c r="S287" s="75"/>
    </row>
    <row r="288" spans="1:19" ht="15.75" customHeight="1" x14ac:dyDescent="0.2">
      <c r="A288" s="67"/>
      <c r="B288" s="72"/>
      <c r="C288" s="72"/>
      <c r="D288" s="72"/>
      <c r="E288" s="73"/>
      <c r="F288" s="70"/>
      <c r="G288" s="71"/>
      <c r="H288" s="72"/>
      <c r="I288" s="73"/>
      <c r="J288" s="71"/>
      <c r="K288" s="71"/>
      <c r="L288" s="72"/>
      <c r="M288" s="74"/>
      <c r="N288" s="74"/>
      <c r="P288" s="75"/>
      <c r="Q288" s="67"/>
      <c r="R288" s="75"/>
      <c r="S288" s="75"/>
    </row>
    <row r="289" spans="1:19" ht="15.75" customHeight="1" x14ac:dyDescent="0.2">
      <c r="A289" s="67"/>
      <c r="B289" s="72"/>
      <c r="C289" s="72"/>
      <c r="D289" s="72"/>
      <c r="E289" s="73"/>
      <c r="F289" s="70"/>
      <c r="G289" s="71"/>
      <c r="H289" s="72"/>
      <c r="I289" s="73"/>
      <c r="J289" s="71"/>
      <c r="K289" s="71"/>
      <c r="L289" s="72"/>
      <c r="M289" s="74"/>
      <c r="N289" s="74"/>
      <c r="P289" s="75"/>
      <c r="Q289" s="67"/>
      <c r="R289" s="75"/>
      <c r="S289" s="75"/>
    </row>
    <row r="290" spans="1:19" ht="15.75" customHeight="1" x14ac:dyDescent="0.2">
      <c r="A290" s="67"/>
      <c r="B290" s="72"/>
      <c r="C290" s="72"/>
      <c r="D290" s="72"/>
      <c r="E290" s="73"/>
      <c r="F290" s="70"/>
      <c r="G290" s="71"/>
      <c r="H290" s="72"/>
      <c r="I290" s="73"/>
      <c r="J290" s="71"/>
      <c r="K290" s="71"/>
      <c r="L290" s="72"/>
      <c r="M290" s="74"/>
      <c r="N290" s="74"/>
      <c r="P290" s="75"/>
      <c r="Q290" s="67"/>
      <c r="R290" s="75"/>
      <c r="S290" s="75"/>
    </row>
    <row r="291" spans="1:19" ht="15.75" customHeight="1" x14ac:dyDescent="0.2">
      <c r="A291" s="67"/>
      <c r="B291" s="72"/>
      <c r="C291" s="72"/>
      <c r="D291" s="72"/>
      <c r="E291" s="73"/>
      <c r="F291" s="70"/>
      <c r="G291" s="71"/>
      <c r="H291" s="72"/>
      <c r="I291" s="73"/>
      <c r="J291" s="71"/>
      <c r="K291" s="71"/>
      <c r="L291" s="72"/>
      <c r="M291" s="74"/>
      <c r="N291" s="74"/>
      <c r="P291" s="75"/>
      <c r="Q291" s="67"/>
      <c r="R291" s="75"/>
      <c r="S291" s="75"/>
    </row>
    <row r="292" spans="1:19" ht="15.75" customHeight="1" x14ac:dyDescent="0.2">
      <c r="A292" s="67"/>
      <c r="B292" s="72"/>
      <c r="C292" s="72"/>
      <c r="D292" s="72"/>
      <c r="E292" s="73"/>
      <c r="F292" s="70"/>
      <c r="G292" s="71"/>
      <c r="H292" s="72"/>
      <c r="I292" s="73"/>
      <c r="J292" s="71"/>
      <c r="K292" s="71"/>
      <c r="L292" s="72"/>
      <c r="M292" s="74"/>
      <c r="N292" s="74"/>
      <c r="P292" s="75"/>
      <c r="Q292" s="67"/>
      <c r="R292" s="75"/>
      <c r="S292" s="75"/>
    </row>
    <row r="293" spans="1:19" ht="15.75" customHeight="1" x14ac:dyDescent="0.2">
      <c r="A293" s="67"/>
      <c r="B293" s="72"/>
      <c r="C293" s="72"/>
      <c r="D293" s="72"/>
      <c r="E293" s="73"/>
      <c r="F293" s="70"/>
      <c r="G293" s="71"/>
      <c r="H293" s="72"/>
      <c r="I293" s="73"/>
      <c r="J293" s="71"/>
      <c r="K293" s="71"/>
      <c r="L293" s="72"/>
      <c r="M293" s="74"/>
      <c r="N293" s="74"/>
      <c r="P293" s="75"/>
      <c r="Q293" s="67"/>
      <c r="R293" s="75"/>
      <c r="S293" s="75"/>
    </row>
    <row r="294" spans="1:19" ht="13.5" customHeight="1" x14ac:dyDescent="0.2">
      <c r="F294" s="36"/>
      <c r="G294" s="67"/>
      <c r="I294" s="74"/>
    </row>
    <row r="295" spans="1:19" ht="13.5" customHeight="1" x14ac:dyDescent="0.2">
      <c r="F295" s="36"/>
      <c r="G295" s="67"/>
      <c r="I295" s="74"/>
    </row>
    <row r="296" spans="1:19" ht="13.5" customHeight="1" x14ac:dyDescent="0.2">
      <c r="F296" s="36"/>
      <c r="G296" s="67"/>
      <c r="I296" s="74"/>
    </row>
    <row r="297" spans="1:19" ht="13.5" customHeight="1" x14ac:dyDescent="0.2">
      <c r="F297" s="36"/>
      <c r="G297" s="67"/>
      <c r="I297" s="74"/>
    </row>
    <row r="298" spans="1:19" ht="13.5" customHeight="1" x14ac:dyDescent="0.2">
      <c r="F298" s="36"/>
      <c r="G298" s="67"/>
      <c r="I298" s="74"/>
    </row>
    <row r="299" spans="1:19" ht="13.5" customHeight="1" x14ac:dyDescent="0.2">
      <c r="F299" s="36"/>
      <c r="G299" s="67"/>
      <c r="I299" s="74"/>
    </row>
    <row r="300" spans="1:19" ht="13.5" customHeight="1" x14ac:dyDescent="0.2">
      <c r="F300" s="36"/>
      <c r="G300" s="67"/>
      <c r="I300" s="74"/>
    </row>
    <row r="301" spans="1:19" ht="13.5" customHeight="1" x14ac:dyDescent="0.2">
      <c r="F301" s="36"/>
      <c r="G301" s="67"/>
      <c r="I301" s="74"/>
    </row>
    <row r="302" spans="1:19" ht="13.5" customHeight="1" x14ac:dyDescent="0.2">
      <c r="F302" s="36"/>
      <c r="G302" s="67"/>
      <c r="I302" s="74"/>
    </row>
    <row r="303" spans="1:19" ht="13.5" customHeight="1" x14ac:dyDescent="0.2">
      <c r="F303" s="36"/>
      <c r="G303" s="67"/>
      <c r="I303" s="74"/>
    </row>
    <row r="304" spans="1:19" ht="13.5" customHeight="1" x14ac:dyDescent="0.2">
      <c r="F304" s="36"/>
      <c r="G304" s="67"/>
      <c r="I304" s="74"/>
    </row>
    <row r="305" spans="6:9" ht="13.5" customHeight="1" x14ac:dyDescent="0.2">
      <c r="F305" s="36"/>
      <c r="G305" s="67"/>
      <c r="I305" s="74"/>
    </row>
    <row r="306" spans="6:9" ht="13.5" customHeight="1" x14ac:dyDescent="0.2">
      <c r="F306" s="36"/>
      <c r="G306" s="67"/>
      <c r="I306" s="74"/>
    </row>
    <row r="307" spans="6:9" ht="13.5" customHeight="1" x14ac:dyDescent="0.2">
      <c r="F307" s="36"/>
      <c r="G307" s="67"/>
      <c r="I307" s="74"/>
    </row>
    <row r="308" spans="6:9" ht="13.5" customHeight="1" x14ac:dyDescent="0.2">
      <c r="F308" s="36"/>
      <c r="G308" s="67"/>
      <c r="I308" s="74"/>
    </row>
    <row r="309" spans="6:9" ht="13.5" customHeight="1" x14ac:dyDescent="0.2">
      <c r="F309" s="36"/>
      <c r="G309" s="67"/>
      <c r="I309" s="74"/>
    </row>
    <row r="310" spans="6:9" ht="13.5" customHeight="1" x14ac:dyDescent="0.2">
      <c r="F310" s="36"/>
      <c r="G310" s="67"/>
      <c r="I310" s="74"/>
    </row>
    <row r="311" spans="6:9" ht="13.5" customHeight="1" x14ac:dyDescent="0.2">
      <c r="F311" s="36"/>
      <c r="G311" s="67"/>
      <c r="I311" s="74"/>
    </row>
    <row r="312" spans="6:9" ht="13.5" customHeight="1" x14ac:dyDescent="0.2">
      <c r="F312" s="36"/>
      <c r="G312" s="67"/>
      <c r="I312" s="74"/>
    </row>
    <row r="313" spans="6:9" ht="13.5" customHeight="1" x14ac:dyDescent="0.2">
      <c r="F313" s="36"/>
      <c r="G313" s="67"/>
      <c r="I313" s="74"/>
    </row>
    <row r="314" spans="6:9" ht="13.5" customHeight="1" x14ac:dyDescent="0.2">
      <c r="F314" s="36"/>
      <c r="G314" s="67"/>
      <c r="I314" s="74"/>
    </row>
    <row r="315" spans="6:9" ht="13.5" customHeight="1" x14ac:dyDescent="0.2">
      <c r="F315" s="36"/>
      <c r="G315" s="67"/>
      <c r="I315" s="74"/>
    </row>
    <row r="316" spans="6:9" ht="13.5" customHeight="1" x14ac:dyDescent="0.2">
      <c r="F316" s="36"/>
      <c r="G316" s="67"/>
      <c r="I316" s="74"/>
    </row>
    <row r="317" spans="6:9" ht="13.5" customHeight="1" x14ac:dyDescent="0.2">
      <c r="F317" s="36"/>
      <c r="G317" s="67"/>
      <c r="I317" s="74"/>
    </row>
    <row r="318" spans="6:9" ht="13.5" customHeight="1" x14ac:dyDescent="0.2">
      <c r="F318" s="36"/>
      <c r="G318" s="67"/>
      <c r="I318" s="74"/>
    </row>
    <row r="319" spans="6:9" ht="13.5" customHeight="1" x14ac:dyDescent="0.2">
      <c r="F319" s="36"/>
      <c r="G319" s="67"/>
      <c r="I319" s="74"/>
    </row>
    <row r="320" spans="6:9" ht="13.5" customHeight="1" x14ac:dyDescent="0.2">
      <c r="F320" s="36"/>
      <c r="G320" s="67"/>
      <c r="I320" s="74"/>
    </row>
    <row r="321" spans="6:9" ht="13.5" customHeight="1" x14ac:dyDescent="0.2">
      <c r="F321" s="36"/>
      <c r="G321" s="67"/>
      <c r="I321" s="74"/>
    </row>
    <row r="322" spans="6:9" ht="13.5" customHeight="1" x14ac:dyDescent="0.2">
      <c r="F322" s="36"/>
      <c r="G322" s="67"/>
      <c r="I322" s="74"/>
    </row>
    <row r="323" spans="6:9" ht="13.5" customHeight="1" x14ac:dyDescent="0.2">
      <c r="F323" s="36"/>
      <c r="G323" s="67"/>
      <c r="I323" s="74"/>
    </row>
    <row r="324" spans="6:9" ht="13.5" customHeight="1" x14ac:dyDescent="0.2">
      <c r="F324" s="36"/>
      <c r="G324" s="67"/>
      <c r="I324" s="74"/>
    </row>
    <row r="325" spans="6:9" ht="13.5" customHeight="1" x14ac:dyDescent="0.2">
      <c r="F325" s="36"/>
      <c r="G325" s="67"/>
      <c r="I325" s="74"/>
    </row>
    <row r="326" spans="6:9" ht="13.5" customHeight="1" x14ac:dyDescent="0.2">
      <c r="F326" s="36"/>
      <c r="G326" s="67"/>
      <c r="I326" s="74"/>
    </row>
    <row r="327" spans="6:9" ht="13.5" customHeight="1" x14ac:dyDescent="0.2">
      <c r="F327" s="36"/>
      <c r="G327" s="67"/>
      <c r="I327" s="74"/>
    </row>
    <row r="328" spans="6:9" ht="13.5" customHeight="1" x14ac:dyDescent="0.2">
      <c r="F328" s="36"/>
      <c r="G328" s="67"/>
      <c r="I328" s="74"/>
    </row>
    <row r="329" spans="6:9" ht="13.5" customHeight="1" x14ac:dyDescent="0.2">
      <c r="F329" s="36"/>
      <c r="G329" s="67"/>
      <c r="I329" s="74"/>
    </row>
    <row r="330" spans="6:9" ht="13.5" customHeight="1" x14ac:dyDescent="0.2">
      <c r="F330" s="36"/>
      <c r="G330" s="67"/>
      <c r="I330" s="74"/>
    </row>
    <row r="331" spans="6:9" ht="13.5" customHeight="1" x14ac:dyDescent="0.2">
      <c r="F331" s="36"/>
      <c r="G331" s="67"/>
      <c r="I331" s="74"/>
    </row>
    <row r="332" spans="6:9" ht="13.5" customHeight="1" x14ac:dyDescent="0.2">
      <c r="F332" s="36"/>
      <c r="G332" s="67"/>
      <c r="I332" s="74"/>
    </row>
    <row r="333" spans="6:9" ht="13.5" customHeight="1" x14ac:dyDescent="0.2">
      <c r="F333" s="36"/>
      <c r="G333" s="67"/>
      <c r="I333" s="74"/>
    </row>
    <row r="334" spans="6:9" ht="13.5" customHeight="1" x14ac:dyDescent="0.2">
      <c r="F334" s="36"/>
      <c r="G334" s="67"/>
      <c r="I334" s="74"/>
    </row>
    <row r="335" spans="6:9" ht="13.5" customHeight="1" x14ac:dyDescent="0.2">
      <c r="F335" s="36"/>
      <c r="G335" s="67"/>
      <c r="I335" s="74"/>
    </row>
    <row r="336" spans="6:9" ht="13.5" customHeight="1" x14ac:dyDescent="0.2">
      <c r="F336" s="36"/>
      <c r="G336" s="67"/>
      <c r="I336" s="74"/>
    </row>
    <row r="337" spans="6:9" ht="13.5" customHeight="1" x14ac:dyDescent="0.2">
      <c r="F337" s="36"/>
      <c r="G337" s="67"/>
      <c r="I337" s="74"/>
    </row>
    <row r="338" spans="6:9" ht="13.5" customHeight="1" x14ac:dyDescent="0.2">
      <c r="F338" s="36"/>
      <c r="G338" s="67"/>
      <c r="I338" s="74"/>
    </row>
    <row r="339" spans="6:9" ht="13.5" customHeight="1" x14ac:dyDescent="0.2">
      <c r="F339" s="36"/>
      <c r="G339" s="67"/>
      <c r="I339" s="74"/>
    </row>
    <row r="340" spans="6:9" ht="13.5" customHeight="1" x14ac:dyDescent="0.2">
      <c r="F340" s="36"/>
      <c r="G340" s="67"/>
      <c r="I340" s="74"/>
    </row>
    <row r="341" spans="6:9" ht="13.5" customHeight="1" x14ac:dyDescent="0.2">
      <c r="F341" s="36"/>
      <c r="G341" s="67"/>
      <c r="I341" s="74"/>
    </row>
    <row r="342" spans="6:9" ht="13.5" customHeight="1" x14ac:dyDescent="0.2">
      <c r="F342" s="36"/>
      <c r="G342" s="67"/>
      <c r="I342" s="74"/>
    </row>
    <row r="343" spans="6:9" ht="13.5" customHeight="1" x14ac:dyDescent="0.2">
      <c r="F343" s="36"/>
      <c r="G343" s="67"/>
      <c r="I343" s="74"/>
    </row>
    <row r="344" spans="6:9" ht="13.5" customHeight="1" x14ac:dyDescent="0.2">
      <c r="F344" s="36"/>
      <c r="G344" s="67"/>
      <c r="I344" s="74"/>
    </row>
    <row r="345" spans="6:9" ht="13.5" customHeight="1" x14ac:dyDescent="0.2">
      <c r="F345" s="36"/>
      <c r="G345" s="67"/>
      <c r="I345" s="74"/>
    </row>
    <row r="346" spans="6:9" ht="13.5" customHeight="1" x14ac:dyDescent="0.2">
      <c r="F346" s="36"/>
      <c r="G346" s="67"/>
      <c r="I346" s="74"/>
    </row>
    <row r="347" spans="6:9" ht="13.5" customHeight="1" x14ac:dyDescent="0.2">
      <c r="F347" s="36"/>
      <c r="G347" s="67"/>
      <c r="I347" s="74"/>
    </row>
    <row r="348" spans="6:9" ht="13.5" customHeight="1" x14ac:dyDescent="0.2">
      <c r="F348" s="36"/>
      <c r="G348" s="67"/>
      <c r="I348" s="74"/>
    </row>
    <row r="349" spans="6:9" ht="13.5" customHeight="1" x14ac:dyDescent="0.2">
      <c r="F349" s="36"/>
      <c r="G349" s="67"/>
      <c r="I349" s="74"/>
    </row>
    <row r="350" spans="6:9" ht="13.5" customHeight="1" x14ac:dyDescent="0.2">
      <c r="F350" s="36"/>
      <c r="G350" s="67"/>
      <c r="I350" s="74"/>
    </row>
    <row r="351" spans="6:9" ht="13.5" customHeight="1" x14ac:dyDescent="0.2">
      <c r="F351" s="36"/>
      <c r="G351" s="67"/>
      <c r="I351" s="74"/>
    </row>
    <row r="352" spans="6:9" ht="13.5" customHeight="1" x14ac:dyDescent="0.2">
      <c r="F352" s="36"/>
      <c r="G352" s="67"/>
      <c r="I352" s="74"/>
    </row>
    <row r="353" spans="6:9" ht="13.5" customHeight="1" x14ac:dyDescent="0.2">
      <c r="F353" s="36"/>
      <c r="G353" s="67"/>
      <c r="I353" s="74"/>
    </row>
    <row r="354" spans="6:9" ht="13.5" customHeight="1" x14ac:dyDescent="0.2">
      <c r="F354" s="36"/>
      <c r="G354" s="67"/>
      <c r="I354" s="74"/>
    </row>
    <row r="355" spans="6:9" ht="13.5" customHeight="1" x14ac:dyDescent="0.2">
      <c r="F355" s="36"/>
      <c r="G355" s="67"/>
      <c r="I355" s="74"/>
    </row>
    <row r="356" spans="6:9" ht="13.5" customHeight="1" x14ac:dyDescent="0.2">
      <c r="F356" s="36"/>
      <c r="G356" s="67"/>
      <c r="I356" s="74"/>
    </row>
    <row r="357" spans="6:9" ht="13.5" customHeight="1" x14ac:dyDescent="0.2">
      <c r="F357" s="36"/>
      <c r="G357" s="67"/>
      <c r="I357" s="74"/>
    </row>
    <row r="358" spans="6:9" ht="13.5" customHeight="1" x14ac:dyDescent="0.2">
      <c r="F358" s="36"/>
      <c r="G358" s="67"/>
      <c r="I358" s="74"/>
    </row>
    <row r="359" spans="6:9" ht="13.5" customHeight="1" x14ac:dyDescent="0.2">
      <c r="F359" s="36"/>
      <c r="G359" s="67"/>
      <c r="I359" s="74"/>
    </row>
    <row r="360" spans="6:9" ht="13.5" customHeight="1" x14ac:dyDescent="0.2">
      <c r="F360" s="36"/>
      <c r="G360" s="67"/>
      <c r="I360" s="74"/>
    </row>
    <row r="361" spans="6:9" ht="13.5" customHeight="1" x14ac:dyDescent="0.2">
      <c r="F361" s="36"/>
      <c r="G361" s="67"/>
      <c r="I361" s="74"/>
    </row>
    <row r="362" spans="6:9" ht="13.5" customHeight="1" x14ac:dyDescent="0.2">
      <c r="F362" s="36"/>
      <c r="G362" s="67"/>
      <c r="I362" s="74"/>
    </row>
    <row r="363" spans="6:9" ht="13.5" customHeight="1" x14ac:dyDescent="0.2">
      <c r="F363" s="36"/>
      <c r="G363" s="67"/>
      <c r="I363" s="74"/>
    </row>
    <row r="364" spans="6:9" ht="13.5" customHeight="1" x14ac:dyDescent="0.2">
      <c r="F364" s="36"/>
      <c r="G364" s="67"/>
      <c r="I364" s="74"/>
    </row>
    <row r="365" spans="6:9" ht="13.5" customHeight="1" x14ac:dyDescent="0.2">
      <c r="F365" s="36"/>
      <c r="G365" s="67"/>
      <c r="I365" s="74"/>
    </row>
    <row r="366" spans="6:9" ht="13.5" customHeight="1" x14ac:dyDescent="0.2">
      <c r="F366" s="36"/>
      <c r="G366" s="67"/>
      <c r="I366" s="74"/>
    </row>
    <row r="367" spans="6:9" ht="13.5" customHeight="1" x14ac:dyDescent="0.2">
      <c r="F367" s="36"/>
      <c r="G367" s="67"/>
      <c r="I367" s="74"/>
    </row>
    <row r="368" spans="6:9" ht="13.5" customHeight="1" x14ac:dyDescent="0.2">
      <c r="F368" s="36"/>
      <c r="G368" s="67"/>
      <c r="I368" s="74"/>
    </row>
    <row r="369" spans="6:9" ht="13.5" customHeight="1" x14ac:dyDescent="0.2">
      <c r="F369" s="36"/>
      <c r="G369" s="67"/>
      <c r="I369" s="74"/>
    </row>
    <row r="370" spans="6:9" ht="13.5" customHeight="1" x14ac:dyDescent="0.2">
      <c r="F370" s="36"/>
      <c r="G370" s="67"/>
      <c r="I370" s="74"/>
    </row>
    <row r="371" spans="6:9" ht="13.5" customHeight="1" x14ac:dyDescent="0.2">
      <c r="F371" s="36"/>
      <c r="G371" s="67"/>
      <c r="I371" s="74"/>
    </row>
    <row r="372" spans="6:9" ht="13.5" customHeight="1" x14ac:dyDescent="0.2">
      <c r="F372" s="36"/>
      <c r="G372" s="67"/>
      <c r="I372" s="74"/>
    </row>
    <row r="373" spans="6:9" ht="13.5" customHeight="1" x14ac:dyDescent="0.2">
      <c r="F373" s="36"/>
      <c r="G373" s="67"/>
      <c r="I373" s="74"/>
    </row>
    <row r="374" spans="6:9" ht="13.5" customHeight="1" x14ac:dyDescent="0.2">
      <c r="F374" s="36"/>
      <c r="G374" s="67"/>
      <c r="I374" s="74"/>
    </row>
    <row r="375" spans="6:9" ht="13.5" customHeight="1" x14ac:dyDescent="0.2">
      <c r="F375" s="36"/>
      <c r="G375" s="67"/>
      <c r="I375" s="74"/>
    </row>
    <row r="376" spans="6:9" ht="13.5" customHeight="1" x14ac:dyDescent="0.2">
      <c r="F376" s="36"/>
      <c r="G376" s="67"/>
      <c r="I376" s="74"/>
    </row>
    <row r="377" spans="6:9" ht="13.5" customHeight="1" x14ac:dyDescent="0.2">
      <c r="F377" s="36"/>
      <c r="G377" s="67"/>
      <c r="I377" s="74"/>
    </row>
    <row r="378" spans="6:9" ht="13.5" customHeight="1" x14ac:dyDescent="0.2">
      <c r="F378" s="36"/>
      <c r="G378" s="67"/>
      <c r="I378" s="74"/>
    </row>
    <row r="379" spans="6:9" ht="13.5" customHeight="1" x14ac:dyDescent="0.2">
      <c r="F379" s="36"/>
      <c r="G379" s="67"/>
      <c r="I379" s="74"/>
    </row>
    <row r="380" spans="6:9" ht="13.5" customHeight="1" x14ac:dyDescent="0.2">
      <c r="F380" s="36"/>
      <c r="G380" s="67"/>
      <c r="I380" s="74"/>
    </row>
    <row r="381" spans="6:9" ht="13.5" customHeight="1" x14ac:dyDescent="0.2">
      <c r="F381" s="36"/>
      <c r="G381" s="67"/>
      <c r="I381" s="74"/>
    </row>
    <row r="382" spans="6:9" ht="13.5" customHeight="1" x14ac:dyDescent="0.2">
      <c r="F382" s="36"/>
      <c r="G382" s="67"/>
      <c r="I382" s="74"/>
    </row>
    <row r="383" spans="6:9" ht="13.5" customHeight="1" x14ac:dyDescent="0.2">
      <c r="F383" s="36"/>
      <c r="G383" s="67"/>
      <c r="I383" s="74"/>
    </row>
    <row r="384" spans="6:9" ht="13.5" customHeight="1" x14ac:dyDescent="0.2">
      <c r="F384" s="36"/>
      <c r="G384" s="67"/>
      <c r="I384" s="74"/>
    </row>
    <row r="385" spans="6:9" ht="13.5" customHeight="1" x14ac:dyDescent="0.2">
      <c r="F385" s="36"/>
      <c r="G385" s="67"/>
      <c r="I385" s="74"/>
    </row>
    <row r="386" spans="6:9" ht="13.5" customHeight="1" x14ac:dyDescent="0.2">
      <c r="F386" s="36"/>
      <c r="G386" s="67"/>
      <c r="I386" s="74"/>
    </row>
    <row r="387" spans="6:9" ht="13.5" customHeight="1" x14ac:dyDescent="0.2">
      <c r="F387" s="36"/>
      <c r="G387" s="67"/>
      <c r="I387" s="74"/>
    </row>
    <row r="388" spans="6:9" ht="13.5" customHeight="1" x14ac:dyDescent="0.2">
      <c r="F388" s="36"/>
      <c r="G388" s="67"/>
      <c r="I388" s="74"/>
    </row>
    <row r="389" spans="6:9" ht="13.5" customHeight="1" x14ac:dyDescent="0.2">
      <c r="F389" s="36"/>
      <c r="G389" s="67"/>
      <c r="I389" s="74"/>
    </row>
    <row r="390" spans="6:9" ht="13.5" customHeight="1" x14ac:dyDescent="0.2">
      <c r="F390" s="36"/>
      <c r="G390" s="67"/>
      <c r="I390" s="74"/>
    </row>
    <row r="391" spans="6:9" ht="13.5" customHeight="1" x14ac:dyDescent="0.2">
      <c r="F391" s="36"/>
      <c r="G391" s="67"/>
      <c r="I391" s="74"/>
    </row>
    <row r="392" spans="6:9" ht="13.5" customHeight="1" x14ac:dyDescent="0.2">
      <c r="F392" s="36"/>
      <c r="G392" s="67"/>
      <c r="I392" s="74"/>
    </row>
    <row r="393" spans="6:9" ht="13.5" customHeight="1" x14ac:dyDescent="0.2">
      <c r="F393" s="36"/>
      <c r="G393" s="67"/>
      <c r="I393" s="74"/>
    </row>
    <row r="394" spans="6:9" ht="13.5" customHeight="1" x14ac:dyDescent="0.2">
      <c r="F394" s="36"/>
      <c r="G394" s="67"/>
      <c r="I394" s="74"/>
    </row>
    <row r="395" spans="6:9" ht="13.5" customHeight="1" x14ac:dyDescent="0.2">
      <c r="F395" s="36"/>
      <c r="G395" s="67"/>
      <c r="I395" s="74"/>
    </row>
    <row r="396" spans="6:9" ht="13.5" customHeight="1" x14ac:dyDescent="0.2">
      <c r="F396" s="36"/>
      <c r="G396" s="67"/>
      <c r="I396" s="74"/>
    </row>
    <row r="397" spans="6:9" ht="13.5" customHeight="1" x14ac:dyDescent="0.2">
      <c r="F397" s="36"/>
      <c r="G397" s="67"/>
      <c r="I397" s="74"/>
    </row>
    <row r="398" spans="6:9" ht="13.5" customHeight="1" x14ac:dyDescent="0.2">
      <c r="F398" s="36"/>
      <c r="G398" s="67"/>
      <c r="I398" s="74"/>
    </row>
    <row r="399" spans="6:9" ht="13.5" customHeight="1" x14ac:dyDescent="0.2">
      <c r="F399" s="36"/>
      <c r="G399" s="67"/>
      <c r="I399" s="74"/>
    </row>
    <row r="400" spans="6:9" ht="13.5" customHeight="1" x14ac:dyDescent="0.2">
      <c r="F400" s="36"/>
      <c r="G400" s="67"/>
      <c r="I400" s="74"/>
    </row>
    <row r="401" spans="6:9" ht="13.5" customHeight="1" x14ac:dyDescent="0.2">
      <c r="F401" s="36"/>
      <c r="G401" s="67"/>
      <c r="I401" s="74"/>
    </row>
    <row r="402" spans="6:9" ht="13.5" customHeight="1" x14ac:dyDescent="0.2">
      <c r="F402" s="36"/>
      <c r="G402" s="67"/>
      <c r="I402" s="74"/>
    </row>
    <row r="403" spans="6:9" ht="13.5" customHeight="1" x14ac:dyDescent="0.2">
      <c r="F403" s="36"/>
      <c r="G403" s="67"/>
      <c r="I403" s="74"/>
    </row>
    <row r="404" spans="6:9" ht="13.5" customHeight="1" x14ac:dyDescent="0.2">
      <c r="F404" s="36"/>
      <c r="G404" s="67"/>
      <c r="I404" s="74"/>
    </row>
    <row r="405" spans="6:9" ht="13.5" customHeight="1" x14ac:dyDescent="0.2">
      <c r="F405" s="36"/>
      <c r="G405" s="67"/>
      <c r="I405" s="74"/>
    </row>
    <row r="406" spans="6:9" ht="13.5" customHeight="1" x14ac:dyDescent="0.2">
      <c r="F406" s="36"/>
      <c r="G406" s="67"/>
      <c r="I406" s="74"/>
    </row>
    <row r="407" spans="6:9" ht="13.5" customHeight="1" x14ac:dyDescent="0.2">
      <c r="F407" s="36"/>
      <c r="G407" s="67"/>
      <c r="I407" s="74"/>
    </row>
    <row r="408" spans="6:9" ht="13.5" customHeight="1" x14ac:dyDescent="0.2">
      <c r="F408" s="36"/>
      <c r="G408" s="67"/>
      <c r="I408" s="74"/>
    </row>
    <row r="409" spans="6:9" ht="13.5" customHeight="1" x14ac:dyDescent="0.2">
      <c r="F409" s="36"/>
      <c r="G409" s="67"/>
      <c r="I409" s="74"/>
    </row>
    <row r="410" spans="6:9" ht="13.5" customHeight="1" x14ac:dyDescent="0.2">
      <c r="F410" s="36"/>
      <c r="G410" s="67"/>
      <c r="I410" s="74"/>
    </row>
    <row r="411" spans="6:9" ht="13.5" customHeight="1" x14ac:dyDescent="0.2">
      <c r="F411" s="36"/>
      <c r="G411" s="67"/>
      <c r="I411" s="74"/>
    </row>
    <row r="412" spans="6:9" ht="13.5" customHeight="1" x14ac:dyDescent="0.2">
      <c r="F412" s="36"/>
      <c r="G412" s="67"/>
      <c r="I412" s="74"/>
    </row>
    <row r="413" spans="6:9" ht="13.5" customHeight="1" x14ac:dyDescent="0.2">
      <c r="F413" s="36"/>
      <c r="G413" s="67"/>
      <c r="I413" s="74"/>
    </row>
    <row r="414" spans="6:9" ht="13.5" customHeight="1" x14ac:dyDescent="0.2">
      <c r="F414" s="36"/>
      <c r="G414" s="67"/>
      <c r="I414" s="74"/>
    </row>
    <row r="415" spans="6:9" ht="13.5" customHeight="1" x14ac:dyDescent="0.2">
      <c r="F415" s="36"/>
      <c r="G415" s="67"/>
      <c r="I415" s="74"/>
    </row>
    <row r="416" spans="6:9" ht="13.5" customHeight="1" x14ac:dyDescent="0.2">
      <c r="F416" s="36"/>
      <c r="G416" s="67"/>
      <c r="I416" s="74"/>
    </row>
    <row r="417" spans="6:9" ht="13.5" customHeight="1" x14ac:dyDescent="0.2">
      <c r="F417" s="36"/>
      <c r="G417" s="67"/>
      <c r="I417" s="74"/>
    </row>
    <row r="418" spans="6:9" ht="13.5" customHeight="1" x14ac:dyDescent="0.2">
      <c r="F418" s="36"/>
      <c r="G418" s="67"/>
      <c r="I418" s="74"/>
    </row>
    <row r="419" spans="6:9" ht="13.5" customHeight="1" x14ac:dyDescent="0.2">
      <c r="F419" s="36"/>
      <c r="G419" s="67"/>
      <c r="I419" s="74"/>
    </row>
    <row r="420" spans="6:9" ht="13.5" customHeight="1" x14ac:dyDescent="0.2">
      <c r="F420" s="36"/>
      <c r="G420" s="67"/>
      <c r="I420" s="74"/>
    </row>
    <row r="421" spans="6:9" ht="13.5" customHeight="1" x14ac:dyDescent="0.2">
      <c r="F421" s="36"/>
      <c r="G421" s="67"/>
      <c r="I421" s="74"/>
    </row>
    <row r="422" spans="6:9" ht="13.5" customHeight="1" x14ac:dyDescent="0.2">
      <c r="F422" s="36"/>
      <c r="G422" s="67"/>
      <c r="I422" s="74"/>
    </row>
    <row r="423" spans="6:9" ht="13.5" customHeight="1" x14ac:dyDescent="0.2">
      <c r="F423" s="36"/>
      <c r="G423" s="67"/>
      <c r="I423" s="74"/>
    </row>
    <row r="424" spans="6:9" ht="13.5" customHeight="1" x14ac:dyDescent="0.2">
      <c r="F424" s="36"/>
      <c r="G424" s="67"/>
      <c r="I424" s="74"/>
    </row>
    <row r="425" spans="6:9" ht="13.5" customHeight="1" x14ac:dyDescent="0.2">
      <c r="F425" s="36"/>
      <c r="G425" s="67"/>
      <c r="I425" s="74"/>
    </row>
    <row r="426" spans="6:9" ht="13.5" customHeight="1" x14ac:dyDescent="0.2">
      <c r="F426" s="36"/>
      <c r="G426" s="67"/>
      <c r="I426" s="74"/>
    </row>
    <row r="427" spans="6:9" ht="13.5" customHeight="1" x14ac:dyDescent="0.2">
      <c r="F427" s="36"/>
      <c r="G427" s="67"/>
      <c r="I427" s="74"/>
    </row>
    <row r="428" spans="6:9" ht="13.5" customHeight="1" x14ac:dyDescent="0.2">
      <c r="F428" s="36"/>
      <c r="G428" s="67"/>
      <c r="I428" s="74"/>
    </row>
    <row r="429" spans="6:9" ht="13.5" customHeight="1" x14ac:dyDescent="0.2">
      <c r="F429" s="36"/>
      <c r="G429" s="67"/>
      <c r="I429" s="74"/>
    </row>
    <row r="430" spans="6:9" ht="13.5" customHeight="1" x14ac:dyDescent="0.2">
      <c r="F430" s="36"/>
      <c r="G430" s="67"/>
      <c r="I430" s="74"/>
    </row>
    <row r="431" spans="6:9" ht="13.5" customHeight="1" x14ac:dyDescent="0.2">
      <c r="F431" s="36"/>
      <c r="G431" s="67"/>
      <c r="I431" s="74"/>
    </row>
    <row r="432" spans="6:9" ht="13.5" customHeight="1" x14ac:dyDescent="0.2">
      <c r="F432" s="36"/>
      <c r="G432" s="67"/>
      <c r="I432" s="74"/>
    </row>
    <row r="433" spans="6:9" ht="13.5" customHeight="1" x14ac:dyDescent="0.2">
      <c r="F433" s="36"/>
      <c r="G433" s="67"/>
      <c r="I433" s="74"/>
    </row>
    <row r="434" spans="6:9" ht="13.5" customHeight="1" x14ac:dyDescent="0.2">
      <c r="F434" s="36"/>
      <c r="G434" s="67"/>
      <c r="I434" s="74"/>
    </row>
    <row r="435" spans="6:9" ht="13.5" customHeight="1" x14ac:dyDescent="0.2">
      <c r="F435" s="36"/>
      <c r="G435" s="67"/>
      <c r="I435" s="74"/>
    </row>
    <row r="436" spans="6:9" ht="13.5" customHeight="1" x14ac:dyDescent="0.2">
      <c r="F436" s="36"/>
      <c r="G436" s="67"/>
      <c r="I436" s="74"/>
    </row>
    <row r="437" spans="6:9" ht="13.5" customHeight="1" x14ac:dyDescent="0.2">
      <c r="F437" s="36"/>
      <c r="G437" s="67"/>
      <c r="I437" s="74"/>
    </row>
    <row r="438" spans="6:9" ht="13.5" customHeight="1" x14ac:dyDescent="0.2">
      <c r="F438" s="36"/>
      <c r="G438" s="67"/>
      <c r="I438" s="74"/>
    </row>
    <row r="439" spans="6:9" ht="13.5" customHeight="1" x14ac:dyDescent="0.2">
      <c r="F439" s="36"/>
      <c r="G439" s="67"/>
      <c r="I439" s="74"/>
    </row>
    <row r="440" spans="6:9" ht="13.5" customHeight="1" x14ac:dyDescent="0.2">
      <c r="F440" s="36"/>
      <c r="G440" s="67"/>
      <c r="I440" s="74"/>
    </row>
    <row r="441" spans="6:9" ht="13.5" customHeight="1" x14ac:dyDescent="0.2">
      <c r="F441" s="36"/>
      <c r="G441" s="67"/>
      <c r="I441" s="74"/>
    </row>
    <row r="442" spans="6:9" ht="13.5" customHeight="1" x14ac:dyDescent="0.2">
      <c r="F442" s="36"/>
      <c r="G442" s="67"/>
      <c r="I442" s="74"/>
    </row>
    <row r="443" spans="6:9" ht="13.5" customHeight="1" x14ac:dyDescent="0.2">
      <c r="F443" s="36"/>
      <c r="G443" s="67"/>
      <c r="I443" s="74"/>
    </row>
    <row r="444" spans="6:9" ht="13.5" customHeight="1" x14ac:dyDescent="0.2">
      <c r="F444" s="36"/>
      <c r="G444" s="67"/>
      <c r="I444" s="74"/>
    </row>
    <row r="445" spans="6:9" ht="13.5" customHeight="1" x14ac:dyDescent="0.2">
      <c r="F445" s="36"/>
      <c r="G445" s="67"/>
      <c r="I445" s="74"/>
    </row>
    <row r="446" spans="6:9" ht="13.5" customHeight="1" x14ac:dyDescent="0.2">
      <c r="F446" s="36"/>
      <c r="G446" s="67"/>
      <c r="I446" s="74"/>
    </row>
    <row r="447" spans="6:9" ht="13.5" customHeight="1" x14ac:dyDescent="0.2">
      <c r="F447" s="36"/>
      <c r="G447" s="67"/>
      <c r="I447" s="74"/>
    </row>
    <row r="448" spans="6:9" ht="13.5" customHeight="1" x14ac:dyDescent="0.2">
      <c r="F448" s="36"/>
      <c r="G448" s="67"/>
      <c r="I448" s="74"/>
    </row>
    <row r="449" spans="6:9" ht="13.5" customHeight="1" x14ac:dyDescent="0.2">
      <c r="F449" s="36"/>
      <c r="G449" s="67"/>
      <c r="I449" s="74"/>
    </row>
    <row r="450" spans="6:9" ht="13.5" customHeight="1" x14ac:dyDescent="0.2">
      <c r="F450" s="36"/>
      <c r="G450" s="67"/>
      <c r="I450" s="74"/>
    </row>
    <row r="451" spans="6:9" ht="13.5" customHeight="1" x14ac:dyDescent="0.2">
      <c r="F451" s="36"/>
      <c r="G451" s="67"/>
      <c r="I451" s="74"/>
    </row>
    <row r="452" spans="6:9" ht="13.5" customHeight="1" x14ac:dyDescent="0.2">
      <c r="F452" s="36"/>
      <c r="G452" s="67"/>
      <c r="I452" s="74"/>
    </row>
    <row r="453" spans="6:9" ht="13.5" customHeight="1" x14ac:dyDescent="0.2">
      <c r="F453" s="36"/>
      <c r="G453" s="67"/>
      <c r="I453" s="74"/>
    </row>
    <row r="454" spans="6:9" ht="13.5" customHeight="1" x14ac:dyDescent="0.2">
      <c r="F454" s="36"/>
      <c r="G454" s="67"/>
      <c r="I454" s="74"/>
    </row>
    <row r="455" spans="6:9" ht="13.5" customHeight="1" x14ac:dyDescent="0.2">
      <c r="F455" s="36"/>
      <c r="G455" s="67"/>
      <c r="I455" s="74"/>
    </row>
    <row r="456" spans="6:9" ht="13.5" customHeight="1" x14ac:dyDescent="0.2">
      <c r="F456" s="36"/>
      <c r="G456" s="67"/>
      <c r="I456" s="74"/>
    </row>
    <row r="457" spans="6:9" ht="13.5" customHeight="1" x14ac:dyDescent="0.2">
      <c r="F457" s="36"/>
      <c r="G457" s="67"/>
      <c r="I457" s="74"/>
    </row>
    <row r="458" spans="6:9" ht="13.5" customHeight="1" x14ac:dyDescent="0.2">
      <c r="F458" s="36"/>
      <c r="G458" s="67"/>
      <c r="I458" s="74"/>
    </row>
    <row r="459" spans="6:9" ht="13.5" customHeight="1" x14ac:dyDescent="0.2">
      <c r="F459" s="36"/>
      <c r="G459" s="67"/>
      <c r="I459" s="74"/>
    </row>
    <row r="460" spans="6:9" ht="13.5" customHeight="1" x14ac:dyDescent="0.2">
      <c r="F460" s="36"/>
      <c r="G460" s="67"/>
      <c r="I460" s="74"/>
    </row>
    <row r="461" spans="6:9" ht="13.5" customHeight="1" x14ac:dyDescent="0.2">
      <c r="F461" s="36"/>
      <c r="G461" s="67"/>
      <c r="I461" s="74"/>
    </row>
    <row r="462" spans="6:9" ht="13.5" customHeight="1" x14ac:dyDescent="0.2">
      <c r="F462" s="36"/>
      <c r="G462" s="67"/>
      <c r="I462" s="74"/>
    </row>
    <row r="463" spans="6:9" ht="13.5" customHeight="1" x14ac:dyDescent="0.2">
      <c r="F463" s="36"/>
      <c r="G463" s="67"/>
      <c r="I463" s="74"/>
    </row>
    <row r="464" spans="6:9" ht="13.5" customHeight="1" x14ac:dyDescent="0.2">
      <c r="F464" s="36"/>
      <c r="G464" s="67"/>
      <c r="I464" s="74"/>
    </row>
    <row r="465" spans="6:9" ht="13.5" customHeight="1" x14ac:dyDescent="0.2">
      <c r="F465" s="36"/>
      <c r="G465" s="67"/>
      <c r="I465" s="74"/>
    </row>
    <row r="466" spans="6:9" ht="13.5" customHeight="1" x14ac:dyDescent="0.2">
      <c r="F466" s="36"/>
      <c r="G466" s="67"/>
      <c r="I466" s="74"/>
    </row>
    <row r="467" spans="6:9" ht="13.5" customHeight="1" x14ac:dyDescent="0.2">
      <c r="F467" s="36"/>
      <c r="G467" s="67"/>
      <c r="I467" s="74"/>
    </row>
    <row r="468" spans="6:9" ht="13.5" customHeight="1" x14ac:dyDescent="0.2">
      <c r="F468" s="36"/>
      <c r="G468" s="67"/>
      <c r="I468" s="74"/>
    </row>
    <row r="469" spans="6:9" ht="13.5" customHeight="1" x14ac:dyDescent="0.2">
      <c r="F469" s="36"/>
      <c r="G469" s="67"/>
      <c r="I469" s="74"/>
    </row>
    <row r="470" spans="6:9" ht="13.5" customHeight="1" x14ac:dyDescent="0.2">
      <c r="F470" s="36"/>
      <c r="G470" s="67"/>
      <c r="I470" s="74"/>
    </row>
    <row r="471" spans="6:9" ht="13.5" customHeight="1" x14ac:dyDescent="0.2">
      <c r="F471" s="36"/>
      <c r="G471" s="67"/>
      <c r="I471" s="74"/>
    </row>
    <row r="472" spans="6:9" ht="13.5" customHeight="1" x14ac:dyDescent="0.2">
      <c r="F472" s="36"/>
      <c r="G472" s="67"/>
      <c r="I472" s="74"/>
    </row>
    <row r="473" spans="6:9" ht="13.5" customHeight="1" x14ac:dyDescent="0.2">
      <c r="F473" s="36"/>
      <c r="G473" s="67"/>
      <c r="I473" s="74"/>
    </row>
    <row r="474" spans="6:9" ht="13.5" customHeight="1" x14ac:dyDescent="0.2">
      <c r="F474" s="36"/>
      <c r="G474" s="67"/>
      <c r="I474" s="74"/>
    </row>
    <row r="475" spans="6:9" ht="13.5" customHeight="1" x14ac:dyDescent="0.2">
      <c r="F475" s="36"/>
      <c r="G475" s="67"/>
      <c r="I475" s="74"/>
    </row>
    <row r="476" spans="6:9" ht="13.5" customHeight="1" x14ac:dyDescent="0.2">
      <c r="F476" s="36"/>
      <c r="G476" s="67"/>
      <c r="I476" s="74"/>
    </row>
    <row r="477" spans="6:9" ht="13.5" customHeight="1" x14ac:dyDescent="0.2">
      <c r="F477" s="36"/>
      <c r="G477" s="67"/>
      <c r="I477" s="74"/>
    </row>
    <row r="478" spans="6:9" ht="13.5" customHeight="1" x14ac:dyDescent="0.2">
      <c r="F478" s="36"/>
      <c r="G478" s="67"/>
      <c r="I478" s="74"/>
    </row>
    <row r="479" spans="6:9" ht="13.5" customHeight="1" x14ac:dyDescent="0.2">
      <c r="F479" s="36"/>
      <c r="G479" s="67"/>
      <c r="I479" s="74"/>
    </row>
    <row r="480" spans="6:9" ht="13.5" customHeight="1" x14ac:dyDescent="0.2">
      <c r="F480" s="36"/>
      <c r="G480" s="67"/>
      <c r="I480" s="74"/>
    </row>
    <row r="481" spans="6:9" ht="13.5" customHeight="1" x14ac:dyDescent="0.2">
      <c r="F481" s="36"/>
      <c r="G481" s="67"/>
      <c r="I481" s="74"/>
    </row>
    <row r="482" spans="6:9" ht="13.5" customHeight="1" x14ac:dyDescent="0.2">
      <c r="F482" s="36"/>
      <c r="G482" s="67"/>
      <c r="I482" s="74"/>
    </row>
    <row r="483" spans="6:9" ht="13.5" customHeight="1" x14ac:dyDescent="0.2">
      <c r="F483" s="36"/>
      <c r="G483" s="67"/>
      <c r="I483" s="74"/>
    </row>
    <row r="484" spans="6:9" ht="13.5" customHeight="1" x14ac:dyDescent="0.2">
      <c r="F484" s="36"/>
      <c r="G484" s="67"/>
      <c r="I484" s="74"/>
    </row>
    <row r="485" spans="6:9" ht="13.5" customHeight="1" x14ac:dyDescent="0.2">
      <c r="F485" s="36"/>
      <c r="G485" s="67"/>
      <c r="I485" s="74"/>
    </row>
    <row r="486" spans="6:9" ht="13.5" customHeight="1" x14ac:dyDescent="0.2">
      <c r="F486" s="36"/>
      <c r="G486" s="67"/>
      <c r="I486" s="74"/>
    </row>
    <row r="487" spans="6:9" ht="13.5" customHeight="1" x14ac:dyDescent="0.2">
      <c r="F487" s="36"/>
      <c r="G487" s="67"/>
      <c r="I487" s="74"/>
    </row>
    <row r="488" spans="6:9" ht="13.5" customHeight="1" x14ac:dyDescent="0.2">
      <c r="F488" s="36"/>
      <c r="G488" s="67"/>
      <c r="I488" s="74"/>
    </row>
    <row r="489" spans="6:9" ht="13.5" customHeight="1" x14ac:dyDescent="0.2">
      <c r="F489" s="36"/>
      <c r="G489" s="67"/>
      <c r="I489" s="74"/>
    </row>
    <row r="490" spans="6:9" ht="13.5" customHeight="1" x14ac:dyDescent="0.2">
      <c r="F490" s="36"/>
      <c r="G490" s="67"/>
      <c r="I490" s="74"/>
    </row>
    <row r="491" spans="6:9" ht="13.5" customHeight="1" x14ac:dyDescent="0.2">
      <c r="F491" s="36"/>
      <c r="G491" s="67"/>
      <c r="I491" s="74"/>
    </row>
    <row r="492" spans="6:9" ht="13.5" customHeight="1" x14ac:dyDescent="0.2">
      <c r="F492" s="36"/>
      <c r="G492" s="67"/>
      <c r="I492" s="74"/>
    </row>
    <row r="493" spans="6:9" ht="13.5" customHeight="1" x14ac:dyDescent="0.2">
      <c r="F493" s="36"/>
      <c r="G493" s="67"/>
      <c r="I493" s="74"/>
    </row>
    <row r="494" spans="6:9" ht="13.5" customHeight="1" x14ac:dyDescent="0.2">
      <c r="F494" s="36"/>
      <c r="G494" s="67"/>
      <c r="I494" s="74"/>
    </row>
    <row r="495" spans="6:9" ht="13.5" customHeight="1" x14ac:dyDescent="0.2">
      <c r="F495" s="36"/>
      <c r="G495" s="67"/>
      <c r="I495" s="74"/>
    </row>
    <row r="496" spans="6:9" ht="13.5" customHeight="1" x14ac:dyDescent="0.2">
      <c r="F496" s="36"/>
      <c r="G496" s="67"/>
      <c r="I496" s="74"/>
    </row>
    <row r="497" spans="6:9" ht="13.5" customHeight="1" x14ac:dyDescent="0.2">
      <c r="F497" s="36"/>
      <c r="G497" s="67"/>
      <c r="I497" s="74"/>
    </row>
    <row r="498" spans="6:9" ht="13.5" customHeight="1" x14ac:dyDescent="0.2">
      <c r="F498" s="36"/>
      <c r="G498" s="67"/>
      <c r="I498" s="74"/>
    </row>
    <row r="499" spans="6:9" ht="13.5" customHeight="1" x14ac:dyDescent="0.2">
      <c r="F499" s="36"/>
      <c r="G499" s="67"/>
      <c r="I499" s="74"/>
    </row>
    <row r="500" spans="6:9" ht="13.5" customHeight="1" x14ac:dyDescent="0.2">
      <c r="F500" s="36"/>
      <c r="G500" s="67"/>
      <c r="I500" s="74"/>
    </row>
    <row r="501" spans="6:9" ht="13.5" customHeight="1" x14ac:dyDescent="0.2">
      <c r="F501" s="36"/>
      <c r="G501" s="67"/>
      <c r="I501" s="74"/>
    </row>
    <row r="502" spans="6:9" ht="13.5" customHeight="1" x14ac:dyDescent="0.2">
      <c r="F502" s="36"/>
      <c r="G502" s="67"/>
      <c r="I502" s="74"/>
    </row>
    <row r="503" spans="6:9" ht="13.5" customHeight="1" x14ac:dyDescent="0.2">
      <c r="F503" s="36"/>
      <c r="G503" s="67"/>
      <c r="I503" s="74"/>
    </row>
    <row r="504" spans="6:9" ht="13.5" customHeight="1" x14ac:dyDescent="0.2">
      <c r="F504" s="36"/>
      <c r="G504" s="67"/>
      <c r="I504" s="74"/>
    </row>
    <row r="505" spans="6:9" ht="13.5" customHeight="1" x14ac:dyDescent="0.2">
      <c r="F505" s="36"/>
      <c r="G505" s="67"/>
      <c r="I505" s="74"/>
    </row>
    <row r="506" spans="6:9" ht="13.5" customHeight="1" x14ac:dyDescent="0.2">
      <c r="F506" s="36"/>
      <c r="G506" s="67"/>
      <c r="I506" s="74"/>
    </row>
    <row r="507" spans="6:9" ht="13.5" customHeight="1" x14ac:dyDescent="0.2">
      <c r="F507" s="36"/>
      <c r="G507" s="67"/>
      <c r="I507" s="74"/>
    </row>
    <row r="508" spans="6:9" ht="13.5" customHeight="1" x14ac:dyDescent="0.2">
      <c r="F508" s="36"/>
      <c r="G508" s="67"/>
      <c r="I508" s="74"/>
    </row>
    <row r="509" spans="6:9" ht="13.5" customHeight="1" x14ac:dyDescent="0.2">
      <c r="F509" s="36"/>
      <c r="G509" s="67"/>
      <c r="I509" s="74"/>
    </row>
    <row r="510" spans="6:9" ht="13.5" customHeight="1" x14ac:dyDescent="0.2">
      <c r="F510" s="36"/>
      <c r="G510" s="67"/>
      <c r="I510" s="74"/>
    </row>
    <row r="511" spans="6:9" ht="13.5" customHeight="1" x14ac:dyDescent="0.2">
      <c r="F511" s="36"/>
      <c r="G511" s="67"/>
      <c r="I511" s="74"/>
    </row>
    <row r="512" spans="6:9" ht="13.5" customHeight="1" x14ac:dyDescent="0.2">
      <c r="F512" s="36"/>
      <c r="G512" s="67"/>
      <c r="I512" s="74"/>
    </row>
    <row r="513" spans="6:9" ht="13.5" customHeight="1" x14ac:dyDescent="0.2">
      <c r="F513" s="36"/>
      <c r="G513" s="67"/>
      <c r="I513" s="74"/>
    </row>
    <row r="514" spans="6:9" ht="13.5" customHeight="1" x14ac:dyDescent="0.2">
      <c r="F514" s="36"/>
      <c r="G514" s="67"/>
      <c r="I514" s="74"/>
    </row>
    <row r="515" spans="6:9" ht="13.5" customHeight="1" x14ac:dyDescent="0.2">
      <c r="F515" s="36"/>
      <c r="G515" s="67"/>
      <c r="I515" s="74"/>
    </row>
    <row r="516" spans="6:9" ht="13.5" customHeight="1" x14ac:dyDescent="0.2">
      <c r="F516" s="36"/>
      <c r="G516" s="67"/>
      <c r="I516" s="74"/>
    </row>
    <row r="517" spans="6:9" ht="13.5" customHeight="1" x14ac:dyDescent="0.2">
      <c r="F517" s="36"/>
      <c r="G517" s="67"/>
      <c r="I517" s="74"/>
    </row>
    <row r="518" spans="6:9" ht="13.5" customHeight="1" x14ac:dyDescent="0.2">
      <c r="F518" s="36"/>
      <c r="G518" s="67"/>
      <c r="I518" s="74"/>
    </row>
    <row r="519" spans="6:9" ht="13.5" customHeight="1" x14ac:dyDescent="0.2">
      <c r="F519" s="36"/>
      <c r="G519" s="67"/>
      <c r="I519" s="74"/>
    </row>
    <row r="520" spans="6:9" ht="13.5" customHeight="1" x14ac:dyDescent="0.2">
      <c r="F520" s="36"/>
      <c r="G520" s="67"/>
      <c r="I520" s="74"/>
    </row>
    <row r="521" spans="6:9" ht="13.5" customHeight="1" x14ac:dyDescent="0.2">
      <c r="F521" s="36"/>
      <c r="G521" s="67"/>
      <c r="I521" s="74"/>
    </row>
    <row r="522" spans="6:9" ht="13.5" customHeight="1" x14ac:dyDescent="0.2">
      <c r="F522" s="36"/>
      <c r="G522" s="67"/>
      <c r="I522" s="74"/>
    </row>
    <row r="523" spans="6:9" ht="13.5" customHeight="1" x14ac:dyDescent="0.2">
      <c r="F523" s="36"/>
      <c r="G523" s="67"/>
      <c r="I523" s="74"/>
    </row>
    <row r="524" spans="6:9" ht="13.5" customHeight="1" x14ac:dyDescent="0.2">
      <c r="F524" s="36"/>
      <c r="G524" s="67"/>
      <c r="I524" s="74"/>
    </row>
    <row r="525" spans="6:9" ht="13.5" customHeight="1" x14ac:dyDescent="0.2">
      <c r="F525" s="36"/>
      <c r="G525" s="67"/>
      <c r="I525" s="74"/>
    </row>
    <row r="526" spans="6:9" ht="13.5" customHeight="1" x14ac:dyDescent="0.2">
      <c r="F526" s="36"/>
      <c r="G526" s="67"/>
      <c r="I526" s="74"/>
    </row>
    <row r="527" spans="6:9" ht="13.5" customHeight="1" x14ac:dyDescent="0.2">
      <c r="F527" s="36"/>
      <c r="G527" s="67"/>
      <c r="I527" s="74"/>
    </row>
    <row r="528" spans="6:9" ht="13.5" customHeight="1" x14ac:dyDescent="0.2">
      <c r="F528" s="36"/>
      <c r="G528" s="67"/>
      <c r="I528" s="74"/>
    </row>
    <row r="529" spans="6:9" ht="13.5" customHeight="1" x14ac:dyDescent="0.2">
      <c r="F529" s="36"/>
      <c r="G529" s="67"/>
      <c r="I529" s="74"/>
    </row>
    <row r="530" spans="6:9" ht="13.5" customHeight="1" x14ac:dyDescent="0.2">
      <c r="F530" s="36"/>
      <c r="G530" s="67"/>
      <c r="I530" s="74"/>
    </row>
    <row r="531" spans="6:9" ht="13.5" customHeight="1" x14ac:dyDescent="0.2">
      <c r="F531" s="36"/>
      <c r="G531" s="67"/>
      <c r="I531" s="74"/>
    </row>
    <row r="532" spans="6:9" ht="13.5" customHeight="1" x14ac:dyDescent="0.2">
      <c r="F532" s="36"/>
      <c r="G532" s="67"/>
      <c r="I532" s="74"/>
    </row>
    <row r="533" spans="6:9" ht="13.5" customHeight="1" x14ac:dyDescent="0.2">
      <c r="F533" s="36"/>
      <c r="G533" s="67"/>
      <c r="I533" s="74"/>
    </row>
    <row r="534" spans="6:9" ht="13.5" customHeight="1" x14ac:dyDescent="0.2">
      <c r="F534" s="36"/>
      <c r="G534" s="67"/>
      <c r="I534" s="74"/>
    </row>
    <row r="535" spans="6:9" ht="13.5" customHeight="1" x14ac:dyDescent="0.2">
      <c r="F535" s="36"/>
      <c r="G535" s="67"/>
      <c r="I535" s="74"/>
    </row>
    <row r="536" spans="6:9" ht="13.5" customHeight="1" x14ac:dyDescent="0.2">
      <c r="F536" s="36"/>
      <c r="G536" s="67"/>
      <c r="I536" s="74"/>
    </row>
    <row r="537" spans="6:9" ht="13.5" customHeight="1" x14ac:dyDescent="0.2">
      <c r="F537" s="36"/>
      <c r="G537" s="67"/>
      <c r="I537" s="74"/>
    </row>
    <row r="538" spans="6:9" ht="13.5" customHeight="1" x14ac:dyDescent="0.2">
      <c r="F538" s="36"/>
      <c r="G538" s="67"/>
      <c r="I538" s="74"/>
    </row>
    <row r="539" spans="6:9" ht="13.5" customHeight="1" x14ac:dyDescent="0.2">
      <c r="F539" s="36"/>
      <c r="G539" s="67"/>
      <c r="I539" s="74"/>
    </row>
    <row r="540" spans="6:9" ht="13.5" customHeight="1" x14ac:dyDescent="0.2">
      <c r="F540" s="36"/>
      <c r="G540" s="67"/>
      <c r="I540" s="74"/>
    </row>
    <row r="541" spans="6:9" ht="13.5" customHeight="1" x14ac:dyDescent="0.2">
      <c r="F541" s="36"/>
      <c r="G541" s="67"/>
      <c r="I541" s="74"/>
    </row>
    <row r="542" spans="6:9" ht="13.5" customHeight="1" x14ac:dyDescent="0.2">
      <c r="F542" s="36"/>
      <c r="G542" s="67"/>
      <c r="I542" s="74"/>
    </row>
    <row r="543" spans="6:9" ht="13.5" customHeight="1" x14ac:dyDescent="0.2">
      <c r="F543" s="36"/>
      <c r="G543" s="67"/>
      <c r="I543" s="74"/>
    </row>
    <row r="544" spans="6:9" ht="13.5" customHeight="1" x14ac:dyDescent="0.2">
      <c r="F544" s="36"/>
      <c r="G544" s="67"/>
      <c r="I544" s="74"/>
    </row>
    <row r="545" spans="6:9" ht="13.5" customHeight="1" x14ac:dyDescent="0.2">
      <c r="F545" s="36"/>
      <c r="G545" s="67"/>
      <c r="I545" s="74"/>
    </row>
    <row r="546" spans="6:9" ht="13.5" customHeight="1" x14ac:dyDescent="0.2">
      <c r="F546" s="36"/>
      <c r="G546" s="67"/>
      <c r="I546" s="74"/>
    </row>
    <row r="547" spans="6:9" ht="13.5" customHeight="1" x14ac:dyDescent="0.2">
      <c r="F547" s="36"/>
      <c r="G547" s="67"/>
      <c r="I547" s="74"/>
    </row>
    <row r="548" spans="6:9" ht="13.5" customHeight="1" x14ac:dyDescent="0.2">
      <c r="F548" s="36"/>
      <c r="G548" s="67"/>
      <c r="I548" s="74"/>
    </row>
    <row r="549" spans="6:9" ht="13.5" customHeight="1" x14ac:dyDescent="0.2">
      <c r="F549" s="36"/>
      <c r="G549" s="67"/>
      <c r="I549" s="74"/>
    </row>
    <row r="550" spans="6:9" ht="13.5" customHeight="1" x14ac:dyDescent="0.2">
      <c r="F550" s="36"/>
      <c r="G550" s="67"/>
      <c r="I550" s="74"/>
    </row>
    <row r="551" spans="6:9" ht="13.5" customHeight="1" x14ac:dyDescent="0.2">
      <c r="F551" s="36"/>
      <c r="G551" s="67"/>
      <c r="I551" s="74"/>
    </row>
    <row r="552" spans="6:9" ht="13.5" customHeight="1" x14ac:dyDescent="0.2">
      <c r="F552" s="36"/>
      <c r="G552" s="67"/>
      <c r="I552" s="74"/>
    </row>
    <row r="553" spans="6:9" ht="13.5" customHeight="1" x14ac:dyDescent="0.2">
      <c r="F553" s="36"/>
      <c r="G553" s="67"/>
      <c r="I553" s="74"/>
    </row>
    <row r="554" spans="6:9" ht="13.5" customHeight="1" x14ac:dyDescent="0.2">
      <c r="F554" s="36"/>
      <c r="G554" s="67"/>
      <c r="I554" s="74"/>
    </row>
    <row r="555" spans="6:9" ht="13.5" customHeight="1" x14ac:dyDescent="0.2">
      <c r="F555" s="36"/>
      <c r="G555" s="67"/>
      <c r="I555" s="74"/>
    </row>
    <row r="556" spans="6:9" ht="13.5" customHeight="1" x14ac:dyDescent="0.2">
      <c r="F556" s="36"/>
      <c r="G556" s="67"/>
      <c r="I556" s="74"/>
    </row>
    <row r="557" spans="6:9" ht="13.5" customHeight="1" x14ac:dyDescent="0.2">
      <c r="F557" s="36"/>
      <c r="G557" s="67"/>
      <c r="I557" s="74"/>
    </row>
    <row r="558" spans="6:9" ht="13.5" customHeight="1" x14ac:dyDescent="0.2">
      <c r="F558" s="36"/>
      <c r="G558" s="67"/>
      <c r="I558" s="74"/>
    </row>
    <row r="559" spans="6:9" ht="13.5" customHeight="1" x14ac:dyDescent="0.2">
      <c r="F559" s="36"/>
      <c r="G559" s="67"/>
      <c r="I559" s="74"/>
    </row>
    <row r="560" spans="6:9" ht="13.5" customHeight="1" x14ac:dyDescent="0.2">
      <c r="F560" s="36"/>
      <c r="G560" s="67"/>
      <c r="I560" s="74"/>
    </row>
    <row r="561" spans="6:9" ht="13.5" customHeight="1" x14ac:dyDescent="0.2">
      <c r="F561" s="36"/>
      <c r="G561" s="67"/>
      <c r="I561" s="74"/>
    </row>
    <row r="562" spans="6:9" ht="13.5" customHeight="1" x14ac:dyDescent="0.2">
      <c r="F562" s="36"/>
      <c r="G562" s="67"/>
      <c r="I562" s="74"/>
    </row>
    <row r="563" spans="6:9" ht="13.5" customHeight="1" x14ac:dyDescent="0.2">
      <c r="F563" s="36"/>
      <c r="G563" s="67"/>
      <c r="I563" s="74"/>
    </row>
    <row r="564" spans="6:9" ht="13.5" customHeight="1" x14ac:dyDescent="0.2">
      <c r="F564" s="36"/>
      <c r="G564" s="67"/>
      <c r="I564" s="74"/>
    </row>
    <row r="565" spans="6:9" ht="13.5" customHeight="1" x14ac:dyDescent="0.2">
      <c r="F565" s="36"/>
      <c r="G565" s="67"/>
      <c r="I565" s="74"/>
    </row>
    <row r="566" spans="6:9" ht="13.5" customHeight="1" x14ac:dyDescent="0.2">
      <c r="F566" s="36"/>
      <c r="G566" s="67"/>
      <c r="I566" s="74"/>
    </row>
    <row r="567" spans="6:9" ht="13.5" customHeight="1" x14ac:dyDescent="0.2">
      <c r="F567" s="36"/>
      <c r="G567" s="67"/>
      <c r="I567" s="74"/>
    </row>
    <row r="568" spans="6:9" ht="13.5" customHeight="1" x14ac:dyDescent="0.2">
      <c r="F568" s="36"/>
      <c r="G568" s="67"/>
      <c r="I568" s="74"/>
    </row>
    <row r="569" spans="6:9" ht="13.5" customHeight="1" x14ac:dyDescent="0.2">
      <c r="F569" s="36"/>
      <c r="G569" s="67"/>
      <c r="I569" s="74"/>
    </row>
    <row r="570" spans="6:9" ht="13.5" customHeight="1" x14ac:dyDescent="0.2">
      <c r="F570" s="36"/>
      <c r="G570" s="67"/>
      <c r="I570" s="74"/>
    </row>
    <row r="571" spans="6:9" ht="13.5" customHeight="1" x14ac:dyDescent="0.2">
      <c r="F571" s="36"/>
      <c r="G571" s="67"/>
      <c r="I571" s="74"/>
    </row>
    <row r="572" spans="6:9" ht="13.5" customHeight="1" x14ac:dyDescent="0.2">
      <c r="F572" s="36"/>
      <c r="G572" s="67"/>
      <c r="I572" s="74"/>
    </row>
    <row r="573" spans="6:9" ht="13.5" customHeight="1" x14ac:dyDescent="0.2">
      <c r="F573" s="36"/>
      <c r="G573" s="67"/>
      <c r="I573" s="74"/>
    </row>
    <row r="574" spans="6:9" ht="13.5" customHeight="1" x14ac:dyDescent="0.2">
      <c r="F574" s="36"/>
      <c r="G574" s="67"/>
      <c r="I574" s="74"/>
    </row>
    <row r="575" spans="6:9" ht="13.5" customHeight="1" x14ac:dyDescent="0.2">
      <c r="F575" s="36"/>
      <c r="G575" s="67"/>
      <c r="I575" s="74"/>
    </row>
    <row r="576" spans="6:9" ht="13.5" customHeight="1" x14ac:dyDescent="0.2">
      <c r="F576" s="36"/>
      <c r="G576" s="67"/>
      <c r="I576" s="74"/>
    </row>
    <row r="577" spans="6:9" ht="13.5" customHeight="1" x14ac:dyDescent="0.2">
      <c r="F577" s="36"/>
      <c r="G577" s="67"/>
      <c r="I577" s="74"/>
    </row>
    <row r="578" spans="6:9" ht="13.5" customHeight="1" x14ac:dyDescent="0.2">
      <c r="F578" s="36"/>
      <c r="G578" s="67"/>
      <c r="I578" s="74"/>
    </row>
    <row r="579" spans="6:9" ht="13.5" customHeight="1" x14ac:dyDescent="0.2">
      <c r="F579" s="36"/>
      <c r="G579" s="67"/>
      <c r="I579" s="74"/>
    </row>
    <row r="580" spans="6:9" ht="13.5" customHeight="1" x14ac:dyDescent="0.2">
      <c r="F580" s="36"/>
      <c r="G580" s="67"/>
      <c r="I580" s="74"/>
    </row>
    <row r="581" spans="6:9" ht="13.5" customHeight="1" x14ac:dyDescent="0.2">
      <c r="F581" s="36"/>
      <c r="G581" s="67"/>
      <c r="I581" s="74"/>
    </row>
    <row r="582" spans="6:9" ht="13.5" customHeight="1" x14ac:dyDescent="0.2">
      <c r="F582" s="36"/>
      <c r="G582" s="67"/>
      <c r="I582" s="74"/>
    </row>
    <row r="583" spans="6:9" ht="13.5" customHeight="1" x14ac:dyDescent="0.2">
      <c r="F583" s="36"/>
      <c r="G583" s="67"/>
      <c r="I583" s="74"/>
    </row>
    <row r="584" spans="6:9" ht="13.5" customHeight="1" x14ac:dyDescent="0.2">
      <c r="F584" s="36"/>
      <c r="G584" s="67"/>
      <c r="I584" s="74"/>
    </row>
    <row r="585" spans="6:9" ht="13.5" customHeight="1" x14ac:dyDescent="0.2">
      <c r="F585" s="36"/>
      <c r="G585" s="67"/>
      <c r="I585" s="74"/>
    </row>
    <row r="586" spans="6:9" ht="13.5" customHeight="1" x14ac:dyDescent="0.2">
      <c r="F586" s="36"/>
      <c r="G586" s="67"/>
      <c r="I586" s="74"/>
    </row>
    <row r="587" spans="6:9" ht="13.5" customHeight="1" x14ac:dyDescent="0.2">
      <c r="F587" s="36"/>
      <c r="G587" s="67"/>
      <c r="I587" s="74"/>
    </row>
    <row r="588" spans="6:9" ht="13.5" customHeight="1" x14ac:dyDescent="0.2">
      <c r="F588" s="36"/>
      <c r="G588" s="67"/>
      <c r="I588" s="74"/>
    </row>
    <row r="589" spans="6:9" ht="13.5" customHeight="1" x14ac:dyDescent="0.2">
      <c r="F589" s="36"/>
      <c r="G589" s="67"/>
      <c r="I589" s="74"/>
    </row>
    <row r="590" spans="6:9" ht="13.5" customHeight="1" x14ac:dyDescent="0.2">
      <c r="F590" s="36"/>
      <c r="G590" s="67"/>
      <c r="I590" s="74"/>
    </row>
    <row r="591" spans="6:9" ht="13.5" customHeight="1" x14ac:dyDescent="0.2">
      <c r="F591" s="36"/>
      <c r="G591" s="67"/>
      <c r="I591" s="74"/>
    </row>
    <row r="592" spans="6:9" ht="13.5" customHeight="1" x14ac:dyDescent="0.2">
      <c r="F592" s="36"/>
      <c r="G592" s="67"/>
      <c r="I592" s="74"/>
    </row>
    <row r="593" spans="6:9" ht="13.5" customHeight="1" x14ac:dyDescent="0.2">
      <c r="F593" s="36"/>
      <c r="G593" s="67"/>
      <c r="I593" s="74"/>
    </row>
    <row r="594" spans="6:9" ht="13.5" customHeight="1" x14ac:dyDescent="0.2">
      <c r="F594" s="36"/>
      <c r="G594" s="67"/>
      <c r="I594" s="74"/>
    </row>
    <row r="595" spans="6:9" ht="13.5" customHeight="1" x14ac:dyDescent="0.2">
      <c r="F595" s="36"/>
      <c r="G595" s="67"/>
      <c r="I595" s="74"/>
    </row>
    <row r="596" spans="6:9" ht="13.5" customHeight="1" x14ac:dyDescent="0.2">
      <c r="F596" s="36"/>
      <c r="G596" s="67"/>
      <c r="I596" s="74"/>
    </row>
    <row r="597" spans="6:9" ht="13.5" customHeight="1" x14ac:dyDescent="0.2">
      <c r="F597" s="36"/>
      <c r="G597" s="67"/>
      <c r="I597" s="74"/>
    </row>
    <row r="598" spans="6:9" ht="13.5" customHeight="1" x14ac:dyDescent="0.2">
      <c r="F598" s="36"/>
      <c r="G598" s="67"/>
      <c r="I598" s="74"/>
    </row>
    <row r="599" spans="6:9" ht="13.5" customHeight="1" x14ac:dyDescent="0.2">
      <c r="F599" s="36"/>
      <c r="G599" s="67"/>
      <c r="I599" s="74"/>
    </row>
    <row r="600" spans="6:9" ht="13.5" customHeight="1" x14ac:dyDescent="0.2">
      <c r="F600" s="36"/>
      <c r="G600" s="67"/>
      <c r="I600" s="74"/>
    </row>
    <row r="601" spans="6:9" ht="13.5" customHeight="1" x14ac:dyDescent="0.2">
      <c r="F601" s="36"/>
      <c r="G601" s="67"/>
      <c r="I601" s="74"/>
    </row>
    <row r="602" spans="6:9" ht="13.5" customHeight="1" x14ac:dyDescent="0.2">
      <c r="F602" s="36"/>
      <c r="G602" s="67"/>
      <c r="I602" s="74"/>
    </row>
    <row r="603" spans="6:9" ht="13.5" customHeight="1" x14ac:dyDescent="0.2">
      <c r="F603" s="36"/>
      <c r="G603" s="67"/>
      <c r="I603" s="74"/>
    </row>
    <row r="604" spans="6:9" ht="13.5" customHeight="1" x14ac:dyDescent="0.2">
      <c r="F604" s="36"/>
      <c r="G604" s="67"/>
      <c r="I604" s="74"/>
    </row>
    <row r="605" spans="6:9" ht="13.5" customHeight="1" x14ac:dyDescent="0.2">
      <c r="F605" s="36"/>
      <c r="G605" s="67"/>
      <c r="I605" s="74"/>
    </row>
    <row r="606" spans="6:9" ht="13.5" customHeight="1" x14ac:dyDescent="0.2">
      <c r="F606" s="36"/>
      <c r="G606" s="67"/>
      <c r="I606" s="74"/>
    </row>
    <row r="607" spans="6:9" ht="13.5" customHeight="1" x14ac:dyDescent="0.2">
      <c r="F607" s="36"/>
      <c r="G607" s="67"/>
      <c r="I607" s="74"/>
    </row>
    <row r="608" spans="6:9" ht="13.5" customHeight="1" x14ac:dyDescent="0.2">
      <c r="F608" s="36"/>
      <c r="G608" s="67"/>
      <c r="I608" s="74"/>
    </row>
    <row r="609" spans="6:9" ht="13.5" customHeight="1" x14ac:dyDescent="0.2">
      <c r="F609" s="36"/>
      <c r="G609" s="67"/>
      <c r="I609" s="74"/>
    </row>
    <row r="610" spans="6:9" ht="13.5" customHeight="1" x14ac:dyDescent="0.2">
      <c r="F610" s="36"/>
      <c r="G610" s="67"/>
      <c r="I610" s="74"/>
    </row>
    <row r="611" spans="6:9" ht="13.5" customHeight="1" x14ac:dyDescent="0.2">
      <c r="F611" s="36"/>
      <c r="G611" s="67"/>
      <c r="I611" s="74"/>
    </row>
    <row r="612" spans="6:9" ht="13.5" customHeight="1" x14ac:dyDescent="0.2">
      <c r="F612" s="36"/>
      <c r="G612" s="67"/>
      <c r="I612" s="74"/>
    </row>
    <row r="613" spans="6:9" ht="13.5" customHeight="1" x14ac:dyDescent="0.2">
      <c r="F613" s="36"/>
      <c r="G613" s="67"/>
      <c r="I613" s="74"/>
    </row>
    <row r="614" spans="6:9" ht="13.5" customHeight="1" x14ac:dyDescent="0.2">
      <c r="F614" s="36"/>
      <c r="G614" s="67"/>
      <c r="I614" s="74"/>
    </row>
    <row r="615" spans="6:9" ht="13.5" customHeight="1" x14ac:dyDescent="0.2">
      <c r="F615" s="36"/>
      <c r="G615" s="67"/>
      <c r="I615" s="74"/>
    </row>
    <row r="616" spans="6:9" ht="13.5" customHeight="1" x14ac:dyDescent="0.2">
      <c r="F616" s="36"/>
      <c r="G616" s="67"/>
      <c r="I616" s="74"/>
    </row>
    <row r="617" spans="6:9" ht="13.5" customHeight="1" x14ac:dyDescent="0.2">
      <c r="F617" s="36"/>
      <c r="G617" s="67"/>
      <c r="I617" s="74"/>
    </row>
    <row r="618" spans="6:9" ht="13.5" customHeight="1" x14ac:dyDescent="0.2">
      <c r="F618" s="36"/>
      <c r="G618" s="67"/>
      <c r="I618" s="74"/>
    </row>
    <row r="619" spans="6:9" ht="13.5" customHeight="1" x14ac:dyDescent="0.2">
      <c r="F619" s="36"/>
      <c r="G619" s="67"/>
      <c r="I619" s="74"/>
    </row>
    <row r="620" spans="6:9" ht="13.5" customHeight="1" x14ac:dyDescent="0.2">
      <c r="F620" s="36"/>
      <c r="G620" s="67"/>
      <c r="I620" s="74"/>
    </row>
    <row r="621" spans="6:9" ht="13.5" customHeight="1" x14ac:dyDescent="0.2">
      <c r="F621" s="36"/>
      <c r="G621" s="67"/>
      <c r="I621" s="74"/>
    </row>
    <row r="622" spans="6:9" ht="13.5" customHeight="1" x14ac:dyDescent="0.2">
      <c r="F622" s="36"/>
      <c r="G622" s="67"/>
      <c r="I622" s="74"/>
    </row>
    <row r="623" spans="6:9" ht="13.5" customHeight="1" x14ac:dyDescent="0.2">
      <c r="F623" s="36"/>
      <c r="G623" s="67"/>
      <c r="I623" s="74"/>
    </row>
    <row r="624" spans="6:9" ht="13.5" customHeight="1" x14ac:dyDescent="0.2">
      <c r="F624" s="36"/>
      <c r="G624" s="67"/>
      <c r="I624" s="74"/>
    </row>
    <row r="625" spans="6:9" ht="13.5" customHeight="1" x14ac:dyDescent="0.2">
      <c r="F625" s="36"/>
      <c r="G625" s="67"/>
      <c r="I625" s="74"/>
    </row>
    <row r="626" spans="6:9" ht="13.5" customHeight="1" x14ac:dyDescent="0.2">
      <c r="F626" s="36"/>
      <c r="G626" s="67"/>
      <c r="I626" s="74"/>
    </row>
    <row r="627" spans="6:9" ht="13.5" customHeight="1" x14ac:dyDescent="0.2">
      <c r="F627" s="36"/>
      <c r="G627" s="67"/>
      <c r="I627" s="74"/>
    </row>
    <row r="628" spans="6:9" ht="13.5" customHeight="1" x14ac:dyDescent="0.2">
      <c r="F628" s="36"/>
      <c r="G628" s="67"/>
      <c r="I628" s="74"/>
    </row>
    <row r="629" spans="6:9" ht="13.5" customHeight="1" x14ac:dyDescent="0.2">
      <c r="F629" s="36"/>
      <c r="G629" s="67"/>
      <c r="I629" s="74"/>
    </row>
    <row r="630" spans="6:9" ht="13.5" customHeight="1" x14ac:dyDescent="0.2">
      <c r="F630" s="36"/>
      <c r="G630" s="67"/>
      <c r="I630" s="74"/>
    </row>
    <row r="631" spans="6:9" ht="13.5" customHeight="1" x14ac:dyDescent="0.2">
      <c r="F631" s="36"/>
      <c r="G631" s="67"/>
      <c r="I631" s="74"/>
    </row>
    <row r="632" spans="6:9" ht="13.5" customHeight="1" x14ac:dyDescent="0.2">
      <c r="F632" s="36"/>
      <c r="G632" s="67"/>
      <c r="I632" s="74"/>
    </row>
    <row r="633" spans="6:9" ht="13.5" customHeight="1" x14ac:dyDescent="0.2">
      <c r="F633" s="36"/>
      <c r="G633" s="67"/>
      <c r="I633" s="74"/>
    </row>
    <row r="634" spans="6:9" ht="13.5" customHeight="1" x14ac:dyDescent="0.2">
      <c r="F634" s="36"/>
      <c r="G634" s="67"/>
      <c r="I634" s="74"/>
    </row>
    <row r="635" spans="6:9" ht="13.5" customHeight="1" x14ac:dyDescent="0.2">
      <c r="F635" s="36"/>
      <c r="G635" s="67"/>
      <c r="I635" s="74"/>
    </row>
    <row r="636" spans="6:9" ht="13.5" customHeight="1" x14ac:dyDescent="0.2">
      <c r="F636" s="36"/>
      <c r="G636" s="67"/>
      <c r="I636" s="74"/>
    </row>
    <row r="637" spans="6:9" ht="13.5" customHeight="1" x14ac:dyDescent="0.2">
      <c r="F637" s="36"/>
      <c r="G637" s="67"/>
      <c r="I637" s="74"/>
    </row>
    <row r="638" spans="6:9" ht="13.5" customHeight="1" x14ac:dyDescent="0.2">
      <c r="F638" s="36"/>
      <c r="G638" s="67"/>
      <c r="I638" s="74"/>
    </row>
    <row r="639" spans="6:9" ht="13.5" customHeight="1" x14ac:dyDescent="0.2">
      <c r="F639" s="36"/>
      <c r="G639" s="67"/>
      <c r="I639" s="74"/>
    </row>
    <row r="640" spans="6:9" ht="13.5" customHeight="1" x14ac:dyDescent="0.2">
      <c r="F640" s="36"/>
      <c r="G640" s="67"/>
      <c r="I640" s="74"/>
    </row>
    <row r="641" spans="6:9" ht="13.5" customHeight="1" x14ac:dyDescent="0.2">
      <c r="F641" s="36"/>
      <c r="G641" s="67"/>
      <c r="I641" s="74"/>
    </row>
    <row r="642" spans="6:9" ht="13.5" customHeight="1" x14ac:dyDescent="0.2">
      <c r="F642" s="36"/>
      <c r="G642" s="67"/>
      <c r="I642" s="74"/>
    </row>
    <row r="643" spans="6:9" ht="13.5" customHeight="1" x14ac:dyDescent="0.2">
      <c r="F643" s="36"/>
      <c r="G643" s="67"/>
      <c r="I643" s="74"/>
    </row>
    <row r="644" spans="6:9" ht="13.5" customHeight="1" x14ac:dyDescent="0.2">
      <c r="F644" s="36"/>
      <c r="G644" s="67"/>
      <c r="I644" s="74"/>
    </row>
    <row r="645" spans="6:9" ht="13.5" customHeight="1" x14ac:dyDescent="0.2">
      <c r="F645" s="36"/>
      <c r="G645" s="67"/>
      <c r="I645" s="74"/>
    </row>
    <row r="646" spans="6:9" ht="13.5" customHeight="1" x14ac:dyDescent="0.2">
      <c r="F646" s="36"/>
      <c r="G646" s="67"/>
      <c r="I646" s="74"/>
    </row>
    <row r="647" spans="6:9" ht="13.5" customHeight="1" x14ac:dyDescent="0.2">
      <c r="F647" s="36"/>
      <c r="G647" s="67"/>
      <c r="I647" s="74"/>
    </row>
    <row r="648" spans="6:9" ht="13.5" customHeight="1" x14ac:dyDescent="0.2">
      <c r="F648" s="36"/>
      <c r="G648" s="67"/>
      <c r="I648" s="74"/>
    </row>
    <row r="649" spans="6:9" ht="13.5" customHeight="1" x14ac:dyDescent="0.2">
      <c r="F649" s="36"/>
      <c r="G649" s="67"/>
      <c r="I649" s="74"/>
    </row>
    <row r="650" spans="6:9" ht="13.5" customHeight="1" x14ac:dyDescent="0.2">
      <c r="F650" s="36"/>
      <c r="G650" s="67"/>
      <c r="I650" s="74"/>
    </row>
    <row r="651" spans="6:9" ht="13.5" customHeight="1" x14ac:dyDescent="0.2">
      <c r="F651" s="36"/>
      <c r="G651" s="67"/>
      <c r="I651" s="74"/>
    </row>
    <row r="652" spans="6:9" ht="13.5" customHeight="1" x14ac:dyDescent="0.2">
      <c r="F652" s="36"/>
      <c r="G652" s="67"/>
      <c r="I652" s="74"/>
    </row>
    <row r="653" spans="6:9" ht="13.5" customHeight="1" x14ac:dyDescent="0.2">
      <c r="F653" s="36"/>
      <c r="G653" s="67"/>
      <c r="I653" s="74"/>
    </row>
    <row r="654" spans="6:9" ht="13.5" customHeight="1" x14ac:dyDescent="0.2">
      <c r="F654" s="36"/>
      <c r="G654" s="67"/>
      <c r="I654" s="74"/>
    </row>
    <row r="655" spans="6:9" ht="13.5" customHeight="1" x14ac:dyDescent="0.2">
      <c r="F655" s="36"/>
      <c r="G655" s="67"/>
      <c r="I655" s="74"/>
    </row>
    <row r="656" spans="6:9" ht="13.5" customHeight="1" x14ac:dyDescent="0.2">
      <c r="F656" s="36"/>
      <c r="G656" s="67"/>
      <c r="I656" s="74"/>
    </row>
    <row r="657" spans="6:9" ht="13.5" customHeight="1" x14ac:dyDescent="0.2">
      <c r="F657" s="36"/>
      <c r="G657" s="67"/>
      <c r="I657" s="74"/>
    </row>
    <row r="658" spans="6:9" ht="13.5" customHeight="1" x14ac:dyDescent="0.2">
      <c r="F658" s="36"/>
      <c r="G658" s="67"/>
      <c r="I658" s="74"/>
    </row>
    <row r="659" spans="6:9" ht="13.5" customHeight="1" x14ac:dyDescent="0.2">
      <c r="F659" s="36"/>
      <c r="G659" s="67"/>
      <c r="I659" s="74"/>
    </row>
    <row r="660" spans="6:9" ht="13.5" customHeight="1" x14ac:dyDescent="0.2">
      <c r="F660" s="36"/>
      <c r="G660" s="67"/>
      <c r="I660" s="74"/>
    </row>
    <row r="661" spans="6:9" ht="13.5" customHeight="1" x14ac:dyDescent="0.2">
      <c r="F661" s="36"/>
      <c r="G661" s="67"/>
      <c r="I661" s="74"/>
    </row>
    <row r="662" spans="6:9" ht="13.5" customHeight="1" x14ac:dyDescent="0.2">
      <c r="F662" s="36"/>
      <c r="G662" s="67"/>
      <c r="I662" s="74"/>
    </row>
    <row r="663" spans="6:9" ht="13.5" customHeight="1" x14ac:dyDescent="0.2">
      <c r="F663" s="36"/>
      <c r="G663" s="67"/>
      <c r="I663" s="74"/>
    </row>
    <row r="664" spans="6:9" ht="13.5" customHeight="1" x14ac:dyDescent="0.2">
      <c r="F664" s="36"/>
      <c r="G664" s="67"/>
      <c r="I664" s="74"/>
    </row>
    <row r="665" spans="6:9" ht="13.5" customHeight="1" x14ac:dyDescent="0.2">
      <c r="F665" s="36"/>
      <c r="G665" s="67"/>
      <c r="I665" s="74"/>
    </row>
    <row r="666" spans="6:9" ht="13.5" customHeight="1" x14ac:dyDescent="0.2">
      <c r="F666" s="36"/>
      <c r="G666" s="67"/>
      <c r="I666" s="74"/>
    </row>
    <row r="667" spans="6:9" ht="13.5" customHeight="1" x14ac:dyDescent="0.2">
      <c r="F667" s="36"/>
      <c r="G667" s="67"/>
      <c r="I667" s="74"/>
    </row>
    <row r="668" spans="6:9" ht="13.5" customHeight="1" x14ac:dyDescent="0.2">
      <c r="F668" s="36"/>
      <c r="G668" s="67"/>
      <c r="I668" s="74"/>
    </row>
    <row r="669" spans="6:9" ht="13.5" customHeight="1" x14ac:dyDescent="0.2">
      <c r="F669" s="36"/>
      <c r="G669" s="67"/>
      <c r="I669" s="74"/>
    </row>
    <row r="670" spans="6:9" ht="13.5" customHeight="1" x14ac:dyDescent="0.2">
      <c r="F670" s="36"/>
      <c r="G670" s="67"/>
      <c r="I670" s="74"/>
    </row>
    <row r="671" spans="6:9" ht="13.5" customHeight="1" x14ac:dyDescent="0.2">
      <c r="F671" s="36"/>
      <c r="G671" s="67"/>
      <c r="I671" s="74"/>
    </row>
    <row r="672" spans="6:9" ht="13.5" customHeight="1" x14ac:dyDescent="0.2">
      <c r="F672" s="36"/>
      <c r="G672" s="67"/>
      <c r="I672" s="74"/>
    </row>
    <row r="673" spans="6:9" ht="13.5" customHeight="1" x14ac:dyDescent="0.2">
      <c r="F673" s="36"/>
      <c r="G673" s="67"/>
      <c r="I673" s="74"/>
    </row>
    <row r="674" spans="6:9" ht="13.5" customHeight="1" x14ac:dyDescent="0.2">
      <c r="F674" s="36"/>
      <c r="G674" s="67"/>
      <c r="I674" s="74"/>
    </row>
    <row r="675" spans="6:9" ht="13.5" customHeight="1" x14ac:dyDescent="0.2">
      <c r="F675" s="36"/>
      <c r="G675" s="67"/>
      <c r="I675" s="74"/>
    </row>
    <row r="676" spans="6:9" ht="13.5" customHeight="1" x14ac:dyDescent="0.2">
      <c r="F676" s="36"/>
      <c r="G676" s="67"/>
      <c r="I676" s="74"/>
    </row>
    <row r="677" spans="6:9" ht="13.5" customHeight="1" x14ac:dyDescent="0.2">
      <c r="F677" s="36"/>
      <c r="G677" s="67"/>
      <c r="I677" s="74"/>
    </row>
    <row r="678" spans="6:9" ht="13.5" customHeight="1" x14ac:dyDescent="0.2">
      <c r="F678" s="36"/>
      <c r="G678" s="67"/>
      <c r="I678" s="74"/>
    </row>
    <row r="679" spans="6:9" ht="13.5" customHeight="1" x14ac:dyDescent="0.2">
      <c r="F679" s="36"/>
      <c r="G679" s="67"/>
      <c r="I679" s="74"/>
    </row>
    <row r="680" spans="6:9" ht="13.5" customHeight="1" x14ac:dyDescent="0.2">
      <c r="F680" s="36"/>
      <c r="G680" s="67"/>
      <c r="I680" s="74"/>
    </row>
    <row r="681" spans="6:9" ht="13.5" customHeight="1" x14ac:dyDescent="0.2">
      <c r="F681" s="36"/>
      <c r="G681" s="67"/>
      <c r="I681" s="74"/>
    </row>
    <row r="682" spans="6:9" ht="13.5" customHeight="1" x14ac:dyDescent="0.2">
      <c r="F682" s="36"/>
      <c r="G682" s="67"/>
      <c r="I682" s="74"/>
    </row>
    <row r="683" spans="6:9" ht="13.5" customHeight="1" x14ac:dyDescent="0.2">
      <c r="F683" s="36"/>
      <c r="G683" s="67"/>
      <c r="I683" s="74"/>
    </row>
    <row r="684" spans="6:9" ht="13.5" customHeight="1" x14ac:dyDescent="0.2">
      <c r="F684" s="36"/>
      <c r="G684" s="67"/>
      <c r="I684" s="74"/>
    </row>
    <row r="685" spans="6:9" ht="13.5" customHeight="1" x14ac:dyDescent="0.2">
      <c r="F685" s="36"/>
      <c r="G685" s="67"/>
      <c r="I685" s="74"/>
    </row>
    <row r="686" spans="6:9" ht="13.5" customHeight="1" x14ac:dyDescent="0.2">
      <c r="F686" s="36"/>
      <c r="G686" s="67"/>
      <c r="I686" s="74"/>
    </row>
    <row r="687" spans="6:9" ht="13.5" customHeight="1" x14ac:dyDescent="0.2">
      <c r="F687" s="36"/>
      <c r="G687" s="67"/>
      <c r="I687" s="74"/>
    </row>
    <row r="688" spans="6:9" ht="13.5" customHeight="1" x14ac:dyDescent="0.2">
      <c r="F688" s="36"/>
      <c r="G688" s="67"/>
      <c r="I688" s="74"/>
    </row>
    <row r="689" spans="6:9" ht="13.5" customHeight="1" x14ac:dyDescent="0.2">
      <c r="F689" s="36"/>
      <c r="G689" s="67"/>
      <c r="I689" s="74"/>
    </row>
    <row r="690" spans="6:9" ht="13.5" customHeight="1" x14ac:dyDescent="0.2">
      <c r="F690" s="36"/>
      <c r="G690" s="67"/>
      <c r="I690" s="74"/>
    </row>
    <row r="691" spans="6:9" ht="13.5" customHeight="1" x14ac:dyDescent="0.2">
      <c r="F691" s="36"/>
      <c r="G691" s="67"/>
      <c r="I691" s="74"/>
    </row>
    <row r="692" spans="6:9" ht="13.5" customHeight="1" x14ac:dyDescent="0.2">
      <c r="F692" s="36"/>
      <c r="G692" s="67"/>
      <c r="I692" s="74"/>
    </row>
    <row r="693" spans="6:9" ht="13.5" customHeight="1" x14ac:dyDescent="0.2">
      <c r="F693" s="36"/>
      <c r="G693" s="67"/>
      <c r="I693" s="74"/>
    </row>
    <row r="694" spans="6:9" ht="13.5" customHeight="1" x14ac:dyDescent="0.2">
      <c r="F694" s="36"/>
      <c r="G694" s="67"/>
      <c r="I694" s="74"/>
    </row>
    <row r="695" spans="6:9" ht="13.5" customHeight="1" x14ac:dyDescent="0.2">
      <c r="F695" s="36"/>
      <c r="G695" s="67"/>
      <c r="I695" s="74"/>
    </row>
    <row r="696" spans="6:9" ht="13.5" customHeight="1" x14ac:dyDescent="0.2">
      <c r="F696" s="36"/>
      <c r="G696" s="67"/>
      <c r="I696" s="74"/>
    </row>
    <row r="697" spans="6:9" ht="13.5" customHeight="1" x14ac:dyDescent="0.2">
      <c r="F697" s="36"/>
      <c r="G697" s="67"/>
      <c r="I697" s="74"/>
    </row>
    <row r="698" spans="6:9" ht="13.5" customHeight="1" x14ac:dyDescent="0.2">
      <c r="F698" s="36"/>
      <c r="G698" s="67"/>
      <c r="I698" s="74"/>
    </row>
    <row r="699" spans="6:9" ht="13.5" customHeight="1" x14ac:dyDescent="0.2">
      <c r="F699" s="36"/>
      <c r="G699" s="67"/>
      <c r="I699" s="74"/>
    </row>
    <row r="700" spans="6:9" ht="13.5" customHeight="1" x14ac:dyDescent="0.2">
      <c r="F700" s="36"/>
      <c r="G700" s="67"/>
      <c r="I700" s="74"/>
    </row>
    <row r="701" spans="6:9" ht="13.5" customHeight="1" x14ac:dyDescent="0.2">
      <c r="F701" s="36"/>
      <c r="G701" s="67"/>
      <c r="I701" s="74"/>
    </row>
    <row r="702" spans="6:9" ht="13.5" customHeight="1" x14ac:dyDescent="0.2">
      <c r="F702" s="36"/>
      <c r="G702" s="67"/>
      <c r="I702" s="74"/>
    </row>
    <row r="703" spans="6:9" ht="13.5" customHeight="1" x14ac:dyDescent="0.2">
      <c r="F703" s="36"/>
      <c r="G703" s="67"/>
      <c r="I703" s="74"/>
    </row>
    <row r="704" spans="6:9" ht="13.5" customHeight="1" x14ac:dyDescent="0.2">
      <c r="F704" s="36"/>
      <c r="G704" s="67"/>
      <c r="I704" s="74"/>
    </row>
    <row r="705" spans="6:9" ht="13.5" customHeight="1" x14ac:dyDescent="0.2">
      <c r="F705" s="36"/>
      <c r="G705" s="67"/>
      <c r="I705" s="74"/>
    </row>
    <row r="706" spans="6:9" ht="13.5" customHeight="1" x14ac:dyDescent="0.2">
      <c r="F706" s="36"/>
      <c r="G706" s="67"/>
      <c r="I706" s="74"/>
    </row>
    <row r="707" spans="6:9" ht="13.5" customHeight="1" x14ac:dyDescent="0.2">
      <c r="F707" s="36"/>
      <c r="G707" s="67"/>
      <c r="I707" s="74"/>
    </row>
    <row r="708" spans="6:9" ht="13.5" customHeight="1" x14ac:dyDescent="0.2">
      <c r="F708" s="36"/>
      <c r="G708" s="67"/>
      <c r="I708" s="74"/>
    </row>
    <row r="709" spans="6:9" ht="13.5" customHeight="1" x14ac:dyDescent="0.2">
      <c r="F709" s="36"/>
      <c r="G709" s="67"/>
      <c r="I709" s="74"/>
    </row>
    <row r="710" spans="6:9" ht="13.5" customHeight="1" x14ac:dyDescent="0.2">
      <c r="F710" s="36"/>
      <c r="G710" s="67"/>
      <c r="I710" s="74"/>
    </row>
    <row r="711" spans="6:9" ht="13.5" customHeight="1" x14ac:dyDescent="0.2">
      <c r="F711" s="36"/>
      <c r="G711" s="67"/>
      <c r="I711" s="74"/>
    </row>
    <row r="712" spans="6:9" ht="13.5" customHeight="1" x14ac:dyDescent="0.2">
      <c r="F712" s="36"/>
      <c r="G712" s="67"/>
      <c r="I712" s="74"/>
    </row>
    <row r="713" spans="6:9" ht="13.5" customHeight="1" x14ac:dyDescent="0.2">
      <c r="F713" s="36"/>
      <c r="G713" s="67"/>
      <c r="I713" s="74"/>
    </row>
    <row r="714" spans="6:9" ht="13.5" customHeight="1" x14ac:dyDescent="0.2">
      <c r="F714" s="36"/>
      <c r="G714" s="67"/>
      <c r="I714" s="74"/>
    </row>
    <row r="715" spans="6:9" ht="13.5" customHeight="1" x14ac:dyDescent="0.2">
      <c r="F715" s="36"/>
      <c r="G715" s="67"/>
      <c r="I715" s="74"/>
    </row>
    <row r="716" spans="6:9" ht="13.5" customHeight="1" x14ac:dyDescent="0.2">
      <c r="F716" s="36"/>
      <c r="G716" s="67"/>
      <c r="I716" s="74"/>
    </row>
    <row r="717" spans="6:9" ht="13.5" customHeight="1" x14ac:dyDescent="0.2">
      <c r="F717" s="36"/>
      <c r="G717" s="67"/>
      <c r="I717" s="74"/>
    </row>
    <row r="718" spans="6:9" ht="13.5" customHeight="1" x14ac:dyDescent="0.2">
      <c r="F718" s="36"/>
      <c r="G718" s="67"/>
      <c r="I718" s="74"/>
    </row>
    <row r="719" spans="6:9" ht="13.5" customHeight="1" x14ac:dyDescent="0.2">
      <c r="F719" s="36"/>
      <c r="G719" s="67"/>
      <c r="I719" s="74"/>
    </row>
    <row r="720" spans="6:9" ht="13.5" customHeight="1" x14ac:dyDescent="0.2">
      <c r="F720" s="36"/>
      <c r="G720" s="67"/>
      <c r="I720" s="74"/>
    </row>
    <row r="721" spans="6:9" ht="13.5" customHeight="1" x14ac:dyDescent="0.2">
      <c r="F721" s="36"/>
      <c r="G721" s="67"/>
      <c r="I721" s="74"/>
    </row>
    <row r="722" spans="6:9" ht="13.5" customHeight="1" x14ac:dyDescent="0.2">
      <c r="F722" s="36"/>
      <c r="G722" s="67"/>
      <c r="I722" s="74"/>
    </row>
    <row r="723" spans="6:9" ht="13.5" customHeight="1" x14ac:dyDescent="0.2">
      <c r="F723" s="36"/>
      <c r="G723" s="67"/>
      <c r="I723" s="74"/>
    </row>
    <row r="724" spans="6:9" ht="13.5" customHeight="1" x14ac:dyDescent="0.2">
      <c r="F724" s="36"/>
      <c r="G724" s="67"/>
      <c r="I724" s="74"/>
    </row>
    <row r="725" spans="6:9" ht="13.5" customHeight="1" x14ac:dyDescent="0.2">
      <c r="F725" s="36"/>
      <c r="G725" s="67"/>
      <c r="I725" s="74"/>
    </row>
    <row r="726" spans="6:9" ht="13.5" customHeight="1" x14ac:dyDescent="0.2">
      <c r="F726" s="36"/>
      <c r="G726" s="67"/>
      <c r="I726" s="74"/>
    </row>
    <row r="727" spans="6:9" ht="13.5" customHeight="1" x14ac:dyDescent="0.2">
      <c r="F727" s="36"/>
      <c r="G727" s="67"/>
      <c r="I727" s="74"/>
    </row>
    <row r="728" spans="6:9" ht="13.5" customHeight="1" x14ac:dyDescent="0.2">
      <c r="F728" s="36"/>
      <c r="G728" s="67"/>
      <c r="I728" s="74"/>
    </row>
    <row r="729" spans="6:9" ht="13.5" customHeight="1" x14ac:dyDescent="0.2">
      <c r="F729" s="36"/>
      <c r="G729" s="67"/>
      <c r="I729" s="74"/>
    </row>
    <row r="730" spans="6:9" ht="13.5" customHeight="1" x14ac:dyDescent="0.2">
      <c r="F730" s="36"/>
      <c r="G730" s="67"/>
      <c r="I730" s="74"/>
    </row>
    <row r="731" spans="6:9" ht="13.5" customHeight="1" x14ac:dyDescent="0.2">
      <c r="F731" s="36"/>
      <c r="G731" s="67"/>
      <c r="I731" s="74"/>
    </row>
    <row r="732" spans="6:9" ht="13.5" customHeight="1" x14ac:dyDescent="0.2">
      <c r="F732" s="36"/>
      <c r="G732" s="67"/>
      <c r="I732" s="74"/>
    </row>
    <row r="733" spans="6:9" ht="13.5" customHeight="1" x14ac:dyDescent="0.2">
      <c r="F733" s="36"/>
      <c r="G733" s="67"/>
      <c r="I733" s="74"/>
    </row>
    <row r="734" spans="6:9" ht="13.5" customHeight="1" x14ac:dyDescent="0.2">
      <c r="F734" s="36"/>
      <c r="G734" s="67"/>
      <c r="I734" s="74"/>
    </row>
    <row r="735" spans="6:9" ht="13.5" customHeight="1" x14ac:dyDescent="0.2">
      <c r="F735" s="36"/>
      <c r="G735" s="67"/>
      <c r="I735" s="74"/>
    </row>
    <row r="736" spans="6:9" ht="13.5" customHeight="1" x14ac:dyDescent="0.2">
      <c r="F736" s="36"/>
      <c r="G736" s="67"/>
      <c r="I736" s="74"/>
    </row>
    <row r="737" spans="6:9" ht="13.5" customHeight="1" x14ac:dyDescent="0.2">
      <c r="F737" s="36"/>
      <c r="G737" s="67"/>
      <c r="I737" s="74"/>
    </row>
    <row r="738" spans="6:9" ht="13.5" customHeight="1" x14ac:dyDescent="0.2">
      <c r="F738" s="36"/>
      <c r="G738" s="67"/>
      <c r="I738" s="74"/>
    </row>
    <row r="739" spans="6:9" ht="13.5" customHeight="1" x14ac:dyDescent="0.2">
      <c r="F739" s="36"/>
      <c r="G739" s="67"/>
      <c r="I739" s="74"/>
    </row>
    <row r="740" spans="6:9" ht="13.5" customHeight="1" x14ac:dyDescent="0.2">
      <c r="F740" s="36"/>
      <c r="G740" s="67"/>
      <c r="I740" s="74"/>
    </row>
    <row r="741" spans="6:9" ht="13.5" customHeight="1" x14ac:dyDescent="0.2">
      <c r="F741" s="36"/>
      <c r="G741" s="67"/>
      <c r="I741" s="74"/>
    </row>
    <row r="742" spans="6:9" ht="13.5" customHeight="1" x14ac:dyDescent="0.2">
      <c r="F742" s="36"/>
      <c r="G742" s="67"/>
      <c r="I742" s="74"/>
    </row>
    <row r="743" spans="6:9" ht="13.5" customHeight="1" x14ac:dyDescent="0.2">
      <c r="F743" s="36"/>
      <c r="G743" s="67"/>
      <c r="I743" s="74"/>
    </row>
    <row r="744" spans="6:9" ht="13.5" customHeight="1" x14ac:dyDescent="0.2">
      <c r="F744" s="36"/>
      <c r="G744" s="67"/>
      <c r="I744" s="74"/>
    </row>
    <row r="745" spans="6:9" ht="13.5" customHeight="1" x14ac:dyDescent="0.2">
      <c r="F745" s="36"/>
      <c r="G745" s="67"/>
      <c r="I745" s="74"/>
    </row>
    <row r="746" spans="6:9" ht="13.5" customHeight="1" x14ac:dyDescent="0.2">
      <c r="F746" s="36"/>
      <c r="G746" s="67"/>
      <c r="I746" s="74"/>
    </row>
    <row r="747" spans="6:9" ht="13.5" customHeight="1" x14ac:dyDescent="0.2">
      <c r="F747" s="36"/>
      <c r="G747" s="67"/>
      <c r="I747" s="74"/>
    </row>
    <row r="748" spans="6:9" ht="13.5" customHeight="1" x14ac:dyDescent="0.2">
      <c r="F748" s="36"/>
      <c r="G748" s="67"/>
      <c r="I748" s="74"/>
    </row>
    <row r="749" spans="6:9" ht="13.5" customHeight="1" x14ac:dyDescent="0.2">
      <c r="F749" s="36"/>
      <c r="G749" s="67"/>
      <c r="I749" s="74"/>
    </row>
    <row r="750" spans="6:9" ht="13.5" customHeight="1" x14ac:dyDescent="0.2">
      <c r="F750" s="36"/>
      <c r="G750" s="67"/>
      <c r="I750" s="74"/>
    </row>
    <row r="751" spans="6:9" ht="13.5" customHeight="1" x14ac:dyDescent="0.2">
      <c r="F751" s="36"/>
      <c r="G751" s="67"/>
      <c r="I751" s="74"/>
    </row>
    <row r="752" spans="6:9" ht="13.5" customHeight="1" x14ac:dyDescent="0.2">
      <c r="F752" s="36"/>
      <c r="G752" s="67"/>
      <c r="I752" s="74"/>
    </row>
    <row r="753" spans="6:9" ht="13.5" customHeight="1" x14ac:dyDescent="0.2">
      <c r="F753" s="36"/>
      <c r="G753" s="67"/>
      <c r="I753" s="74"/>
    </row>
    <row r="754" spans="6:9" ht="13.5" customHeight="1" x14ac:dyDescent="0.2">
      <c r="F754" s="36"/>
      <c r="G754" s="67"/>
      <c r="I754" s="74"/>
    </row>
    <row r="755" spans="6:9" ht="13.5" customHeight="1" x14ac:dyDescent="0.2">
      <c r="F755" s="36"/>
      <c r="G755" s="67"/>
      <c r="I755" s="74"/>
    </row>
    <row r="756" spans="6:9" ht="13.5" customHeight="1" x14ac:dyDescent="0.2">
      <c r="F756" s="36"/>
      <c r="G756" s="67"/>
      <c r="I756" s="74"/>
    </row>
    <row r="757" spans="6:9" ht="13.5" customHeight="1" x14ac:dyDescent="0.2">
      <c r="F757" s="36"/>
      <c r="G757" s="67"/>
      <c r="I757" s="74"/>
    </row>
    <row r="758" spans="6:9" ht="13.5" customHeight="1" x14ac:dyDescent="0.2">
      <c r="F758" s="36"/>
      <c r="G758" s="67"/>
      <c r="I758" s="74"/>
    </row>
    <row r="759" spans="6:9" ht="13.5" customHeight="1" x14ac:dyDescent="0.2">
      <c r="F759" s="36"/>
      <c r="G759" s="67"/>
      <c r="I759" s="74"/>
    </row>
    <row r="760" spans="6:9" ht="13.5" customHeight="1" x14ac:dyDescent="0.2">
      <c r="F760" s="36"/>
      <c r="G760" s="67"/>
      <c r="I760" s="74"/>
    </row>
    <row r="761" spans="6:9" ht="13.5" customHeight="1" x14ac:dyDescent="0.2">
      <c r="F761" s="36"/>
      <c r="G761" s="67"/>
      <c r="I761" s="74"/>
    </row>
    <row r="762" spans="6:9" ht="13.5" customHeight="1" x14ac:dyDescent="0.2">
      <c r="F762" s="36"/>
      <c r="G762" s="67"/>
      <c r="I762" s="74"/>
    </row>
    <row r="763" spans="6:9" ht="13.5" customHeight="1" x14ac:dyDescent="0.2">
      <c r="F763" s="36"/>
      <c r="G763" s="67"/>
      <c r="I763" s="74"/>
    </row>
    <row r="764" spans="6:9" ht="13.5" customHeight="1" x14ac:dyDescent="0.2">
      <c r="F764" s="36"/>
      <c r="G764" s="67"/>
      <c r="I764" s="74"/>
    </row>
    <row r="765" spans="6:9" ht="13.5" customHeight="1" x14ac:dyDescent="0.2">
      <c r="F765" s="36"/>
      <c r="G765" s="67"/>
      <c r="I765" s="74"/>
    </row>
    <row r="766" spans="6:9" ht="13.5" customHeight="1" x14ac:dyDescent="0.2">
      <c r="F766" s="36"/>
      <c r="G766" s="67"/>
      <c r="I766" s="74"/>
    </row>
    <row r="767" spans="6:9" ht="13.5" customHeight="1" x14ac:dyDescent="0.2">
      <c r="F767" s="36"/>
      <c r="G767" s="67"/>
      <c r="I767" s="74"/>
    </row>
    <row r="768" spans="6:9" ht="13.5" customHeight="1" x14ac:dyDescent="0.2">
      <c r="F768" s="36"/>
      <c r="G768" s="67"/>
      <c r="I768" s="74"/>
    </row>
    <row r="769" spans="6:9" ht="13.5" customHeight="1" x14ac:dyDescent="0.2">
      <c r="F769" s="36"/>
      <c r="G769" s="67"/>
      <c r="I769" s="74"/>
    </row>
    <row r="770" spans="6:9" ht="13.5" customHeight="1" x14ac:dyDescent="0.2">
      <c r="F770" s="36"/>
      <c r="G770" s="67"/>
      <c r="I770" s="74"/>
    </row>
    <row r="771" spans="6:9" ht="13.5" customHeight="1" x14ac:dyDescent="0.2">
      <c r="F771" s="36"/>
      <c r="G771" s="67"/>
      <c r="I771" s="74"/>
    </row>
    <row r="772" spans="6:9" ht="13.5" customHeight="1" x14ac:dyDescent="0.2">
      <c r="F772" s="36"/>
      <c r="G772" s="67"/>
      <c r="I772" s="74"/>
    </row>
    <row r="773" spans="6:9" ht="13.5" customHeight="1" x14ac:dyDescent="0.2">
      <c r="F773" s="36"/>
      <c r="G773" s="67"/>
      <c r="I773" s="74"/>
    </row>
    <row r="774" spans="6:9" ht="13.5" customHeight="1" x14ac:dyDescent="0.2">
      <c r="F774" s="36"/>
      <c r="G774" s="67"/>
      <c r="I774" s="74"/>
    </row>
    <row r="775" spans="6:9" ht="13.5" customHeight="1" x14ac:dyDescent="0.2">
      <c r="F775" s="36"/>
      <c r="G775" s="67"/>
      <c r="I775" s="74"/>
    </row>
    <row r="776" spans="6:9" ht="13.5" customHeight="1" x14ac:dyDescent="0.2">
      <c r="F776" s="36"/>
      <c r="G776" s="67"/>
      <c r="I776" s="74"/>
    </row>
    <row r="777" spans="6:9" ht="13.5" customHeight="1" x14ac:dyDescent="0.2">
      <c r="F777" s="36"/>
      <c r="G777" s="67"/>
      <c r="I777" s="74"/>
    </row>
    <row r="778" spans="6:9" ht="13.5" customHeight="1" x14ac:dyDescent="0.2">
      <c r="F778" s="36"/>
      <c r="G778" s="67"/>
      <c r="I778" s="74"/>
    </row>
    <row r="779" spans="6:9" ht="13.5" customHeight="1" x14ac:dyDescent="0.2">
      <c r="F779" s="36"/>
      <c r="G779" s="67"/>
      <c r="I779" s="74"/>
    </row>
    <row r="780" spans="6:9" ht="13.5" customHeight="1" x14ac:dyDescent="0.2">
      <c r="F780" s="36"/>
      <c r="G780" s="67"/>
      <c r="I780" s="74"/>
    </row>
    <row r="781" spans="6:9" ht="13.5" customHeight="1" x14ac:dyDescent="0.2">
      <c r="F781" s="36"/>
      <c r="G781" s="67"/>
      <c r="I781" s="74"/>
    </row>
    <row r="782" spans="6:9" ht="13.5" customHeight="1" x14ac:dyDescent="0.2">
      <c r="F782" s="36"/>
      <c r="G782" s="67"/>
      <c r="I782" s="74"/>
    </row>
    <row r="783" spans="6:9" ht="13.5" customHeight="1" x14ac:dyDescent="0.2">
      <c r="F783" s="36"/>
      <c r="G783" s="67"/>
      <c r="I783" s="74"/>
    </row>
    <row r="784" spans="6:9" ht="13.5" customHeight="1" x14ac:dyDescent="0.2">
      <c r="F784" s="36"/>
      <c r="G784" s="67"/>
      <c r="I784" s="74"/>
    </row>
    <row r="785" spans="6:9" ht="13.5" customHeight="1" x14ac:dyDescent="0.2">
      <c r="F785" s="36"/>
      <c r="G785" s="67"/>
      <c r="I785" s="74"/>
    </row>
    <row r="786" spans="6:9" ht="13.5" customHeight="1" x14ac:dyDescent="0.2">
      <c r="F786" s="36"/>
      <c r="G786" s="67"/>
      <c r="I786" s="74"/>
    </row>
    <row r="787" spans="6:9" ht="13.5" customHeight="1" x14ac:dyDescent="0.2">
      <c r="F787" s="36"/>
      <c r="G787" s="67"/>
      <c r="I787" s="74"/>
    </row>
    <row r="788" spans="6:9" ht="13.5" customHeight="1" x14ac:dyDescent="0.2">
      <c r="F788" s="36"/>
      <c r="G788" s="67"/>
      <c r="I788" s="74"/>
    </row>
    <row r="789" spans="6:9" ht="13.5" customHeight="1" x14ac:dyDescent="0.2">
      <c r="F789" s="36"/>
      <c r="G789" s="67"/>
      <c r="I789" s="74"/>
    </row>
    <row r="790" spans="6:9" ht="13.5" customHeight="1" x14ac:dyDescent="0.2">
      <c r="F790" s="36"/>
      <c r="G790" s="67"/>
      <c r="I790" s="74"/>
    </row>
    <row r="791" spans="6:9" ht="13.5" customHeight="1" x14ac:dyDescent="0.2">
      <c r="F791" s="36"/>
      <c r="G791" s="67"/>
      <c r="I791" s="74"/>
    </row>
    <row r="792" spans="6:9" ht="13.5" customHeight="1" x14ac:dyDescent="0.2">
      <c r="F792" s="36"/>
      <c r="G792" s="67"/>
      <c r="I792" s="74"/>
    </row>
    <row r="793" spans="6:9" ht="13.5" customHeight="1" x14ac:dyDescent="0.2">
      <c r="F793" s="36"/>
      <c r="G793" s="67"/>
      <c r="I793" s="74"/>
    </row>
    <row r="794" spans="6:9" ht="13.5" customHeight="1" x14ac:dyDescent="0.2">
      <c r="F794" s="36"/>
      <c r="G794" s="67"/>
      <c r="I794" s="74"/>
    </row>
    <row r="795" spans="6:9" ht="13.5" customHeight="1" x14ac:dyDescent="0.2">
      <c r="F795" s="36"/>
      <c r="G795" s="67"/>
      <c r="I795" s="74"/>
    </row>
    <row r="796" spans="6:9" ht="13.5" customHeight="1" x14ac:dyDescent="0.2">
      <c r="F796" s="36"/>
      <c r="G796" s="67"/>
      <c r="I796" s="74"/>
    </row>
    <row r="797" spans="6:9" ht="13.5" customHeight="1" x14ac:dyDescent="0.2">
      <c r="F797" s="36"/>
      <c r="G797" s="67"/>
      <c r="I797" s="74"/>
    </row>
    <row r="798" spans="6:9" ht="13.5" customHeight="1" x14ac:dyDescent="0.2">
      <c r="F798" s="36"/>
      <c r="G798" s="67"/>
      <c r="I798" s="74"/>
    </row>
    <row r="799" spans="6:9" ht="13.5" customHeight="1" x14ac:dyDescent="0.2">
      <c r="F799" s="36"/>
      <c r="G799" s="67"/>
      <c r="I799" s="74"/>
    </row>
    <row r="800" spans="6:9" ht="13.5" customHeight="1" x14ac:dyDescent="0.2">
      <c r="F800" s="36"/>
      <c r="G800" s="67"/>
      <c r="I800" s="74"/>
    </row>
    <row r="801" spans="6:9" ht="13.5" customHeight="1" x14ac:dyDescent="0.2">
      <c r="F801" s="36"/>
      <c r="G801" s="67"/>
      <c r="I801" s="74"/>
    </row>
    <row r="802" spans="6:9" ht="13.5" customHeight="1" x14ac:dyDescent="0.2">
      <c r="F802" s="36"/>
      <c r="G802" s="67"/>
      <c r="I802" s="74"/>
    </row>
    <row r="803" spans="6:9" ht="13.5" customHeight="1" x14ac:dyDescent="0.2">
      <c r="F803" s="36"/>
      <c r="G803" s="67"/>
      <c r="I803" s="74"/>
    </row>
    <row r="804" spans="6:9" ht="13.5" customHeight="1" x14ac:dyDescent="0.2">
      <c r="F804" s="36"/>
      <c r="G804" s="67"/>
      <c r="I804" s="74"/>
    </row>
    <row r="805" spans="6:9" ht="13.5" customHeight="1" x14ac:dyDescent="0.2">
      <c r="F805" s="36"/>
      <c r="G805" s="67"/>
      <c r="I805" s="74"/>
    </row>
    <row r="806" spans="6:9" ht="13.5" customHeight="1" x14ac:dyDescent="0.2">
      <c r="F806" s="36"/>
      <c r="G806" s="67"/>
      <c r="I806" s="74"/>
    </row>
    <row r="807" spans="6:9" ht="13.5" customHeight="1" x14ac:dyDescent="0.2">
      <c r="F807" s="36"/>
      <c r="G807" s="67"/>
      <c r="I807" s="74"/>
    </row>
    <row r="808" spans="6:9" ht="13.5" customHeight="1" x14ac:dyDescent="0.2">
      <c r="F808" s="36"/>
      <c r="G808" s="67"/>
      <c r="I808" s="74"/>
    </row>
    <row r="809" spans="6:9" ht="13.5" customHeight="1" x14ac:dyDescent="0.2">
      <c r="F809" s="36"/>
      <c r="G809" s="67"/>
      <c r="I809" s="74"/>
    </row>
    <row r="810" spans="6:9" ht="13.5" customHeight="1" x14ac:dyDescent="0.2">
      <c r="F810" s="36"/>
      <c r="G810" s="67"/>
      <c r="I810" s="74"/>
    </row>
    <row r="811" spans="6:9" ht="13.5" customHeight="1" x14ac:dyDescent="0.2">
      <c r="F811" s="36"/>
      <c r="G811" s="67"/>
      <c r="I811" s="74"/>
    </row>
    <row r="812" spans="6:9" ht="13.5" customHeight="1" x14ac:dyDescent="0.2">
      <c r="F812" s="36"/>
      <c r="G812" s="67"/>
      <c r="I812" s="74"/>
    </row>
    <row r="813" spans="6:9" ht="13.5" customHeight="1" x14ac:dyDescent="0.2">
      <c r="F813" s="36"/>
      <c r="G813" s="67"/>
      <c r="I813" s="74"/>
    </row>
    <row r="814" spans="6:9" ht="13.5" customHeight="1" x14ac:dyDescent="0.2">
      <c r="F814" s="36"/>
      <c r="G814" s="67"/>
      <c r="I814" s="74"/>
    </row>
    <row r="815" spans="6:9" ht="13.5" customHeight="1" x14ac:dyDescent="0.2">
      <c r="F815" s="36"/>
      <c r="G815" s="67"/>
      <c r="I815" s="74"/>
    </row>
    <row r="816" spans="6:9" ht="13.5" customHeight="1" x14ac:dyDescent="0.2">
      <c r="F816" s="36"/>
      <c r="G816" s="67"/>
      <c r="I816" s="74"/>
    </row>
    <row r="817" spans="6:9" ht="13.5" customHeight="1" x14ac:dyDescent="0.2">
      <c r="F817" s="36"/>
      <c r="G817" s="67"/>
      <c r="I817" s="74"/>
    </row>
    <row r="818" spans="6:9" ht="13.5" customHeight="1" x14ac:dyDescent="0.2">
      <c r="F818" s="36"/>
      <c r="G818" s="67"/>
      <c r="I818" s="74"/>
    </row>
    <row r="819" spans="6:9" ht="13.5" customHeight="1" x14ac:dyDescent="0.2">
      <c r="F819" s="36"/>
      <c r="G819" s="67"/>
      <c r="I819" s="74"/>
    </row>
    <row r="820" spans="6:9" ht="13.5" customHeight="1" x14ac:dyDescent="0.2">
      <c r="F820" s="36"/>
      <c r="G820" s="67"/>
      <c r="I820" s="74"/>
    </row>
    <row r="821" spans="6:9" ht="13.5" customHeight="1" x14ac:dyDescent="0.2">
      <c r="F821" s="36"/>
      <c r="G821" s="67"/>
      <c r="I821" s="74"/>
    </row>
    <row r="822" spans="6:9" ht="13.5" customHeight="1" x14ac:dyDescent="0.2">
      <c r="F822" s="36"/>
      <c r="G822" s="67"/>
      <c r="I822" s="74"/>
    </row>
    <row r="823" spans="6:9" ht="13.5" customHeight="1" x14ac:dyDescent="0.2">
      <c r="F823" s="36"/>
      <c r="G823" s="67"/>
      <c r="I823" s="74"/>
    </row>
    <row r="824" spans="6:9" ht="13.5" customHeight="1" x14ac:dyDescent="0.2">
      <c r="F824" s="36"/>
      <c r="G824" s="67"/>
      <c r="I824" s="74"/>
    </row>
    <row r="825" spans="6:9" ht="13.5" customHeight="1" x14ac:dyDescent="0.2">
      <c r="F825" s="36"/>
      <c r="G825" s="67"/>
      <c r="I825" s="74"/>
    </row>
    <row r="826" spans="6:9" ht="13.5" customHeight="1" x14ac:dyDescent="0.2">
      <c r="F826" s="36"/>
      <c r="G826" s="67"/>
      <c r="I826" s="74"/>
    </row>
    <row r="827" spans="6:9" ht="13.5" customHeight="1" x14ac:dyDescent="0.2">
      <c r="F827" s="36"/>
      <c r="G827" s="67"/>
      <c r="I827" s="74"/>
    </row>
    <row r="828" spans="6:9" ht="13.5" customHeight="1" x14ac:dyDescent="0.2">
      <c r="F828" s="36"/>
      <c r="G828" s="67"/>
      <c r="I828" s="74"/>
    </row>
    <row r="829" spans="6:9" ht="13.5" customHeight="1" x14ac:dyDescent="0.2">
      <c r="F829" s="36"/>
      <c r="G829" s="67"/>
      <c r="I829" s="74"/>
    </row>
    <row r="830" spans="6:9" ht="13.5" customHeight="1" x14ac:dyDescent="0.2">
      <c r="F830" s="36"/>
      <c r="G830" s="67"/>
      <c r="I830" s="74"/>
    </row>
    <row r="831" spans="6:9" ht="13.5" customHeight="1" x14ac:dyDescent="0.2">
      <c r="F831" s="36"/>
      <c r="G831" s="67"/>
      <c r="I831" s="74"/>
    </row>
    <row r="832" spans="6:9" ht="13.5" customHeight="1" x14ac:dyDescent="0.2">
      <c r="F832" s="36"/>
      <c r="G832" s="67"/>
      <c r="I832" s="74"/>
    </row>
    <row r="833" spans="6:9" ht="13.5" customHeight="1" x14ac:dyDescent="0.2">
      <c r="F833" s="36"/>
      <c r="G833" s="67"/>
      <c r="I833" s="74"/>
    </row>
    <row r="834" spans="6:9" ht="13.5" customHeight="1" x14ac:dyDescent="0.2">
      <c r="F834" s="36"/>
      <c r="G834" s="67"/>
      <c r="I834" s="74"/>
    </row>
    <row r="835" spans="6:9" ht="13.5" customHeight="1" x14ac:dyDescent="0.2">
      <c r="F835" s="36"/>
      <c r="G835" s="67"/>
      <c r="I835" s="74"/>
    </row>
    <row r="836" spans="6:9" ht="13.5" customHeight="1" x14ac:dyDescent="0.2">
      <c r="F836" s="36"/>
      <c r="G836" s="67"/>
      <c r="I836" s="74"/>
    </row>
    <row r="837" spans="6:9" ht="13.5" customHeight="1" x14ac:dyDescent="0.2">
      <c r="F837" s="36"/>
      <c r="G837" s="67"/>
      <c r="I837" s="74"/>
    </row>
    <row r="838" spans="6:9" ht="13.5" customHeight="1" x14ac:dyDescent="0.2">
      <c r="F838" s="36"/>
      <c r="G838" s="67"/>
      <c r="I838" s="74"/>
    </row>
    <row r="839" spans="6:9" ht="13.5" customHeight="1" x14ac:dyDescent="0.2">
      <c r="F839" s="36"/>
      <c r="G839" s="67"/>
      <c r="I839" s="74"/>
    </row>
    <row r="840" spans="6:9" ht="13.5" customHeight="1" x14ac:dyDescent="0.2">
      <c r="F840" s="36"/>
      <c r="G840" s="67"/>
      <c r="I840" s="74"/>
    </row>
    <row r="841" spans="6:9" ht="13.5" customHeight="1" x14ac:dyDescent="0.2">
      <c r="F841" s="36"/>
      <c r="G841" s="67"/>
      <c r="I841" s="74"/>
    </row>
    <row r="842" spans="6:9" ht="13.5" customHeight="1" x14ac:dyDescent="0.2">
      <c r="F842" s="36"/>
      <c r="G842" s="67"/>
      <c r="I842" s="74"/>
    </row>
    <row r="843" spans="6:9" ht="13.5" customHeight="1" x14ac:dyDescent="0.2">
      <c r="F843" s="36"/>
      <c r="G843" s="67"/>
      <c r="I843" s="74"/>
    </row>
    <row r="844" spans="6:9" ht="13.5" customHeight="1" x14ac:dyDescent="0.2">
      <c r="F844" s="36"/>
      <c r="G844" s="67"/>
      <c r="I844" s="74"/>
    </row>
    <row r="845" spans="6:9" ht="13.5" customHeight="1" x14ac:dyDescent="0.2">
      <c r="F845" s="36"/>
      <c r="G845" s="67"/>
      <c r="I845" s="74"/>
    </row>
    <row r="846" spans="6:9" ht="13.5" customHeight="1" x14ac:dyDescent="0.2">
      <c r="F846" s="36"/>
      <c r="G846" s="67"/>
      <c r="I846" s="74"/>
    </row>
    <row r="847" spans="6:9" ht="13.5" customHeight="1" x14ac:dyDescent="0.2">
      <c r="F847" s="36"/>
      <c r="G847" s="67"/>
      <c r="I847" s="74"/>
    </row>
    <row r="848" spans="6:9" ht="13.5" customHeight="1" x14ac:dyDescent="0.2">
      <c r="F848" s="36"/>
      <c r="G848" s="67"/>
      <c r="I848" s="74"/>
    </row>
    <row r="849" spans="6:9" ht="13.5" customHeight="1" x14ac:dyDescent="0.2">
      <c r="F849" s="36"/>
      <c r="G849" s="67"/>
      <c r="I849" s="74"/>
    </row>
    <row r="850" spans="6:9" ht="13.5" customHeight="1" x14ac:dyDescent="0.2">
      <c r="F850" s="36"/>
      <c r="G850" s="67"/>
      <c r="I850" s="74"/>
    </row>
    <row r="851" spans="6:9" ht="13.5" customHeight="1" x14ac:dyDescent="0.2">
      <c r="F851" s="36"/>
      <c r="G851" s="67"/>
      <c r="I851" s="74"/>
    </row>
    <row r="852" spans="6:9" ht="13.5" customHeight="1" x14ac:dyDescent="0.2">
      <c r="F852" s="36"/>
      <c r="G852" s="67"/>
      <c r="I852" s="74"/>
    </row>
    <row r="853" spans="6:9" ht="13.5" customHeight="1" x14ac:dyDescent="0.2">
      <c r="F853" s="36"/>
      <c r="G853" s="67"/>
      <c r="I853" s="74"/>
    </row>
    <row r="854" spans="6:9" ht="13.5" customHeight="1" x14ac:dyDescent="0.2">
      <c r="F854" s="36"/>
      <c r="G854" s="67"/>
      <c r="I854" s="74"/>
    </row>
    <row r="855" spans="6:9" ht="13.5" customHeight="1" x14ac:dyDescent="0.2">
      <c r="F855" s="36"/>
      <c r="G855" s="67"/>
      <c r="I855" s="74"/>
    </row>
    <row r="856" spans="6:9" ht="13.5" customHeight="1" x14ac:dyDescent="0.2">
      <c r="F856" s="36"/>
      <c r="G856" s="67"/>
      <c r="I856" s="74"/>
    </row>
    <row r="857" spans="6:9" ht="13.5" customHeight="1" x14ac:dyDescent="0.2">
      <c r="F857" s="36"/>
      <c r="G857" s="67"/>
      <c r="I857" s="74"/>
    </row>
    <row r="858" spans="6:9" ht="13.5" customHeight="1" x14ac:dyDescent="0.2">
      <c r="F858" s="36"/>
      <c r="G858" s="67"/>
      <c r="I858" s="74"/>
    </row>
    <row r="859" spans="6:9" ht="13.5" customHeight="1" x14ac:dyDescent="0.2">
      <c r="F859" s="36"/>
      <c r="G859" s="67"/>
      <c r="I859" s="74"/>
    </row>
    <row r="860" spans="6:9" ht="13.5" customHeight="1" x14ac:dyDescent="0.2">
      <c r="F860" s="36"/>
      <c r="G860" s="67"/>
      <c r="I860" s="74"/>
    </row>
    <row r="861" spans="6:9" ht="13.5" customHeight="1" x14ac:dyDescent="0.2">
      <c r="F861" s="36"/>
      <c r="G861" s="67"/>
      <c r="I861" s="74"/>
    </row>
    <row r="862" spans="6:9" ht="13.5" customHeight="1" x14ac:dyDescent="0.2">
      <c r="F862" s="36"/>
      <c r="G862" s="67"/>
      <c r="I862" s="74"/>
    </row>
    <row r="863" spans="6:9" ht="13.5" customHeight="1" x14ac:dyDescent="0.2">
      <c r="F863" s="36"/>
      <c r="G863" s="67"/>
      <c r="I863" s="74"/>
    </row>
    <row r="864" spans="6:9" ht="13.5" customHeight="1" x14ac:dyDescent="0.2">
      <c r="F864" s="36"/>
      <c r="G864" s="67"/>
      <c r="I864" s="74"/>
    </row>
    <row r="865" spans="6:9" ht="13.5" customHeight="1" x14ac:dyDescent="0.2">
      <c r="F865" s="36"/>
      <c r="G865" s="67"/>
      <c r="I865" s="74"/>
    </row>
    <row r="866" spans="6:9" ht="13.5" customHeight="1" x14ac:dyDescent="0.2">
      <c r="F866" s="36"/>
      <c r="G866" s="67"/>
      <c r="I866" s="74"/>
    </row>
    <row r="867" spans="6:9" ht="13.5" customHeight="1" x14ac:dyDescent="0.2">
      <c r="F867" s="36"/>
      <c r="G867" s="67"/>
      <c r="I867" s="74"/>
    </row>
    <row r="868" spans="6:9" ht="13.5" customHeight="1" x14ac:dyDescent="0.2">
      <c r="F868" s="36"/>
      <c r="G868" s="67"/>
      <c r="I868" s="74"/>
    </row>
    <row r="869" spans="6:9" ht="13.5" customHeight="1" x14ac:dyDescent="0.2">
      <c r="F869" s="36"/>
      <c r="G869" s="67"/>
      <c r="I869" s="74"/>
    </row>
    <row r="870" spans="6:9" ht="13.5" customHeight="1" x14ac:dyDescent="0.2">
      <c r="F870" s="36"/>
      <c r="G870" s="67"/>
      <c r="I870" s="74"/>
    </row>
    <row r="871" spans="6:9" ht="13.5" customHeight="1" x14ac:dyDescent="0.2">
      <c r="F871" s="36"/>
      <c r="G871" s="67"/>
      <c r="I871" s="74"/>
    </row>
    <row r="872" spans="6:9" ht="13.5" customHeight="1" x14ac:dyDescent="0.2">
      <c r="F872" s="36"/>
      <c r="G872" s="67"/>
      <c r="I872" s="74"/>
    </row>
    <row r="873" spans="6:9" ht="13.5" customHeight="1" x14ac:dyDescent="0.2">
      <c r="F873" s="36"/>
      <c r="G873" s="67"/>
      <c r="I873" s="74"/>
    </row>
    <row r="874" spans="6:9" ht="13.5" customHeight="1" x14ac:dyDescent="0.2">
      <c r="F874" s="36"/>
      <c r="G874" s="67"/>
      <c r="I874" s="74"/>
    </row>
    <row r="875" spans="6:9" ht="13.5" customHeight="1" x14ac:dyDescent="0.2">
      <c r="F875" s="36"/>
      <c r="G875" s="67"/>
      <c r="I875" s="74"/>
    </row>
    <row r="876" spans="6:9" ht="13.5" customHeight="1" x14ac:dyDescent="0.2">
      <c r="F876" s="36"/>
      <c r="G876" s="67"/>
      <c r="I876" s="74"/>
    </row>
    <row r="877" spans="6:9" ht="13.5" customHeight="1" x14ac:dyDescent="0.2">
      <c r="F877" s="36"/>
      <c r="G877" s="67"/>
      <c r="I877" s="74"/>
    </row>
    <row r="878" spans="6:9" ht="13.5" customHeight="1" x14ac:dyDescent="0.2">
      <c r="F878" s="36"/>
      <c r="G878" s="67"/>
      <c r="I878" s="74"/>
    </row>
    <row r="879" spans="6:9" ht="13.5" customHeight="1" x14ac:dyDescent="0.2">
      <c r="F879" s="36"/>
      <c r="G879" s="67"/>
      <c r="I879" s="74"/>
    </row>
    <row r="880" spans="6:9" ht="13.5" customHeight="1" x14ac:dyDescent="0.2">
      <c r="F880" s="36"/>
      <c r="G880" s="67"/>
      <c r="I880" s="74"/>
    </row>
    <row r="881" spans="6:9" ht="13.5" customHeight="1" x14ac:dyDescent="0.2">
      <c r="F881" s="36"/>
      <c r="G881" s="67"/>
      <c r="I881" s="74"/>
    </row>
    <row r="882" spans="6:9" ht="13.5" customHeight="1" x14ac:dyDescent="0.2">
      <c r="F882" s="36"/>
      <c r="G882" s="67"/>
      <c r="I882" s="74"/>
    </row>
    <row r="883" spans="6:9" ht="13.5" customHeight="1" x14ac:dyDescent="0.2">
      <c r="F883" s="36"/>
      <c r="G883" s="67"/>
      <c r="I883" s="74"/>
    </row>
    <row r="884" spans="6:9" ht="13.5" customHeight="1" x14ac:dyDescent="0.2">
      <c r="F884" s="36"/>
      <c r="G884" s="67"/>
      <c r="I884" s="74"/>
    </row>
    <row r="885" spans="6:9" ht="13.5" customHeight="1" x14ac:dyDescent="0.2">
      <c r="F885" s="36"/>
      <c r="G885" s="67"/>
      <c r="I885" s="74"/>
    </row>
    <row r="886" spans="6:9" ht="13.5" customHeight="1" x14ac:dyDescent="0.2">
      <c r="F886" s="36"/>
      <c r="G886" s="67"/>
      <c r="I886" s="74"/>
    </row>
    <row r="887" spans="6:9" ht="13.5" customHeight="1" x14ac:dyDescent="0.2">
      <c r="F887" s="36"/>
      <c r="G887" s="67"/>
      <c r="I887" s="74"/>
    </row>
    <row r="888" spans="6:9" ht="13.5" customHeight="1" x14ac:dyDescent="0.2">
      <c r="F888" s="36"/>
      <c r="G888" s="67"/>
      <c r="I888" s="74"/>
    </row>
    <row r="889" spans="6:9" ht="13.5" customHeight="1" x14ac:dyDescent="0.2">
      <c r="F889" s="36"/>
      <c r="G889" s="67"/>
      <c r="I889" s="74"/>
    </row>
    <row r="890" spans="6:9" ht="13.5" customHeight="1" x14ac:dyDescent="0.2">
      <c r="F890" s="36"/>
      <c r="G890" s="67"/>
      <c r="I890" s="74"/>
    </row>
    <row r="891" spans="6:9" ht="13.5" customHeight="1" x14ac:dyDescent="0.2">
      <c r="F891" s="36"/>
      <c r="G891" s="67"/>
      <c r="I891" s="74"/>
    </row>
    <row r="892" spans="6:9" ht="13.5" customHeight="1" x14ac:dyDescent="0.2">
      <c r="F892" s="36"/>
      <c r="G892" s="67"/>
      <c r="I892" s="74"/>
    </row>
    <row r="893" spans="6:9" ht="13.5" customHeight="1" x14ac:dyDescent="0.2">
      <c r="F893" s="36"/>
      <c r="G893" s="67"/>
      <c r="I893" s="74"/>
    </row>
    <row r="894" spans="6:9" ht="13.5" customHeight="1" x14ac:dyDescent="0.2">
      <c r="F894" s="36"/>
      <c r="G894" s="67"/>
      <c r="I894" s="74"/>
    </row>
    <row r="895" spans="6:9" ht="13.5" customHeight="1" x14ac:dyDescent="0.2">
      <c r="F895" s="36"/>
      <c r="G895" s="67"/>
      <c r="I895" s="74"/>
    </row>
    <row r="896" spans="6:9" ht="13.5" customHeight="1" x14ac:dyDescent="0.2">
      <c r="F896" s="36"/>
      <c r="G896" s="67"/>
      <c r="I896" s="74"/>
    </row>
    <row r="897" spans="6:9" ht="13.5" customHeight="1" x14ac:dyDescent="0.2">
      <c r="F897" s="36"/>
      <c r="G897" s="67"/>
      <c r="I897" s="74"/>
    </row>
    <row r="898" spans="6:9" ht="13.5" customHeight="1" x14ac:dyDescent="0.2">
      <c r="F898" s="36"/>
      <c r="G898" s="67"/>
      <c r="I898" s="74"/>
    </row>
    <row r="899" spans="6:9" ht="13.5" customHeight="1" x14ac:dyDescent="0.2">
      <c r="F899" s="36"/>
      <c r="G899" s="67"/>
      <c r="I899" s="74"/>
    </row>
    <row r="900" spans="6:9" ht="13.5" customHeight="1" x14ac:dyDescent="0.2">
      <c r="F900" s="36"/>
      <c r="G900" s="67"/>
      <c r="I900" s="74"/>
    </row>
    <row r="901" spans="6:9" ht="13.5" customHeight="1" x14ac:dyDescent="0.2">
      <c r="F901" s="36"/>
      <c r="G901" s="67"/>
      <c r="I901" s="74"/>
    </row>
    <row r="902" spans="6:9" ht="13.5" customHeight="1" x14ac:dyDescent="0.2">
      <c r="F902" s="36"/>
      <c r="G902" s="67"/>
      <c r="I902" s="74"/>
    </row>
    <row r="903" spans="6:9" ht="13.5" customHeight="1" x14ac:dyDescent="0.2">
      <c r="F903" s="36"/>
      <c r="G903" s="67"/>
      <c r="I903" s="74"/>
    </row>
    <row r="904" spans="6:9" ht="13.5" customHeight="1" x14ac:dyDescent="0.2">
      <c r="F904" s="36"/>
      <c r="G904" s="67"/>
      <c r="I904" s="74"/>
    </row>
    <row r="905" spans="6:9" ht="13.5" customHeight="1" x14ac:dyDescent="0.2">
      <c r="F905" s="36"/>
      <c r="G905" s="67"/>
      <c r="I905" s="74"/>
    </row>
    <row r="906" spans="6:9" ht="13.5" customHeight="1" x14ac:dyDescent="0.2">
      <c r="F906" s="36"/>
      <c r="G906" s="67"/>
      <c r="I906" s="74"/>
    </row>
    <row r="907" spans="6:9" ht="13.5" customHeight="1" x14ac:dyDescent="0.2">
      <c r="F907" s="36"/>
      <c r="G907" s="67"/>
      <c r="I907" s="74"/>
    </row>
    <row r="908" spans="6:9" ht="13.5" customHeight="1" x14ac:dyDescent="0.2">
      <c r="F908" s="36"/>
      <c r="G908" s="67"/>
      <c r="I908" s="74"/>
    </row>
    <row r="909" spans="6:9" ht="13.5" customHeight="1" x14ac:dyDescent="0.2">
      <c r="F909" s="36"/>
      <c r="G909" s="67"/>
      <c r="I909" s="74"/>
    </row>
    <row r="910" spans="6:9" ht="13.5" customHeight="1" x14ac:dyDescent="0.2">
      <c r="F910" s="36"/>
      <c r="G910" s="67"/>
      <c r="I910" s="74"/>
    </row>
    <row r="911" spans="6:9" ht="13.5" customHeight="1" x14ac:dyDescent="0.2">
      <c r="F911" s="36"/>
      <c r="G911" s="67"/>
      <c r="I911" s="74"/>
    </row>
    <row r="912" spans="6:9" ht="13.5" customHeight="1" x14ac:dyDescent="0.2">
      <c r="F912" s="36"/>
      <c r="G912" s="67"/>
      <c r="I912" s="74"/>
    </row>
    <row r="913" spans="6:9" ht="13.5" customHeight="1" x14ac:dyDescent="0.2">
      <c r="F913" s="36"/>
      <c r="G913" s="67"/>
      <c r="I913" s="74"/>
    </row>
    <row r="914" spans="6:9" ht="13.5" customHeight="1" x14ac:dyDescent="0.2">
      <c r="F914" s="36"/>
      <c r="G914" s="67"/>
      <c r="I914" s="74"/>
    </row>
    <row r="915" spans="6:9" ht="13.5" customHeight="1" x14ac:dyDescent="0.2">
      <c r="F915" s="36"/>
      <c r="G915" s="67"/>
      <c r="I915" s="74"/>
    </row>
    <row r="916" spans="6:9" ht="13.5" customHeight="1" x14ac:dyDescent="0.2">
      <c r="F916" s="36"/>
      <c r="G916" s="67"/>
      <c r="I916" s="74"/>
    </row>
    <row r="917" spans="6:9" ht="13.5" customHeight="1" x14ac:dyDescent="0.2">
      <c r="F917" s="36"/>
      <c r="G917" s="67"/>
      <c r="I917" s="74"/>
    </row>
    <row r="918" spans="6:9" ht="13.5" customHeight="1" x14ac:dyDescent="0.2">
      <c r="F918" s="36"/>
      <c r="G918" s="67"/>
      <c r="I918" s="74"/>
    </row>
    <row r="919" spans="6:9" ht="13.5" customHeight="1" x14ac:dyDescent="0.2">
      <c r="F919" s="36"/>
      <c r="G919" s="67"/>
      <c r="I919" s="74"/>
    </row>
    <row r="920" spans="6:9" ht="13.5" customHeight="1" x14ac:dyDescent="0.2">
      <c r="F920" s="36"/>
      <c r="G920" s="67"/>
      <c r="I920" s="74"/>
    </row>
    <row r="921" spans="6:9" ht="13.5" customHeight="1" x14ac:dyDescent="0.2">
      <c r="F921" s="36"/>
      <c r="G921" s="67"/>
      <c r="I921" s="74"/>
    </row>
    <row r="922" spans="6:9" ht="13.5" customHeight="1" x14ac:dyDescent="0.2">
      <c r="F922" s="36"/>
      <c r="G922" s="67"/>
      <c r="I922" s="74"/>
    </row>
    <row r="923" spans="6:9" ht="13.5" customHeight="1" x14ac:dyDescent="0.2">
      <c r="F923" s="36"/>
      <c r="G923" s="67"/>
      <c r="I923" s="74"/>
    </row>
    <row r="924" spans="6:9" ht="13.5" customHeight="1" x14ac:dyDescent="0.2">
      <c r="F924" s="36"/>
      <c r="G924" s="67"/>
      <c r="I924" s="74"/>
    </row>
    <row r="925" spans="6:9" ht="13.5" customHeight="1" x14ac:dyDescent="0.2">
      <c r="F925" s="36"/>
      <c r="G925" s="67"/>
      <c r="I925" s="74"/>
    </row>
    <row r="926" spans="6:9" ht="13.5" customHeight="1" x14ac:dyDescent="0.2">
      <c r="F926" s="36"/>
      <c r="G926" s="67"/>
      <c r="I926" s="74"/>
    </row>
    <row r="927" spans="6:9" ht="13.5" customHeight="1" x14ac:dyDescent="0.2">
      <c r="F927" s="36"/>
      <c r="G927" s="67"/>
      <c r="I927" s="74"/>
    </row>
    <row r="928" spans="6:9" ht="13.5" customHeight="1" x14ac:dyDescent="0.2">
      <c r="F928" s="36"/>
      <c r="G928" s="67"/>
      <c r="I928" s="74"/>
    </row>
    <row r="929" spans="6:9" ht="13.5" customHeight="1" x14ac:dyDescent="0.2">
      <c r="F929" s="36"/>
      <c r="G929" s="67"/>
      <c r="I929" s="74"/>
    </row>
    <row r="930" spans="6:9" ht="13.5" customHeight="1" x14ac:dyDescent="0.2">
      <c r="F930" s="36"/>
      <c r="G930" s="67"/>
      <c r="I930" s="74"/>
    </row>
    <row r="931" spans="6:9" ht="13.5" customHeight="1" x14ac:dyDescent="0.2">
      <c r="F931" s="36"/>
      <c r="G931" s="67"/>
      <c r="I931" s="74"/>
    </row>
    <row r="932" spans="6:9" ht="13.5" customHeight="1" x14ac:dyDescent="0.2">
      <c r="F932" s="36"/>
      <c r="G932" s="67"/>
      <c r="I932" s="74"/>
    </row>
    <row r="933" spans="6:9" ht="13.5" customHeight="1" x14ac:dyDescent="0.2">
      <c r="F933" s="36"/>
      <c r="G933" s="67"/>
      <c r="I933" s="74"/>
    </row>
    <row r="934" spans="6:9" ht="13.5" customHeight="1" x14ac:dyDescent="0.2">
      <c r="F934" s="36"/>
      <c r="G934" s="67"/>
      <c r="I934" s="74"/>
    </row>
    <row r="935" spans="6:9" ht="13.5" customHeight="1" x14ac:dyDescent="0.2">
      <c r="F935" s="36"/>
      <c r="G935" s="67"/>
      <c r="I935" s="74"/>
    </row>
    <row r="936" spans="6:9" ht="13.5" customHeight="1" x14ac:dyDescent="0.2">
      <c r="F936" s="36"/>
      <c r="G936" s="67"/>
      <c r="I936" s="74"/>
    </row>
    <row r="937" spans="6:9" ht="13.5" customHeight="1" x14ac:dyDescent="0.2">
      <c r="F937" s="36"/>
      <c r="G937" s="67"/>
      <c r="I937" s="74"/>
    </row>
    <row r="938" spans="6:9" ht="13.5" customHeight="1" x14ac:dyDescent="0.2">
      <c r="F938" s="36"/>
      <c r="G938" s="67"/>
      <c r="I938" s="74"/>
    </row>
    <row r="939" spans="6:9" ht="13.5" customHeight="1" x14ac:dyDescent="0.2">
      <c r="F939" s="36"/>
      <c r="G939" s="67"/>
      <c r="I939" s="74"/>
    </row>
    <row r="940" spans="6:9" ht="13.5" customHeight="1" x14ac:dyDescent="0.2">
      <c r="F940" s="36"/>
      <c r="G940" s="67"/>
      <c r="I940" s="74"/>
    </row>
    <row r="941" spans="6:9" ht="13.5" customHeight="1" x14ac:dyDescent="0.2">
      <c r="F941" s="36"/>
      <c r="G941" s="67"/>
      <c r="I941" s="74"/>
    </row>
    <row r="942" spans="6:9" ht="13.5" customHeight="1" x14ac:dyDescent="0.2">
      <c r="F942" s="36"/>
      <c r="G942" s="67"/>
      <c r="I942" s="74"/>
    </row>
    <row r="943" spans="6:9" ht="13.5" customHeight="1" x14ac:dyDescent="0.2">
      <c r="F943" s="36"/>
      <c r="G943" s="67"/>
      <c r="I943" s="74"/>
    </row>
    <row r="944" spans="6:9" ht="13.5" customHeight="1" x14ac:dyDescent="0.2">
      <c r="F944" s="36"/>
      <c r="G944" s="67"/>
      <c r="I944" s="74"/>
    </row>
    <row r="945" spans="6:9" ht="13.5" customHeight="1" x14ac:dyDescent="0.2">
      <c r="F945" s="36"/>
      <c r="G945" s="67"/>
      <c r="I945" s="74"/>
    </row>
    <row r="946" spans="6:9" ht="13.5" customHeight="1" x14ac:dyDescent="0.2">
      <c r="F946" s="36"/>
      <c r="G946" s="67"/>
      <c r="I946" s="74"/>
    </row>
    <row r="947" spans="6:9" ht="13.5" customHeight="1" x14ac:dyDescent="0.2">
      <c r="F947" s="36"/>
      <c r="G947" s="67"/>
      <c r="I947" s="74"/>
    </row>
    <row r="948" spans="6:9" ht="13.5" customHeight="1" x14ac:dyDescent="0.2">
      <c r="F948" s="36"/>
      <c r="G948" s="67"/>
      <c r="I948" s="74"/>
    </row>
    <row r="949" spans="6:9" ht="13.5" customHeight="1" x14ac:dyDescent="0.2">
      <c r="F949" s="36"/>
      <c r="G949" s="67"/>
      <c r="I949" s="74"/>
    </row>
    <row r="950" spans="6:9" ht="13.5" customHeight="1" x14ac:dyDescent="0.2">
      <c r="F950" s="36"/>
      <c r="G950" s="67"/>
      <c r="I950" s="74"/>
    </row>
    <row r="951" spans="6:9" ht="13.5" customHeight="1" x14ac:dyDescent="0.2">
      <c r="F951" s="36"/>
      <c r="G951" s="67"/>
      <c r="I951" s="74"/>
    </row>
    <row r="952" spans="6:9" ht="13.5" customHeight="1" x14ac:dyDescent="0.2">
      <c r="F952" s="36"/>
      <c r="G952" s="67"/>
      <c r="I952" s="74"/>
    </row>
    <row r="953" spans="6:9" ht="13.5" customHeight="1" x14ac:dyDescent="0.2">
      <c r="F953" s="36"/>
      <c r="G953" s="67"/>
      <c r="I953" s="74"/>
    </row>
    <row r="954" spans="6:9" ht="13.5" customHeight="1" x14ac:dyDescent="0.2">
      <c r="F954" s="36"/>
      <c r="G954" s="67"/>
      <c r="I954" s="74"/>
    </row>
    <row r="955" spans="6:9" ht="13.5" customHeight="1" x14ac:dyDescent="0.2">
      <c r="F955" s="36"/>
      <c r="G955" s="67"/>
      <c r="I955" s="74"/>
    </row>
    <row r="956" spans="6:9" ht="13.5" customHeight="1" x14ac:dyDescent="0.2">
      <c r="F956" s="36"/>
      <c r="G956" s="67"/>
      <c r="I956" s="74"/>
    </row>
    <row r="957" spans="6:9" ht="13.5" customHeight="1" x14ac:dyDescent="0.2">
      <c r="F957" s="36"/>
      <c r="G957" s="67"/>
      <c r="I957" s="74"/>
    </row>
    <row r="958" spans="6:9" ht="13.5" customHeight="1" x14ac:dyDescent="0.2">
      <c r="F958" s="36"/>
      <c r="G958" s="67"/>
      <c r="I958" s="74"/>
    </row>
    <row r="959" spans="6:9" ht="13.5" customHeight="1" x14ac:dyDescent="0.2">
      <c r="F959" s="36"/>
      <c r="G959" s="67"/>
      <c r="I959" s="74"/>
    </row>
    <row r="960" spans="6:9" ht="13.5" customHeight="1" x14ac:dyDescent="0.2">
      <c r="F960" s="36"/>
      <c r="G960" s="67"/>
      <c r="I960" s="74"/>
    </row>
    <row r="961" spans="6:9" ht="13.5" customHeight="1" x14ac:dyDescent="0.2">
      <c r="F961" s="36"/>
      <c r="G961" s="67"/>
      <c r="I961" s="74"/>
    </row>
    <row r="962" spans="6:9" ht="13.5" customHeight="1" x14ac:dyDescent="0.2">
      <c r="F962" s="36"/>
      <c r="G962" s="67"/>
      <c r="I962" s="74"/>
    </row>
    <row r="963" spans="6:9" ht="13.5" customHeight="1" x14ac:dyDescent="0.2">
      <c r="F963" s="36"/>
      <c r="G963" s="67"/>
      <c r="I963" s="74"/>
    </row>
    <row r="964" spans="6:9" ht="13.5" customHeight="1" x14ac:dyDescent="0.2">
      <c r="F964" s="36"/>
      <c r="G964" s="67"/>
      <c r="I964" s="74"/>
    </row>
    <row r="965" spans="6:9" ht="13.5" customHeight="1" x14ac:dyDescent="0.2">
      <c r="F965" s="36"/>
      <c r="G965" s="67"/>
      <c r="I965" s="74"/>
    </row>
    <row r="966" spans="6:9" ht="13.5" customHeight="1" x14ac:dyDescent="0.2">
      <c r="F966" s="36"/>
      <c r="G966" s="67"/>
      <c r="I966" s="74"/>
    </row>
    <row r="967" spans="6:9" ht="13.5" customHeight="1" x14ac:dyDescent="0.2">
      <c r="F967" s="36"/>
      <c r="G967" s="67"/>
      <c r="I967" s="74"/>
    </row>
    <row r="968" spans="6:9" ht="13.5" customHeight="1" x14ac:dyDescent="0.2">
      <c r="F968" s="36"/>
      <c r="G968" s="67"/>
      <c r="I968" s="74"/>
    </row>
    <row r="969" spans="6:9" ht="13.5" customHeight="1" x14ac:dyDescent="0.2">
      <c r="F969" s="36"/>
      <c r="G969" s="67"/>
      <c r="I969" s="74"/>
    </row>
    <row r="970" spans="6:9" ht="13.5" customHeight="1" x14ac:dyDescent="0.2">
      <c r="F970" s="36"/>
      <c r="G970" s="67"/>
      <c r="I970" s="74"/>
    </row>
    <row r="971" spans="6:9" ht="13.5" customHeight="1" x14ac:dyDescent="0.2">
      <c r="F971" s="36"/>
      <c r="G971" s="67"/>
      <c r="I971" s="74"/>
    </row>
    <row r="972" spans="6:9" ht="13.5" customHeight="1" x14ac:dyDescent="0.2">
      <c r="F972" s="36"/>
      <c r="G972" s="67"/>
      <c r="I972" s="74"/>
    </row>
    <row r="973" spans="6:9" ht="13.5" customHeight="1" x14ac:dyDescent="0.2">
      <c r="F973" s="36"/>
      <c r="G973" s="67"/>
      <c r="I973" s="74"/>
    </row>
    <row r="974" spans="6:9" ht="13.5" customHeight="1" x14ac:dyDescent="0.2">
      <c r="F974" s="36"/>
      <c r="G974" s="67"/>
      <c r="I974" s="74"/>
    </row>
    <row r="975" spans="6:9" ht="13.5" customHeight="1" x14ac:dyDescent="0.2">
      <c r="F975" s="36"/>
      <c r="G975" s="67"/>
      <c r="I975" s="74"/>
    </row>
    <row r="976" spans="6:9" ht="13.5" customHeight="1" x14ac:dyDescent="0.2">
      <c r="F976" s="36"/>
      <c r="G976" s="67"/>
      <c r="I976" s="74"/>
    </row>
    <row r="977" spans="6:9" ht="13.5" customHeight="1" x14ac:dyDescent="0.2">
      <c r="F977" s="36"/>
      <c r="G977" s="67"/>
      <c r="I977" s="74"/>
    </row>
    <row r="978" spans="6:9" ht="13.5" customHeight="1" x14ac:dyDescent="0.2">
      <c r="F978" s="36"/>
      <c r="G978" s="67"/>
      <c r="I978" s="74"/>
    </row>
    <row r="979" spans="6:9" ht="13.5" customHeight="1" x14ac:dyDescent="0.2">
      <c r="F979" s="36"/>
      <c r="G979" s="67"/>
      <c r="I979" s="74"/>
    </row>
    <row r="980" spans="6:9" ht="13.5" customHeight="1" x14ac:dyDescent="0.2">
      <c r="F980" s="36"/>
      <c r="G980" s="67"/>
      <c r="I980" s="74"/>
    </row>
    <row r="981" spans="6:9" ht="13.5" customHeight="1" x14ac:dyDescent="0.2">
      <c r="F981" s="36"/>
      <c r="G981" s="67"/>
      <c r="I981" s="74"/>
    </row>
    <row r="982" spans="6:9" ht="13.5" customHeight="1" x14ac:dyDescent="0.2">
      <c r="F982" s="36"/>
      <c r="G982" s="67"/>
      <c r="I982" s="74"/>
    </row>
    <row r="983" spans="6:9" ht="13.5" customHeight="1" x14ac:dyDescent="0.2">
      <c r="F983" s="36"/>
      <c r="G983" s="67"/>
      <c r="I983" s="74"/>
    </row>
    <row r="984" spans="6:9" ht="13.5" customHeight="1" x14ac:dyDescent="0.2">
      <c r="F984" s="36"/>
      <c r="G984" s="67"/>
      <c r="I984" s="74"/>
    </row>
    <row r="985" spans="6:9" ht="13.5" customHeight="1" x14ac:dyDescent="0.2">
      <c r="F985" s="36"/>
      <c r="G985" s="67"/>
      <c r="I985" s="74"/>
    </row>
    <row r="986" spans="6:9" ht="13.5" customHeight="1" x14ac:dyDescent="0.2">
      <c r="F986" s="36"/>
      <c r="G986" s="67"/>
      <c r="I986" s="74"/>
    </row>
    <row r="987" spans="6:9" ht="13.5" customHeight="1" x14ac:dyDescent="0.2">
      <c r="F987" s="36"/>
      <c r="G987" s="67"/>
      <c r="I987" s="74"/>
    </row>
    <row r="988" spans="6:9" ht="13.5" customHeight="1" x14ac:dyDescent="0.2">
      <c r="F988" s="36"/>
      <c r="G988" s="67"/>
      <c r="I988" s="74"/>
    </row>
    <row r="989" spans="6:9" ht="13.5" customHeight="1" x14ac:dyDescent="0.2">
      <c r="F989" s="36"/>
      <c r="G989" s="67"/>
      <c r="I989" s="74"/>
    </row>
    <row r="990" spans="6:9" ht="13.5" customHeight="1" x14ac:dyDescent="0.2">
      <c r="F990" s="36"/>
      <c r="G990" s="67"/>
      <c r="I990" s="74"/>
    </row>
    <row r="991" spans="6:9" ht="13.5" customHeight="1" x14ac:dyDescent="0.2">
      <c r="F991" s="36"/>
      <c r="G991" s="67"/>
      <c r="I991" s="74"/>
    </row>
    <row r="992" spans="6:9" ht="13.5" customHeight="1" x14ac:dyDescent="0.2">
      <c r="F992" s="36"/>
      <c r="G992" s="67"/>
      <c r="I992" s="74"/>
    </row>
    <row r="993" spans="6:9" ht="13.5" customHeight="1" x14ac:dyDescent="0.2">
      <c r="F993" s="36"/>
      <c r="G993" s="67"/>
      <c r="I993" s="74"/>
    </row>
    <row r="994" spans="6:9" ht="13.5" customHeight="1" x14ac:dyDescent="0.2">
      <c r="F994" s="36"/>
      <c r="G994" s="67"/>
      <c r="I994" s="74"/>
    </row>
    <row r="995" spans="6:9" ht="13.5" customHeight="1" x14ac:dyDescent="0.2">
      <c r="F995" s="36"/>
      <c r="G995" s="67"/>
      <c r="I995" s="74"/>
    </row>
    <row r="996" spans="6:9" ht="13.5" customHeight="1" x14ac:dyDescent="0.2">
      <c r="F996" s="36"/>
      <c r="G996" s="67"/>
      <c r="I996" s="74"/>
    </row>
    <row r="997" spans="6:9" ht="13.5" customHeight="1" x14ac:dyDescent="0.2">
      <c r="F997" s="36"/>
      <c r="G997" s="67"/>
      <c r="I997" s="74"/>
    </row>
    <row r="998" spans="6:9" ht="13.5" customHeight="1" x14ac:dyDescent="0.2">
      <c r="F998" s="36"/>
      <c r="G998" s="67"/>
      <c r="I998" s="74"/>
    </row>
    <row r="999" spans="6:9" ht="13.5" customHeight="1" x14ac:dyDescent="0.2">
      <c r="F999" s="36"/>
      <c r="G999" s="67"/>
      <c r="I999" s="74"/>
    </row>
    <row r="1000" spans="6:9" ht="13.5" customHeight="1" x14ac:dyDescent="0.2">
      <c r="F1000" s="36"/>
      <c r="G1000" s="67"/>
      <c r="I1000" s="74"/>
    </row>
    <row r="1001" spans="6:9" ht="13.5" customHeight="1" x14ac:dyDescent="0.2">
      <c r="F1001" s="36"/>
      <c r="G1001" s="67"/>
      <c r="I1001" s="74"/>
    </row>
    <row r="1002" spans="6:9" ht="13.5" customHeight="1" x14ac:dyDescent="0.2">
      <c r="F1002" s="36"/>
      <c r="G1002" s="67"/>
      <c r="I1002" s="74"/>
    </row>
    <row r="1003" spans="6:9" ht="15.75" customHeight="1" x14ac:dyDescent="0.2">
      <c r="G1003" s="67"/>
    </row>
  </sheetData>
  <autoFilter ref="A1:AC93" xr:uid="{00000000-0009-0000-0000-000000000000}"/>
  <conditionalFormatting sqref="I62">
    <cfRule type="cellIs" dxfId="28" priority="1" operator="lessThan">
      <formula>45931</formula>
    </cfRule>
  </conditionalFormatting>
  <conditionalFormatting sqref="M2:M44 M46:M89">
    <cfRule type="cellIs" dxfId="27" priority="2" operator="lessThan">
      <formula>46054</formula>
    </cfRule>
    <cfRule type="cellIs" dxfId="26" priority="3" operator="lessThan">
      <formula>46023</formula>
    </cfRule>
    <cfRule type="cellIs" dxfId="25" priority="4" operator="lessThan">
      <formula>46022</formula>
    </cfRule>
  </conditionalFormatting>
  <conditionalFormatting sqref="M2:M89">
    <cfRule type="cellIs" dxfId="24" priority="5" operator="lessThan">
      <formula>46082</formula>
    </cfRule>
  </conditionalFormatting>
  <conditionalFormatting sqref="M84:M89 M56:M80">
    <cfRule type="cellIs" dxfId="23" priority="6" operator="lessThan">
      <formula>45992</formula>
    </cfRule>
  </conditionalFormatting>
  <conditionalFormatting sqref="M56:M89">
    <cfRule type="cellIs" dxfId="22" priority="7" operator="lessThan">
      <formula>45323</formula>
    </cfRule>
    <cfRule type="cellIs" dxfId="21" priority="8" operator="lessThan">
      <formula>45536</formula>
    </cfRule>
    <cfRule type="cellIs" dxfId="20" priority="9" operator="lessThan">
      <formula>45505</formula>
    </cfRule>
    <cfRule type="cellIs" dxfId="19" priority="10" operator="lessThan">
      <formula>45444</formula>
    </cfRule>
    <cfRule type="cellIs" dxfId="18" priority="11" operator="lessThan">
      <formula>45474</formula>
    </cfRule>
    <cfRule type="cellIs" dxfId="17" priority="12" operator="lessThan">
      <formula>45413</formula>
    </cfRule>
    <cfRule type="cellIs" dxfId="16" priority="13" operator="lessThan">
      <formula>45627</formula>
    </cfRule>
    <cfRule type="cellIs" dxfId="15" priority="14" operator="lessThan">
      <formula>45597</formula>
    </cfRule>
    <cfRule type="cellIs" dxfId="14" priority="15" operator="lessThan">
      <formula>45566</formula>
    </cfRule>
    <cfRule type="cellIs" dxfId="13" priority="16" operator="lessThan">
      <formula>45748</formula>
    </cfRule>
    <cfRule type="cellIs" dxfId="12" priority="17" operator="lessThan">
      <formula>45689</formula>
    </cfRule>
    <cfRule type="cellIs" dxfId="11" priority="18" operator="lessThan">
      <formula>45658</formula>
    </cfRule>
    <cfRule type="cellIs" dxfId="10" priority="19" operator="lessThan">
      <formula>45717</formula>
    </cfRule>
    <cfRule type="cellIs" dxfId="9" priority="20" operator="lessThan">
      <formula>45688</formula>
    </cfRule>
    <cfRule type="cellIs" dxfId="8" priority="21" operator="lessThan">
      <formula>45931</formula>
    </cfRule>
    <cfRule type="cellIs" dxfId="7" priority="22" operator="lessThan">
      <formula>45901</formula>
    </cfRule>
    <cfRule type="cellIs" dxfId="6" priority="23" operator="lessThan">
      <formula>45870</formula>
    </cfRule>
    <cfRule type="cellIs" dxfId="5" priority="24" operator="lessThan">
      <formula>45778</formula>
    </cfRule>
  </conditionalFormatting>
  <conditionalFormatting sqref="N2:N18 N20:N44 N46:N48 N50:N55 M84:N89 M56:N76">
    <cfRule type="cellIs" dxfId="4" priority="25" operator="lessThan">
      <formula>45962</formula>
    </cfRule>
  </conditionalFormatting>
  <conditionalFormatting sqref="N2:N18 N20:N44 N46:N48 N50:N89">
    <cfRule type="cellIs" dxfId="3" priority="26" operator="lessThan">
      <formula>45809</formula>
    </cfRule>
  </conditionalFormatting>
  <conditionalFormatting sqref="N50:N89">
    <cfRule type="cellIs" dxfId="2" priority="27" operator="lessThan">
      <formula>45839</formula>
    </cfRule>
  </conditionalFormatting>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rightToLeft="1" topLeftCell="A274" workbookViewId="0">
      <selection activeCell="F297" sqref="F297"/>
    </sheetView>
  </sheetViews>
  <sheetFormatPr defaultColWidth="12.625" defaultRowHeight="15" customHeight="1" x14ac:dyDescent="0.2"/>
  <cols>
    <col min="1" max="1" width="6" customWidth="1"/>
    <col min="2" max="2" width="18.75" customWidth="1"/>
    <col min="3" max="4" width="12.25" customWidth="1"/>
    <col min="5" max="5" width="6.875" hidden="1" customWidth="1"/>
    <col min="6" max="6" width="32.875" customWidth="1"/>
    <col min="7" max="7" width="31.5" customWidth="1"/>
    <col min="8" max="8" width="6.25" customWidth="1"/>
    <col min="9" max="9" width="8.375" customWidth="1"/>
    <col min="10" max="10" width="13.875" customWidth="1"/>
    <col min="11" max="11" width="17.375" customWidth="1"/>
    <col min="12" max="12" width="18.25" customWidth="1"/>
    <col min="13" max="13" width="69.375" customWidth="1"/>
    <col min="14" max="14" width="8.75" customWidth="1"/>
    <col min="15" max="15" width="15.875" customWidth="1"/>
    <col min="16" max="16" width="12.875" customWidth="1"/>
    <col min="17" max="24" width="8.75" customWidth="1"/>
  </cols>
  <sheetData>
    <row r="1" spans="1:13" ht="13.5" customHeight="1" x14ac:dyDescent="0.3">
      <c r="A1" s="76" t="s">
        <v>30</v>
      </c>
      <c r="B1" s="76"/>
      <c r="C1" s="77" t="s">
        <v>461</v>
      </c>
      <c r="D1" s="78"/>
      <c r="E1" s="76"/>
      <c r="F1" s="76"/>
      <c r="G1" s="76"/>
      <c r="H1" s="79"/>
      <c r="I1" s="80" t="s">
        <v>462</v>
      </c>
      <c r="J1" s="81"/>
      <c r="K1" s="81"/>
    </row>
    <row r="2" spans="1:13" ht="13.5" customHeight="1" x14ac:dyDescent="0.2">
      <c r="A2" s="82" t="s">
        <v>463</v>
      </c>
      <c r="B2" s="83" t="s">
        <v>464</v>
      </c>
      <c r="C2" s="84" t="s">
        <v>465</v>
      </c>
      <c r="D2" s="84" t="s">
        <v>466</v>
      </c>
      <c r="E2" s="83" t="s">
        <v>467</v>
      </c>
      <c r="F2" s="83" t="s">
        <v>468</v>
      </c>
      <c r="G2" s="83" t="s">
        <v>469</v>
      </c>
      <c r="H2" s="85" t="s">
        <v>470</v>
      </c>
      <c r="I2" s="83" t="s">
        <v>471</v>
      </c>
      <c r="J2" s="83" t="s">
        <v>472</v>
      </c>
      <c r="K2" s="83" t="s">
        <v>473</v>
      </c>
      <c r="L2" s="83" t="s">
        <v>474</v>
      </c>
      <c r="M2" s="83" t="s">
        <v>475</v>
      </c>
    </row>
    <row r="3" spans="1:13" ht="13.5" customHeight="1" x14ac:dyDescent="0.2">
      <c r="A3" s="38">
        <v>1</v>
      </c>
      <c r="B3" s="38" t="s">
        <v>476</v>
      </c>
      <c r="C3" s="38">
        <v>46640502</v>
      </c>
      <c r="D3" s="38"/>
      <c r="E3" s="38" t="s">
        <v>477</v>
      </c>
      <c r="F3" s="38" t="s">
        <v>478</v>
      </c>
      <c r="G3" s="38" t="s">
        <v>479</v>
      </c>
      <c r="H3" s="38">
        <v>1</v>
      </c>
      <c r="I3" s="86" t="s">
        <v>480</v>
      </c>
      <c r="J3" s="86" t="s">
        <v>481</v>
      </c>
      <c r="K3" s="86">
        <v>1651234</v>
      </c>
      <c r="L3" s="87" t="s">
        <v>482</v>
      </c>
      <c r="M3" s="86" t="s">
        <v>483</v>
      </c>
    </row>
    <row r="4" spans="1:13" ht="13.5" customHeight="1" x14ac:dyDescent="0.2">
      <c r="A4" s="38">
        <v>2</v>
      </c>
      <c r="B4" s="38" t="s">
        <v>484</v>
      </c>
      <c r="C4" s="38">
        <v>42568102</v>
      </c>
      <c r="D4" s="38"/>
      <c r="E4" s="38" t="s">
        <v>485</v>
      </c>
      <c r="F4" s="38" t="s">
        <v>486</v>
      </c>
      <c r="G4" s="38" t="s">
        <v>487</v>
      </c>
      <c r="H4" s="88">
        <v>2</v>
      </c>
      <c r="I4" s="89" t="s">
        <v>480</v>
      </c>
      <c r="J4" s="89" t="s">
        <v>488</v>
      </c>
      <c r="K4" s="89">
        <v>151048001</v>
      </c>
      <c r="L4" s="38" t="s">
        <v>489</v>
      </c>
      <c r="M4" s="89" t="s">
        <v>490</v>
      </c>
    </row>
    <row r="5" spans="1:13" ht="13.5" customHeight="1" x14ac:dyDescent="0.2">
      <c r="A5" s="38">
        <v>3</v>
      </c>
      <c r="B5" s="38" t="s">
        <v>491</v>
      </c>
      <c r="C5" s="38">
        <v>8325490</v>
      </c>
      <c r="D5" s="38"/>
      <c r="E5" s="38" t="s">
        <v>485</v>
      </c>
      <c r="F5" s="38" t="s">
        <v>492</v>
      </c>
      <c r="G5" s="38" t="s">
        <v>493</v>
      </c>
      <c r="H5" s="38">
        <v>3</v>
      </c>
      <c r="I5" s="89" t="s">
        <v>480</v>
      </c>
      <c r="J5" s="89" t="s">
        <v>488</v>
      </c>
      <c r="K5" s="89">
        <v>20174801</v>
      </c>
      <c r="L5" s="38" t="s">
        <v>494</v>
      </c>
      <c r="M5" s="90" t="s">
        <v>495</v>
      </c>
    </row>
    <row r="6" spans="1:13" ht="13.5" customHeight="1" x14ac:dyDescent="0.2">
      <c r="A6" s="38">
        <v>4</v>
      </c>
      <c r="B6" s="38" t="s">
        <v>484</v>
      </c>
      <c r="C6" s="38">
        <v>20070401</v>
      </c>
      <c r="D6" s="38"/>
      <c r="E6" s="38" t="s">
        <v>477</v>
      </c>
      <c r="F6" s="38" t="s">
        <v>486</v>
      </c>
      <c r="G6" s="38" t="s">
        <v>496</v>
      </c>
      <c r="H6" s="88">
        <v>4</v>
      </c>
      <c r="I6" s="89" t="s">
        <v>480</v>
      </c>
      <c r="J6" s="38" t="s">
        <v>497</v>
      </c>
      <c r="K6" s="89">
        <v>20486601</v>
      </c>
      <c r="L6" s="38" t="s">
        <v>498</v>
      </c>
      <c r="M6" s="90" t="s">
        <v>495</v>
      </c>
    </row>
    <row r="7" spans="1:13" ht="13.5" customHeight="1" x14ac:dyDescent="0.2">
      <c r="A7" s="38">
        <v>5</v>
      </c>
      <c r="B7" s="38" t="s">
        <v>82</v>
      </c>
      <c r="C7" s="38">
        <v>47130202</v>
      </c>
      <c r="D7" s="38"/>
      <c r="E7" s="38" t="s">
        <v>485</v>
      </c>
      <c r="F7" s="38" t="s">
        <v>486</v>
      </c>
      <c r="G7" s="38" t="s">
        <v>499</v>
      </c>
      <c r="H7" s="38">
        <v>5</v>
      </c>
      <c r="I7" s="89" t="s">
        <v>480</v>
      </c>
      <c r="J7" s="89" t="s">
        <v>488</v>
      </c>
      <c r="K7" s="89">
        <v>63627501</v>
      </c>
      <c r="L7" s="38" t="s">
        <v>500</v>
      </c>
      <c r="M7" s="89" t="s">
        <v>501</v>
      </c>
    </row>
    <row r="8" spans="1:13" ht="13.5" customHeight="1" x14ac:dyDescent="0.2">
      <c r="A8" s="38">
        <v>6</v>
      </c>
      <c r="B8" s="38" t="s">
        <v>82</v>
      </c>
      <c r="C8" s="38">
        <v>42567602</v>
      </c>
      <c r="D8" s="38" t="s">
        <v>502</v>
      </c>
      <c r="E8" s="38" t="s">
        <v>477</v>
      </c>
      <c r="F8" s="38" t="s">
        <v>503</v>
      </c>
      <c r="G8" s="38" t="s">
        <v>504</v>
      </c>
      <c r="H8" s="88">
        <v>6</v>
      </c>
      <c r="I8" s="89" t="s">
        <v>480</v>
      </c>
      <c r="J8" s="89" t="s">
        <v>488</v>
      </c>
      <c r="K8" s="89">
        <v>14703001</v>
      </c>
      <c r="L8" s="38" t="s">
        <v>505</v>
      </c>
      <c r="M8" s="89" t="s">
        <v>501</v>
      </c>
    </row>
    <row r="9" spans="1:13" ht="13.5" customHeight="1" x14ac:dyDescent="0.2">
      <c r="A9" s="38">
        <v>7</v>
      </c>
      <c r="B9" s="38" t="s">
        <v>506</v>
      </c>
      <c r="C9" s="38">
        <v>76376501</v>
      </c>
      <c r="D9" s="38" t="s">
        <v>507</v>
      </c>
      <c r="E9" s="38" t="s">
        <v>35</v>
      </c>
      <c r="F9" s="38" t="s">
        <v>508</v>
      </c>
      <c r="G9" s="38" t="s">
        <v>509</v>
      </c>
      <c r="H9" s="38">
        <v>7</v>
      </c>
      <c r="I9" s="89" t="s">
        <v>510</v>
      </c>
      <c r="J9" s="89" t="s">
        <v>511</v>
      </c>
      <c r="K9" s="89">
        <v>83034901</v>
      </c>
      <c r="L9" s="89" t="s">
        <v>512</v>
      </c>
      <c r="M9" s="89" t="s">
        <v>513</v>
      </c>
    </row>
    <row r="10" spans="1:13" ht="13.5" customHeight="1" x14ac:dyDescent="0.2">
      <c r="A10" s="38">
        <v>8</v>
      </c>
      <c r="B10" s="38" t="s">
        <v>514</v>
      </c>
      <c r="C10" s="38">
        <v>20359501</v>
      </c>
      <c r="D10" s="38"/>
      <c r="E10" s="38" t="s">
        <v>488</v>
      </c>
      <c r="F10" s="38" t="s">
        <v>515</v>
      </c>
      <c r="G10" s="38" t="s">
        <v>509</v>
      </c>
      <c r="H10" s="88">
        <v>8</v>
      </c>
      <c r="I10" s="89" t="s">
        <v>510</v>
      </c>
      <c r="J10" s="89" t="s">
        <v>488</v>
      </c>
      <c r="K10" s="89">
        <v>20548801</v>
      </c>
      <c r="L10" s="89" t="s">
        <v>516</v>
      </c>
      <c r="M10" s="89" t="s">
        <v>517</v>
      </c>
    </row>
    <row r="11" spans="1:13" ht="13.5" customHeight="1" x14ac:dyDescent="0.2">
      <c r="A11" s="38">
        <v>9</v>
      </c>
      <c r="B11" s="38" t="s">
        <v>518</v>
      </c>
      <c r="C11" s="38">
        <v>4332532</v>
      </c>
      <c r="D11" s="38" t="s">
        <v>519</v>
      </c>
      <c r="E11" s="38" t="s">
        <v>520</v>
      </c>
      <c r="F11" s="38" t="s">
        <v>521</v>
      </c>
      <c r="G11" s="38" t="s">
        <v>522</v>
      </c>
      <c r="H11" s="38">
        <v>9</v>
      </c>
      <c r="I11" s="89" t="s">
        <v>510</v>
      </c>
      <c r="J11" s="89" t="s">
        <v>488</v>
      </c>
      <c r="K11" s="89">
        <v>73847702</v>
      </c>
      <c r="L11" s="89" t="s">
        <v>523</v>
      </c>
      <c r="M11" s="89" t="s">
        <v>524</v>
      </c>
    </row>
    <row r="12" spans="1:13" ht="13.5" customHeight="1" x14ac:dyDescent="0.2">
      <c r="A12" s="38">
        <v>10</v>
      </c>
      <c r="B12" s="38" t="s">
        <v>514</v>
      </c>
      <c r="C12" s="38">
        <v>21422501</v>
      </c>
      <c r="D12" s="38" t="s">
        <v>525</v>
      </c>
      <c r="E12" s="38" t="s">
        <v>526</v>
      </c>
      <c r="F12" s="38" t="s">
        <v>527</v>
      </c>
      <c r="G12" s="38" t="s">
        <v>528</v>
      </c>
      <c r="H12" s="88">
        <v>10</v>
      </c>
      <c r="I12" s="89" t="s">
        <v>529</v>
      </c>
      <c r="J12" s="89" t="s">
        <v>35</v>
      </c>
      <c r="K12" s="89">
        <v>31612402</v>
      </c>
      <c r="L12" s="89" t="s">
        <v>530</v>
      </c>
      <c r="M12" s="89" t="s">
        <v>531</v>
      </c>
    </row>
    <row r="13" spans="1:13" ht="13.5" customHeight="1" x14ac:dyDescent="0.2">
      <c r="A13" s="38">
        <v>11</v>
      </c>
      <c r="B13" s="38" t="s">
        <v>514</v>
      </c>
      <c r="C13" s="38">
        <v>20354601</v>
      </c>
      <c r="D13" s="38" t="s">
        <v>525</v>
      </c>
      <c r="E13" s="38" t="s">
        <v>488</v>
      </c>
      <c r="F13" s="38" t="s">
        <v>532</v>
      </c>
      <c r="G13" s="38" t="s">
        <v>533</v>
      </c>
      <c r="H13" s="38">
        <v>11</v>
      </c>
      <c r="I13" s="89" t="s">
        <v>480</v>
      </c>
      <c r="J13" s="89" t="s">
        <v>534</v>
      </c>
      <c r="K13" s="89">
        <v>50260902</v>
      </c>
      <c r="L13" s="89" t="s">
        <v>535</v>
      </c>
      <c r="M13" s="89" t="s">
        <v>536</v>
      </c>
    </row>
    <row r="14" spans="1:13" ht="13.5" customHeight="1" x14ac:dyDescent="0.2">
      <c r="A14" s="38">
        <v>12</v>
      </c>
      <c r="B14" s="38" t="s">
        <v>484</v>
      </c>
      <c r="C14" s="38">
        <v>53654802</v>
      </c>
      <c r="D14" s="38"/>
      <c r="E14" s="38" t="s">
        <v>35</v>
      </c>
      <c r="F14" s="38" t="s">
        <v>537</v>
      </c>
      <c r="G14" s="38" t="s">
        <v>509</v>
      </c>
      <c r="H14" s="88">
        <v>12</v>
      </c>
      <c r="I14" s="89" t="s">
        <v>480</v>
      </c>
      <c r="J14" s="89" t="s">
        <v>488</v>
      </c>
      <c r="K14" s="89">
        <v>83037701</v>
      </c>
      <c r="L14" s="89" t="s">
        <v>538</v>
      </c>
      <c r="M14" s="89" t="s">
        <v>539</v>
      </c>
    </row>
    <row r="15" spans="1:13" ht="13.5" customHeight="1" x14ac:dyDescent="0.2">
      <c r="A15" s="38">
        <v>13</v>
      </c>
      <c r="B15" s="38" t="s">
        <v>540</v>
      </c>
      <c r="C15" s="38">
        <v>63627501</v>
      </c>
      <c r="D15" s="38"/>
      <c r="E15" s="38" t="s">
        <v>488</v>
      </c>
      <c r="F15" s="38" t="s">
        <v>541</v>
      </c>
      <c r="G15" s="38" t="s">
        <v>501</v>
      </c>
      <c r="H15" s="38">
        <v>13</v>
      </c>
      <c r="I15" s="89" t="s">
        <v>542</v>
      </c>
      <c r="J15" s="89" t="s">
        <v>35</v>
      </c>
      <c r="K15" s="89">
        <v>63606501</v>
      </c>
      <c r="L15" s="38" t="s">
        <v>543</v>
      </c>
      <c r="M15" s="89" t="s">
        <v>544</v>
      </c>
    </row>
    <row r="16" spans="1:13" ht="13.5" customHeight="1" x14ac:dyDescent="0.2">
      <c r="A16" s="38">
        <v>14</v>
      </c>
      <c r="B16" s="38" t="s">
        <v>545</v>
      </c>
      <c r="C16" s="38">
        <v>14703001</v>
      </c>
      <c r="D16" s="38"/>
      <c r="E16" s="38" t="s">
        <v>488</v>
      </c>
      <c r="F16" s="38" t="s">
        <v>546</v>
      </c>
      <c r="G16" s="38" t="s">
        <v>501</v>
      </c>
      <c r="H16" s="38">
        <v>14</v>
      </c>
      <c r="I16" s="89" t="s">
        <v>542</v>
      </c>
      <c r="J16" s="89" t="s">
        <v>488</v>
      </c>
      <c r="K16" s="89">
        <v>30033901</v>
      </c>
      <c r="L16" s="89" t="s">
        <v>547</v>
      </c>
      <c r="M16" s="89" t="s">
        <v>548</v>
      </c>
    </row>
    <row r="17" spans="1:17" ht="13.5" customHeight="1" x14ac:dyDescent="0.2">
      <c r="A17" s="38">
        <v>15</v>
      </c>
      <c r="B17" s="38" t="s">
        <v>549</v>
      </c>
      <c r="C17" s="38">
        <v>18157101</v>
      </c>
      <c r="D17" s="38"/>
      <c r="E17" s="38" t="s">
        <v>488</v>
      </c>
      <c r="F17" s="38" t="s">
        <v>546</v>
      </c>
      <c r="G17" s="38" t="s">
        <v>550</v>
      </c>
      <c r="H17" s="88">
        <v>15</v>
      </c>
      <c r="I17" s="89" t="s">
        <v>542</v>
      </c>
      <c r="J17" s="89" t="s">
        <v>488</v>
      </c>
      <c r="K17" s="89">
        <v>83305302</v>
      </c>
      <c r="L17" s="89" t="s">
        <v>551</v>
      </c>
      <c r="M17" s="89" t="s">
        <v>552</v>
      </c>
    </row>
    <row r="18" spans="1:17" ht="13.5" customHeight="1" x14ac:dyDescent="0.2">
      <c r="A18" s="38">
        <v>16</v>
      </c>
      <c r="B18" s="38" t="s">
        <v>553</v>
      </c>
      <c r="C18" s="38">
        <v>20548801</v>
      </c>
      <c r="D18" s="38"/>
      <c r="E18" s="38" t="s">
        <v>488</v>
      </c>
      <c r="F18" s="38" t="s">
        <v>554</v>
      </c>
      <c r="G18" s="38" t="s">
        <v>517</v>
      </c>
      <c r="H18" s="88">
        <v>16</v>
      </c>
      <c r="I18" s="89" t="s">
        <v>542</v>
      </c>
      <c r="J18" s="89" t="s">
        <v>488</v>
      </c>
      <c r="K18" s="89">
        <v>21421101</v>
      </c>
      <c r="L18" s="89" t="s">
        <v>555</v>
      </c>
      <c r="M18" s="89" t="s">
        <v>556</v>
      </c>
    </row>
    <row r="19" spans="1:17" ht="13.5" customHeight="1" x14ac:dyDescent="0.2">
      <c r="A19" s="38">
        <v>17</v>
      </c>
      <c r="B19" s="38" t="s">
        <v>557</v>
      </c>
      <c r="C19" s="38">
        <v>18455501</v>
      </c>
      <c r="D19" s="38"/>
      <c r="E19" s="38" t="s">
        <v>488</v>
      </c>
      <c r="F19" s="38" t="s">
        <v>558</v>
      </c>
      <c r="G19" s="38" t="s">
        <v>559</v>
      </c>
      <c r="H19" s="38">
        <v>17</v>
      </c>
      <c r="I19" s="89" t="s">
        <v>542</v>
      </c>
      <c r="J19" s="89" t="s">
        <v>488</v>
      </c>
      <c r="K19" s="89">
        <v>83323002</v>
      </c>
      <c r="L19" s="89" t="s">
        <v>560</v>
      </c>
      <c r="M19" s="89" t="s">
        <v>561</v>
      </c>
    </row>
    <row r="20" spans="1:17" ht="13.5" customHeight="1" x14ac:dyDescent="0.2">
      <c r="A20" s="38">
        <v>18</v>
      </c>
      <c r="B20" s="38" t="s">
        <v>562</v>
      </c>
      <c r="C20" s="38">
        <v>19446801</v>
      </c>
      <c r="D20" s="38"/>
      <c r="E20" s="38" t="s">
        <v>488</v>
      </c>
      <c r="F20" s="38" t="s">
        <v>558</v>
      </c>
      <c r="G20" s="38" t="s">
        <v>528</v>
      </c>
      <c r="H20" s="88">
        <v>18</v>
      </c>
      <c r="I20" s="89" t="s">
        <v>529</v>
      </c>
      <c r="J20" s="89" t="s">
        <v>35</v>
      </c>
      <c r="K20" s="89">
        <v>83327901</v>
      </c>
      <c r="L20" s="89" t="s">
        <v>563</v>
      </c>
      <c r="M20" s="89" t="s">
        <v>564</v>
      </c>
    </row>
    <row r="21" spans="1:17" ht="15.75" customHeight="1" x14ac:dyDescent="0.25">
      <c r="A21" s="38">
        <v>19</v>
      </c>
      <c r="B21" s="38" t="s">
        <v>565</v>
      </c>
      <c r="C21" s="38">
        <v>56413001</v>
      </c>
      <c r="D21" s="38"/>
      <c r="E21" s="38" t="s">
        <v>488</v>
      </c>
      <c r="F21" s="38" t="s">
        <v>566</v>
      </c>
      <c r="G21" s="38" t="s">
        <v>567</v>
      </c>
      <c r="H21" s="88">
        <v>19</v>
      </c>
      <c r="I21" s="91" t="s">
        <v>542</v>
      </c>
      <c r="J21" s="91" t="s">
        <v>488</v>
      </c>
      <c r="K21" s="91">
        <v>66114302</v>
      </c>
      <c r="L21" s="92" t="s">
        <v>568</v>
      </c>
      <c r="M21" s="92" t="s">
        <v>569</v>
      </c>
    </row>
    <row r="22" spans="1:17" ht="15.75" customHeight="1" x14ac:dyDescent="0.25">
      <c r="A22" s="38">
        <v>20</v>
      </c>
      <c r="B22" s="38" t="s">
        <v>570</v>
      </c>
      <c r="C22" s="93">
        <v>35895101</v>
      </c>
      <c r="D22" s="38"/>
      <c r="E22" s="38" t="s">
        <v>488</v>
      </c>
      <c r="F22" s="38" t="s">
        <v>571</v>
      </c>
      <c r="G22" s="38" t="s">
        <v>572</v>
      </c>
      <c r="H22" s="88">
        <v>20</v>
      </c>
      <c r="I22" s="29" t="s">
        <v>542</v>
      </c>
      <c r="J22" s="29" t="s">
        <v>488</v>
      </c>
      <c r="K22" s="29">
        <v>83312102</v>
      </c>
      <c r="L22" s="94" t="s">
        <v>573</v>
      </c>
      <c r="M22" s="92" t="s">
        <v>574</v>
      </c>
    </row>
    <row r="23" spans="1:17" ht="15.75" customHeight="1" x14ac:dyDescent="0.25">
      <c r="A23" s="38">
        <v>21</v>
      </c>
      <c r="B23" s="95" t="s">
        <v>557</v>
      </c>
      <c r="C23" s="38">
        <v>50860301</v>
      </c>
      <c r="D23" s="96"/>
      <c r="E23" s="38" t="s">
        <v>488</v>
      </c>
      <c r="F23" s="38" t="s">
        <v>575</v>
      </c>
      <c r="G23" s="95" t="s">
        <v>576</v>
      </c>
      <c r="H23" s="88">
        <v>21</v>
      </c>
      <c r="I23" s="29" t="s">
        <v>529</v>
      </c>
      <c r="J23" s="29" t="s">
        <v>577</v>
      </c>
      <c r="K23" s="29">
        <v>6837837</v>
      </c>
      <c r="L23" s="94" t="s">
        <v>578</v>
      </c>
      <c r="M23" s="94" t="s">
        <v>579</v>
      </c>
    </row>
    <row r="24" spans="1:17" ht="15.75" customHeight="1" x14ac:dyDescent="0.25">
      <c r="A24" s="38">
        <v>22</v>
      </c>
      <c r="B24" s="89" t="s">
        <v>557</v>
      </c>
      <c r="C24" s="86">
        <v>76590201</v>
      </c>
      <c r="D24" s="89"/>
      <c r="E24" s="38" t="s">
        <v>488</v>
      </c>
      <c r="F24" s="38" t="s">
        <v>580</v>
      </c>
      <c r="G24" s="95" t="s">
        <v>581</v>
      </c>
      <c r="H24" s="92">
        <v>22</v>
      </c>
      <c r="I24" s="38" t="s">
        <v>582</v>
      </c>
      <c r="J24" s="38" t="s">
        <v>35</v>
      </c>
      <c r="K24" s="38">
        <v>64078901</v>
      </c>
      <c r="L24" s="38" t="s">
        <v>583</v>
      </c>
      <c r="M24" s="38" t="s">
        <v>584</v>
      </c>
      <c r="N24" s="97"/>
      <c r="O24" s="98"/>
      <c r="P24" s="98"/>
      <c r="Q24" s="99"/>
    </row>
    <row r="25" spans="1:17" ht="15.75" customHeight="1" x14ac:dyDescent="0.2">
      <c r="A25" s="38">
        <v>23</v>
      </c>
      <c r="B25" s="89" t="s">
        <v>557</v>
      </c>
      <c r="C25" s="38">
        <v>11744702</v>
      </c>
      <c r="D25" s="38"/>
      <c r="E25" s="38" t="s">
        <v>488</v>
      </c>
      <c r="F25" s="100" t="s">
        <v>585</v>
      </c>
      <c r="G25" s="95" t="s">
        <v>586</v>
      </c>
      <c r="H25" s="88">
        <v>23</v>
      </c>
      <c r="I25" s="29" t="s">
        <v>529</v>
      </c>
      <c r="J25" s="29" t="s">
        <v>587</v>
      </c>
      <c r="K25" s="29">
        <v>69684102</v>
      </c>
      <c r="L25" s="29" t="s">
        <v>588</v>
      </c>
      <c r="M25" s="29" t="s">
        <v>589</v>
      </c>
    </row>
    <row r="26" spans="1:17" ht="15.75" customHeight="1" x14ac:dyDescent="0.2">
      <c r="A26" s="38">
        <v>24</v>
      </c>
      <c r="B26" s="100" t="s">
        <v>557</v>
      </c>
      <c r="C26" s="38">
        <v>21422001</v>
      </c>
      <c r="D26" s="38"/>
      <c r="E26" s="100" t="s">
        <v>488</v>
      </c>
      <c r="F26" s="100" t="s">
        <v>585</v>
      </c>
      <c r="G26" s="101" t="s">
        <v>533</v>
      </c>
      <c r="H26" s="88">
        <v>24</v>
      </c>
      <c r="I26" s="29" t="s">
        <v>590</v>
      </c>
      <c r="J26" s="29" t="s">
        <v>35</v>
      </c>
      <c r="K26" s="29">
        <v>64078501</v>
      </c>
      <c r="L26" s="29" t="s">
        <v>591</v>
      </c>
      <c r="M26" s="29" t="s">
        <v>592</v>
      </c>
    </row>
    <row r="27" spans="1:17" ht="15.75" customHeight="1" x14ac:dyDescent="0.2">
      <c r="A27" s="38">
        <v>25</v>
      </c>
      <c r="B27" s="100" t="s">
        <v>593</v>
      </c>
      <c r="C27" s="89">
        <v>11820802</v>
      </c>
      <c r="D27" s="89"/>
      <c r="E27" s="100" t="s">
        <v>594</v>
      </c>
      <c r="F27" s="100" t="s">
        <v>595</v>
      </c>
      <c r="G27" s="102" t="s">
        <v>596</v>
      </c>
      <c r="H27" s="88">
        <v>25</v>
      </c>
      <c r="I27" s="29" t="s">
        <v>542</v>
      </c>
      <c r="J27" s="29" t="s">
        <v>597</v>
      </c>
      <c r="K27" s="29">
        <v>86170901</v>
      </c>
      <c r="L27" s="29" t="s">
        <v>598</v>
      </c>
      <c r="M27" s="29" t="s">
        <v>599</v>
      </c>
    </row>
    <row r="28" spans="1:17" ht="15.75" customHeight="1" x14ac:dyDescent="0.2">
      <c r="A28" s="38">
        <v>26</v>
      </c>
      <c r="B28" s="100" t="s">
        <v>249</v>
      </c>
      <c r="C28" s="38">
        <v>66113902</v>
      </c>
      <c r="D28" s="38"/>
      <c r="E28" s="100" t="s">
        <v>488</v>
      </c>
      <c r="F28" s="100" t="s">
        <v>585</v>
      </c>
      <c r="G28" s="102" t="s">
        <v>517</v>
      </c>
      <c r="H28" s="88">
        <v>26</v>
      </c>
      <c r="I28" s="29" t="s">
        <v>542</v>
      </c>
      <c r="J28" s="29" t="s">
        <v>488</v>
      </c>
      <c r="K28" s="29">
        <v>70876501</v>
      </c>
      <c r="L28" s="29" t="s">
        <v>600</v>
      </c>
      <c r="M28" s="29" t="s">
        <v>601</v>
      </c>
    </row>
    <row r="29" spans="1:17" ht="15.75" customHeight="1" x14ac:dyDescent="0.2">
      <c r="A29" s="38">
        <v>27</v>
      </c>
      <c r="B29" s="38" t="s">
        <v>557</v>
      </c>
      <c r="C29" s="38">
        <v>76833801</v>
      </c>
      <c r="D29" s="38"/>
      <c r="E29" s="100" t="s">
        <v>488</v>
      </c>
      <c r="F29" s="100" t="s">
        <v>585</v>
      </c>
      <c r="G29" s="102" t="s">
        <v>559</v>
      </c>
      <c r="H29" s="88">
        <v>27</v>
      </c>
      <c r="I29" s="29" t="s">
        <v>542</v>
      </c>
      <c r="J29" s="29" t="s">
        <v>488</v>
      </c>
      <c r="K29" s="29">
        <v>30154903</v>
      </c>
      <c r="L29" s="29" t="s">
        <v>602</v>
      </c>
      <c r="M29" s="29" t="s">
        <v>381</v>
      </c>
    </row>
    <row r="30" spans="1:17" ht="15.75" customHeight="1" x14ac:dyDescent="0.2">
      <c r="A30" s="38">
        <v>28</v>
      </c>
      <c r="B30" s="38" t="s">
        <v>557</v>
      </c>
      <c r="C30" s="38">
        <v>83135801</v>
      </c>
      <c r="D30" s="38"/>
      <c r="E30" s="100" t="s">
        <v>488</v>
      </c>
      <c r="F30" s="38" t="s">
        <v>585</v>
      </c>
      <c r="G30" s="95" t="s">
        <v>603</v>
      </c>
      <c r="H30" s="88">
        <v>28</v>
      </c>
      <c r="I30" s="29" t="s">
        <v>542</v>
      </c>
      <c r="J30" s="29" t="s">
        <v>488</v>
      </c>
      <c r="K30" s="29">
        <v>44801602</v>
      </c>
      <c r="L30" s="42" t="s">
        <v>604</v>
      </c>
      <c r="M30" s="29" t="s">
        <v>605</v>
      </c>
    </row>
    <row r="31" spans="1:17" ht="15.75" customHeight="1" x14ac:dyDescent="0.2">
      <c r="A31" s="38">
        <v>29</v>
      </c>
      <c r="B31" s="38" t="s">
        <v>606</v>
      </c>
      <c r="C31" s="38">
        <v>19989701</v>
      </c>
      <c r="D31" s="38"/>
      <c r="E31" s="100" t="s">
        <v>488</v>
      </c>
      <c r="F31" s="38" t="s">
        <v>585</v>
      </c>
      <c r="G31" s="95" t="s">
        <v>607</v>
      </c>
      <c r="H31" s="88">
        <v>29</v>
      </c>
      <c r="I31" s="29" t="s">
        <v>542</v>
      </c>
      <c r="J31" s="29" t="s">
        <v>488</v>
      </c>
      <c r="K31" s="29">
        <v>83320402</v>
      </c>
      <c r="L31" s="29" t="s">
        <v>608</v>
      </c>
      <c r="M31" s="29" t="s">
        <v>609</v>
      </c>
    </row>
    <row r="32" spans="1:17" ht="15.75" customHeight="1" x14ac:dyDescent="0.2">
      <c r="A32" s="38">
        <v>30</v>
      </c>
      <c r="B32" s="38" t="s">
        <v>610</v>
      </c>
      <c r="C32" s="38">
        <v>66114502</v>
      </c>
      <c r="D32" s="38"/>
      <c r="E32" s="100" t="s">
        <v>488</v>
      </c>
      <c r="F32" s="100" t="s">
        <v>585</v>
      </c>
      <c r="G32" s="102" t="s">
        <v>611</v>
      </c>
      <c r="H32" s="88">
        <v>30</v>
      </c>
      <c r="I32" s="29" t="s">
        <v>542</v>
      </c>
      <c r="J32" s="29" t="s">
        <v>488</v>
      </c>
      <c r="K32" s="29">
        <v>83323102</v>
      </c>
      <c r="L32" s="29" t="s">
        <v>612</v>
      </c>
      <c r="M32" s="29" t="s">
        <v>609</v>
      </c>
    </row>
    <row r="33" spans="1:13" ht="15.75" customHeight="1" x14ac:dyDescent="0.2">
      <c r="A33" s="38">
        <v>31</v>
      </c>
      <c r="B33" s="38" t="s">
        <v>557</v>
      </c>
      <c r="C33" s="38">
        <v>21422501</v>
      </c>
      <c r="D33" s="38"/>
      <c r="E33" s="100" t="s">
        <v>488</v>
      </c>
      <c r="F33" s="100" t="s">
        <v>585</v>
      </c>
      <c r="G33" s="95" t="s">
        <v>613</v>
      </c>
      <c r="H33" s="88">
        <v>31</v>
      </c>
      <c r="I33" s="29" t="s">
        <v>542</v>
      </c>
      <c r="J33" s="29" t="s">
        <v>488</v>
      </c>
      <c r="K33" s="29">
        <v>32856502</v>
      </c>
      <c r="L33" s="29" t="s">
        <v>614</v>
      </c>
      <c r="M33" s="29" t="s">
        <v>615</v>
      </c>
    </row>
    <row r="34" spans="1:13" ht="15.75" customHeight="1" x14ac:dyDescent="0.2">
      <c r="A34" s="38">
        <v>32</v>
      </c>
      <c r="B34" s="38" t="s">
        <v>557</v>
      </c>
      <c r="C34" s="38">
        <v>85985101</v>
      </c>
      <c r="D34" s="38"/>
      <c r="E34" s="100" t="s">
        <v>488</v>
      </c>
      <c r="F34" s="38" t="s">
        <v>585</v>
      </c>
      <c r="G34" s="95" t="s">
        <v>616</v>
      </c>
      <c r="H34" s="88">
        <v>32</v>
      </c>
      <c r="I34" s="29" t="s">
        <v>542</v>
      </c>
      <c r="J34" s="29" t="s">
        <v>488</v>
      </c>
      <c r="K34" s="29">
        <v>83304102</v>
      </c>
      <c r="L34" s="29" t="s">
        <v>617</v>
      </c>
      <c r="M34" s="29" t="s">
        <v>618</v>
      </c>
    </row>
    <row r="35" spans="1:13" ht="15.75" customHeight="1" x14ac:dyDescent="0.2">
      <c r="A35" s="38">
        <v>33</v>
      </c>
      <c r="B35" s="38" t="s">
        <v>557</v>
      </c>
      <c r="C35" s="38">
        <v>21423501</v>
      </c>
      <c r="D35" s="38"/>
      <c r="E35" s="100" t="s">
        <v>488</v>
      </c>
      <c r="F35" s="38" t="s">
        <v>585</v>
      </c>
      <c r="G35" s="95" t="s">
        <v>619</v>
      </c>
      <c r="H35" s="103">
        <v>32</v>
      </c>
      <c r="I35" s="63" t="s">
        <v>529</v>
      </c>
      <c r="J35" s="63" t="s">
        <v>35</v>
      </c>
      <c r="K35" s="63">
        <v>18391603</v>
      </c>
      <c r="L35" s="63" t="s">
        <v>620</v>
      </c>
      <c r="M35" s="63" t="s">
        <v>621</v>
      </c>
    </row>
    <row r="36" spans="1:13" ht="15.75" customHeight="1" x14ac:dyDescent="0.2">
      <c r="A36" s="38">
        <v>34</v>
      </c>
      <c r="B36" s="87" t="s">
        <v>557</v>
      </c>
      <c r="C36" s="87">
        <v>76834201</v>
      </c>
      <c r="D36" s="38"/>
      <c r="E36" s="100" t="s">
        <v>488</v>
      </c>
      <c r="F36" s="100" t="s">
        <v>585</v>
      </c>
      <c r="G36" s="95" t="s">
        <v>622</v>
      </c>
      <c r="H36" s="88">
        <v>33</v>
      </c>
      <c r="I36" s="29" t="s">
        <v>542</v>
      </c>
      <c r="J36" s="29" t="s">
        <v>597</v>
      </c>
      <c r="K36" s="29">
        <v>76649101</v>
      </c>
      <c r="L36" s="29" t="s">
        <v>623</v>
      </c>
      <c r="M36" s="29" t="s">
        <v>624</v>
      </c>
    </row>
    <row r="37" spans="1:13" ht="15.75" customHeight="1" x14ac:dyDescent="0.2">
      <c r="A37" s="38">
        <v>35</v>
      </c>
      <c r="B37" s="38" t="s">
        <v>557</v>
      </c>
      <c r="C37" s="38">
        <v>20350301</v>
      </c>
      <c r="D37" s="38"/>
      <c r="E37" s="100" t="s">
        <v>488</v>
      </c>
      <c r="F37" s="100" t="s">
        <v>585</v>
      </c>
      <c r="G37" s="95" t="s">
        <v>625</v>
      </c>
      <c r="H37" s="88">
        <v>34</v>
      </c>
      <c r="I37" s="29" t="s">
        <v>590</v>
      </c>
      <c r="J37" s="29" t="s">
        <v>35</v>
      </c>
      <c r="K37" s="12">
        <v>64078501</v>
      </c>
      <c r="L37" s="29" t="s">
        <v>626</v>
      </c>
      <c r="M37" s="29" t="s">
        <v>627</v>
      </c>
    </row>
    <row r="38" spans="1:13" ht="15.75" customHeight="1" x14ac:dyDescent="0.2">
      <c r="A38" s="38">
        <v>36</v>
      </c>
      <c r="B38" s="38" t="s">
        <v>83</v>
      </c>
      <c r="C38" s="38">
        <v>76376301</v>
      </c>
      <c r="D38" s="38"/>
      <c r="E38" s="100" t="s">
        <v>488</v>
      </c>
      <c r="F38" s="38" t="s">
        <v>585</v>
      </c>
      <c r="G38" s="95" t="s">
        <v>628</v>
      </c>
      <c r="H38" s="88">
        <v>35</v>
      </c>
      <c r="I38" s="29" t="s">
        <v>542</v>
      </c>
      <c r="J38" s="29" t="s">
        <v>597</v>
      </c>
      <c r="K38" s="29">
        <v>32777603</v>
      </c>
      <c r="L38" s="29" t="s">
        <v>629</v>
      </c>
      <c r="M38" s="29" t="s">
        <v>630</v>
      </c>
    </row>
    <row r="39" spans="1:13" ht="15.75" customHeight="1" x14ac:dyDescent="0.2">
      <c r="A39" s="38">
        <v>37</v>
      </c>
      <c r="B39" s="38" t="s">
        <v>610</v>
      </c>
      <c r="C39" s="38">
        <v>66113702</v>
      </c>
      <c r="D39" s="38"/>
      <c r="E39" s="100" t="s">
        <v>488</v>
      </c>
      <c r="F39" s="104" t="s">
        <v>585</v>
      </c>
      <c r="G39" s="95" t="s">
        <v>631</v>
      </c>
      <c r="H39" s="88">
        <v>36</v>
      </c>
      <c r="I39" s="29" t="s">
        <v>542</v>
      </c>
      <c r="J39" s="29" t="s">
        <v>597</v>
      </c>
      <c r="K39" s="29">
        <v>83311702</v>
      </c>
      <c r="L39" s="29" t="s">
        <v>632</v>
      </c>
      <c r="M39" s="29" t="s">
        <v>633</v>
      </c>
    </row>
    <row r="40" spans="1:13" ht="15.75" customHeight="1" x14ac:dyDescent="0.2">
      <c r="A40" s="38">
        <v>38</v>
      </c>
      <c r="B40" s="38" t="s">
        <v>540</v>
      </c>
      <c r="C40" s="38">
        <v>61928402</v>
      </c>
      <c r="D40" s="38"/>
      <c r="E40" s="100" t="s">
        <v>488</v>
      </c>
      <c r="F40" s="100" t="s">
        <v>634</v>
      </c>
      <c r="G40" s="95" t="s">
        <v>524</v>
      </c>
      <c r="H40" s="88">
        <v>37</v>
      </c>
      <c r="I40" s="29" t="s">
        <v>582</v>
      </c>
      <c r="J40" s="29" t="s">
        <v>35</v>
      </c>
      <c r="K40" s="29"/>
      <c r="L40" s="29" t="s">
        <v>635</v>
      </c>
      <c r="M40" s="29" t="s">
        <v>636</v>
      </c>
    </row>
    <row r="41" spans="1:13" ht="15.75" customHeight="1" x14ac:dyDescent="0.2">
      <c r="A41" s="38">
        <v>39</v>
      </c>
      <c r="B41" s="38" t="s">
        <v>540</v>
      </c>
      <c r="C41" s="38">
        <v>61925602</v>
      </c>
      <c r="D41" s="38"/>
      <c r="E41" s="100" t="s">
        <v>488</v>
      </c>
      <c r="F41" s="38" t="s">
        <v>634</v>
      </c>
      <c r="G41" s="95" t="s">
        <v>637</v>
      </c>
      <c r="H41" s="103">
        <v>38</v>
      </c>
      <c r="I41" s="63" t="s">
        <v>480</v>
      </c>
      <c r="J41" s="63" t="s">
        <v>488</v>
      </c>
      <c r="K41" s="63">
        <v>83304902</v>
      </c>
      <c r="L41" s="63" t="s">
        <v>638</v>
      </c>
      <c r="M41" s="63" t="s">
        <v>639</v>
      </c>
    </row>
    <row r="42" spans="1:13" ht="15.75" customHeight="1" x14ac:dyDescent="0.2">
      <c r="A42" s="38">
        <v>40</v>
      </c>
      <c r="B42" s="38" t="s">
        <v>640</v>
      </c>
      <c r="C42" s="38">
        <v>64079101</v>
      </c>
      <c r="D42" s="38"/>
      <c r="E42" s="100" t="s">
        <v>488</v>
      </c>
      <c r="F42" s="38" t="s">
        <v>641</v>
      </c>
      <c r="G42" s="95" t="s">
        <v>642</v>
      </c>
      <c r="H42" s="88">
        <v>39</v>
      </c>
      <c r="I42" s="29" t="s">
        <v>542</v>
      </c>
      <c r="J42" s="29" t="s">
        <v>488</v>
      </c>
      <c r="K42" s="29">
        <v>32754603</v>
      </c>
      <c r="L42" s="29" t="s">
        <v>643</v>
      </c>
      <c r="M42" s="29" t="s">
        <v>644</v>
      </c>
    </row>
    <row r="43" spans="1:13" ht="15.75" customHeight="1" x14ac:dyDescent="0.2">
      <c r="A43" s="38">
        <v>41</v>
      </c>
      <c r="B43" s="38" t="s">
        <v>645</v>
      </c>
      <c r="C43" s="38">
        <v>29633601</v>
      </c>
      <c r="D43" s="100"/>
      <c r="E43" s="38" t="s">
        <v>488</v>
      </c>
      <c r="F43" s="38" t="s">
        <v>646</v>
      </c>
      <c r="G43" s="95" t="s">
        <v>647</v>
      </c>
      <c r="H43" s="88">
        <v>40</v>
      </c>
      <c r="I43" s="29" t="s">
        <v>542</v>
      </c>
      <c r="J43" s="29" t="s">
        <v>488</v>
      </c>
      <c r="K43" s="29">
        <v>83321302</v>
      </c>
      <c r="L43" s="29" t="s">
        <v>648</v>
      </c>
      <c r="M43" s="29" t="s">
        <v>649</v>
      </c>
    </row>
    <row r="44" spans="1:13" ht="15.75" customHeight="1" x14ac:dyDescent="0.2">
      <c r="A44" s="38">
        <v>42</v>
      </c>
      <c r="B44" s="38" t="s">
        <v>83</v>
      </c>
      <c r="C44" s="38">
        <v>76376801</v>
      </c>
      <c r="D44" s="105"/>
      <c r="E44" s="38" t="s">
        <v>35</v>
      </c>
      <c r="F44" s="38" t="s">
        <v>650</v>
      </c>
      <c r="G44" s="95" t="s">
        <v>504</v>
      </c>
      <c r="H44" s="88">
        <v>41</v>
      </c>
      <c r="I44" s="29" t="s">
        <v>510</v>
      </c>
      <c r="J44" s="29" t="s">
        <v>488</v>
      </c>
      <c r="K44" s="29">
        <v>28015503</v>
      </c>
      <c r="L44" s="29" t="s">
        <v>651</v>
      </c>
      <c r="M44" s="29" t="s">
        <v>644</v>
      </c>
    </row>
    <row r="45" spans="1:13" ht="15.75" customHeight="1" x14ac:dyDescent="0.2">
      <c r="A45" s="38">
        <v>43</v>
      </c>
      <c r="B45" s="106" t="s">
        <v>606</v>
      </c>
      <c r="C45" s="107">
        <v>19854001</v>
      </c>
      <c r="D45" s="108"/>
      <c r="E45" s="109" t="s">
        <v>652</v>
      </c>
      <c r="F45" s="76" t="s">
        <v>653</v>
      </c>
      <c r="G45" s="107" t="s">
        <v>654</v>
      </c>
      <c r="H45" s="88">
        <v>42</v>
      </c>
      <c r="I45" s="29" t="s">
        <v>529</v>
      </c>
      <c r="J45" s="29" t="s">
        <v>655</v>
      </c>
      <c r="K45" s="29">
        <v>29750302</v>
      </c>
      <c r="L45" s="29" t="s">
        <v>656</v>
      </c>
      <c r="M45" s="29" t="s">
        <v>649</v>
      </c>
    </row>
    <row r="46" spans="1:13" ht="15.75" customHeight="1" x14ac:dyDescent="0.2">
      <c r="A46" s="38">
        <v>44</v>
      </c>
      <c r="B46" s="110" t="s">
        <v>657</v>
      </c>
      <c r="C46" s="111">
        <v>63991701</v>
      </c>
      <c r="D46" s="38"/>
      <c r="E46" s="112" t="s">
        <v>652</v>
      </c>
      <c r="F46" s="38" t="s">
        <v>658</v>
      </c>
      <c r="G46" s="96" t="s">
        <v>659</v>
      </c>
      <c r="H46" s="88">
        <v>43</v>
      </c>
      <c r="I46" s="29" t="s">
        <v>542</v>
      </c>
      <c r="J46" s="29" t="s">
        <v>488</v>
      </c>
      <c r="K46" s="29">
        <v>64627602</v>
      </c>
      <c r="L46" s="29" t="s">
        <v>660</v>
      </c>
      <c r="M46" s="29" t="s">
        <v>661</v>
      </c>
    </row>
    <row r="47" spans="1:13" ht="15.75" customHeight="1" x14ac:dyDescent="0.2">
      <c r="A47" s="38">
        <v>45</v>
      </c>
      <c r="B47" s="93" t="s">
        <v>662</v>
      </c>
      <c r="C47" s="113">
        <v>21657901</v>
      </c>
      <c r="D47" s="108"/>
      <c r="E47" s="114" t="s">
        <v>652</v>
      </c>
      <c r="F47" s="76" t="s">
        <v>658</v>
      </c>
      <c r="G47" s="113" t="s">
        <v>663</v>
      </c>
      <c r="H47" s="88">
        <v>44</v>
      </c>
      <c r="I47" s="29" t="s">
        <v>529</v>
      </c>
      <c r="J47" s="29" t="s">
        <v>488</v>
      </c>
      <c r="K47" s="29">
        <v>67925601</v>
      </c>
      <c r="L47" s="29" t="s">
        <v>664</v>
      </c>
      <c r="M47" s="29" t="s">
        <v>644</v>
      </c>
    </row>
    <row r="48" spans="1:13" ht="15.75" customHeight="1" x14ac:dyDescent="0.2">
      <c r="A48" s="38">
        <v>46</v>
      </c>
      <c r="B48" s="108" t="s">
        <v>665</v>
      </c>
      <c r="C48" s="108">
        <v>64078901</v>
      </c>
      <c r="D48" s="115"/>
      <c r="E48" s="108" t="s">
        <v>35</v>
      </c>
      <c r="F48" s="108" t="s">
        <v>118</v>
      </c>
      <c r="G48" s="116" t="s">
        <v>666</v>
      </c>
      <c r="H48" s="88">
        <v>45</v>
      </c>
      <c r="I48" s="29" t="s">
        <v>542</v>
      </c>
      <c r="J48" s="29" t="s">
        <v>488</v>
      </c>
      <c r="K48" s="29">
        <v>89789401</v>
      </c>
      <c r="L48" s="29" t="s">
        <v>667</v>
      </c>
      <c r="M48" s="29" t="s">
        <v>668</v>
      </c>
    </row>
    <row r="49" spans="1:24" ht="15.75" customHeight="1" x14ac:dyDescent="0.2">
      <c r="A49" s="38">
        <v>47</v>
      </c>
      <c r="B49" s="108" t="s">
        <v>669</v>
      </c>
      <c r="C49" s="108">
        <v>20418302</v>
      </c>
      <c r="D49" s="108" t="s">
        <v>670</v>
      </c>
      <c r="E49" s="108" t="s">
        <v>520</v>
      </c>
      <c r="F49" s="108"/>
      <c r="G49" s="116" t="s">
        <v>671</v>
      </c>
      <c r="H49" s="88">
        <v>6</v>
      </c>
      <c r="I49" s="29" t="s">
        <v>529</v>
      </c>
      <c r="J49" s="29" t="s">
        <v>672</v>
      </c>
      <c r="K49" s="29">
        <v>64246301</v>
      </c>
      <c r="L49" s="29" t="s">
        <v>667</v>
      </c>
      <c r="M49" s="29" t="s">
        <v>649</v>
      </c>
    </row>
    <row r="50" spans="1:24" ht="15.75" customHeight="1" x14ac:dyDescent="0.2">
      <c r="A50" s="38">
        <v>48</v>
      </c>
      <c r="B50" s="108" t="s">
        <v>673</v>
      </c>
      <c r="C50" s="108">
        <v>41222802</v>
      </c>
      <c r="D50" s="108"/>
      <c r="E50" s="108" t="s">
        <v>35</v>
      </c>
      <c r="F50" s="108" t="s">
        <v>674</v>
      </c>
      <c r="G50" s="116" t="s">
        <v>599</v>
      </c>
      <c r="H50" s="103">
        <v>47</v>
      </c>
      <c r="I50" s="63" t="s">
        <v>542</v>
      </c>
      <c r="J50" s="63" t="s">
        <v>675</v>
      </c>
      <c r="K50" s="63">
        <v>24576303</v>
      </c>
      <c r="L50" s="63" t="s">
        <v>676</v>
      </c>
      <c r="M50" s="63" t="s">
        <v>677</v>
      </c>
    </row>
    <row r="51" spans="1:24" ht="15.75" customHeight="1" x14ac:dyDescent="0.2">
      <c r="A51" s="12">
        <v>49</v>
      </c>
      <c r="B51" s="30" t="s">
        <v>678</v>
      </c>
      <c r="C51" s="30">
        <v>87608202</v>
      </c>
      <c r="D51" s="30"/>
      <c r="E51" s="30" t="s">
        <v>35</v>
      </c>
      <c r="F51" s="117" t="s">
        <v>679</v>
      </c>
      <c r="G51" s="118" t="s">
        <v>680</v>
      </c>
      <c r="H51" s="119">
        <v>48</v>
      </c>
      <c r="I51" s="21" t="s">
        <v>529</v>
      </c>
      <c r="J51" s="21" t="s">
        <v>577</v>
      </c>
      <c r="K51" s="21">
        <v>87711201</v>
      </c>
      <c r="L51" s="42" t="s">
        <v>681</v>
      </c>
      <c r="M51" s="29" t="s">
        <v>682</v>
      </c>
      <c r="N51" s="75"/>
      <c r="O51" s="75"/>
      <c r="P51" s="75"/>
      <c r="Q51" s="75"/>
      <c r="R51" s="75"/>
      <c r="S51" s="75"/>
      <c r="T51" s="75"/>
      <c r="U51" s="75"/>
      <c r="V51" s="75"/>
      <c r="W51" s="75"/>
      <c r="X51" s="75"/>
    </row>
    <row r="52" spans="1:24" ht="15.75" customHeight="1" x14ac:dyDescent="0.2">
      <c r="A52" s="38">
        <v>50</v>
      </c>
      <c r="B52" s="108" t="s">
        <v>678</v>
      </c>
      <c r="C52" s="108">
        <v>20550601</v>
      </c>
      <c r="D52" s="108"/>
      <c r="E52" s="108"/>
      <c r="F52" s="108" t="s">
        <v>683</v>
      </c>
      <c r="G52" s="116" t="s">
        <v>539</v>
      </c>
      <c r="H52" s="88">
        <v>49</v>
      </c>
      <c r="I52" s="29" t="s">
        <v>529</v>
      </c>
      <c r="J52" s="29" t="s">
        <v>684</v>
      </c>
      <c r="K52" s="29">
        <v>27088201</v>
      </c>
      <c r="L52" s="29" t="s">
        <v>685</v>
      </c>
      <c r="M52" s="29" t="s">
        <v>686</v>
      </c>
    </row>
    <row r="53" spans="1:24" ht="15.75" customHeight="1" x14ac:dyDescent="0.2">
      <c r="A53" s="38">
        <v>51</v>
      </c>
      <c r="B53" s="108" t="s">
        <v>687</v>
      </c>
      <c r="C53" s="89">
        <v>83327901</v>
      </c>
      <c r="D53" s="108"/>
      <c r="E53" s="108"/>
      <c r="F53" s="108" t="s">
        <v>688</v>
      </c>
      <c r="G53" s="116" t="s">
        <v>689</v>
      </c>
      <c r="H53" s="88"/>
      <c r="I53" s="29"/>
      <c r="J53" s="29"/>
      <c r="K53" s="29"/>
      <c r="L53" s="29"/>
      <c r="M53" s="29" t="s">
        <v>690</v>
      </c>
    </row>
    <row r="54" spans="1:24" ht="15.75" customHeight="1" x14ac:dyDescent="0.2">
      <c r="A54" s="38">
        <v>-18848503</v>
      </c>
      <c r="B54" s="108" t="s">
        <v>691</v>
      </c>
      <c r="C54" s="12">
        <v>66114302</v>
      </c>
      <c r="D54" s="108"/>
      <c r="E54" s="108"/>
      <c r="F54" s="108" t="s">
        <v>692</v>
      </c>
      <c r="G54" s="116" t="s">
        <v>693</v>
      </c>
      <c r="H54" s="88">
        <v>50</v>
      </c>
      <c r="I54" s="29" t="s">
        <v>542</v>
      </c>
      <c r="J54" s="29" t="s">
        <v>597</v>
      </c>
      <c r="K54" s="29">
        <v>18848503</v>
      </c>
      <c r="L54" s="29" t="s">
        <v>694</v>
      </c>
      <c r="M54" s="29" t="s">
        <v>695</v>
      </c>
    </row>
    <row r="55" spans="1:24" ht="15.75" customHeight="1" x14ac:dyDescent="0.2">
      <c r="A55" s="38">
        <v>53</v>
      </c>
      <c r="B55" s="108" t="s">
        <v>514</v>
      </c>
      <c r="C55" s="12">
        <v>86171701</v>
      </c>
      <c r="D55" s="108"/>
      <c r="E55" s="108"/>
      <c r="F55" s="108" t="s">
        <v>696</v>
      </c>
      <c r="G55" s="116" t="s">
        <v>697</v>
      </c>
      <c r="H55" s="88">
        <v>51</v>
      </c>
      <c r="I55" s="29" t="s">
        <v>529</v>
      </c>
      <c r="J55" s="29" t="s">
        <v>698</v>
      </c>
      <c r="K55" s="29">
        <v>86364102</v>
      </c>
      <c r="L55" s="29" t="s">
        <v>699</v>
      </c>
      <c r="M55" s="29" t="s">
        <v>700</v>
      </c>
    </row>
    <row r="56" spans="1:24" ht="15.75" customHeight="1" x14ac:dyDescent="0.2">
      <c r="A56" s="38">
        <v>54</v>
      </c>
      <c r="B56" s="108" t="s">
        <v>701</v>
      </c>
      <c r="C56" s="12">
        <v>42949102</v>
      </c>
      <c r="D56" s="108"/>
      <c r="E56" s="108"/>
      <c r="F56" s="108" t="s">
        <v>702</v>
      </c>
      <c r="G56" s="116" t="s">
        <v>703</v>
      </c>
      <c r="H56" s="88">
        <v>52</v>
      </c>
      <c r="I56" s="29" t="s">
        <v>529</v>
      </c>
      <c r="J56" s="29" t="s">
        <v>704</v>
      </c>
      <c r="K56" s="29">
        <v>42749002</v>
      </c>
      <c r="L56" s="29" t="s">
        <v>705</v>
      </c>
      <c r="M56" s="29" t="s">
        <v>706</v>
      </c>
    </row>
    <row r="57" spans="1:24" ht="15.75" customHeight="1" x14ac:dyDescent="0.2">
      <c r="A57" s="38">
        <v>55</v>
      </c>
      <c r="B57" s="108" t="s">
        <v>707</v>
      </c>
      <c r="C57" s="12">
        <v>52818901</v>
      </c>
      <c r="D57" s="108"/>
      <c r="E57" s="108"/>
      <c r="F57" s="108" t="s">
        <v>708</v>
      </c>
      <c r="G57" s="116" t="s">
        <v>709</v>
      </c>
      <c r="H57" s="88">
        <v>53</v>
      </c>
      <c r="I57" s="29" t="s">
        <v>542</v>
      </c>
      <c r="J57" s="29" t="s">
        <v>488</v>
      </c>
      <c r="K57" s="29">
        <v>89789501</v>
      </c>
      <c r="L57" s="29" t="s">
        <v>710</v>
      </c>
      <c r="M57" s="29" t="s">
        <v>711</v>
      </c>
    </row>
    <row r="58" spans="1:24" ht="15.75" customHeight="1" x14ac:dyDescent="0.2">
      <c r="A58" s="38">
        <v>56</v>
      </c>
      <c r="B58" s="108" t="s">
        <v>701</v>
      </c>
      <c r="C58" s="12">
        <v>83215402</v>
      </c>
      <c r="D58" s="108"/>
      <c r="E58" s="108"/>
      <c r="F58" s="108" t="s">
        <v>712</v>
      </c>
      <c r="G58" s="116" t="s">
        <v>539</v>
      </c>
      <c r="H58" s="88">
        <v>54</v>
      </c>
      <c r="I58" s="29"/>
      <c r="J58" s="29" t="s">
        <v>520</v>
      </c>
      <c r="K58" s="30">
        <v>28491903</v>
      </c>
      <c r="L58" s="29" t="s">
        <v>713</v>
      </c>
      <c r="M58" s="29" t="s">
        <v>714</v>
      </c>
    </row>
    <row r="59" spans="1:24" ht="15.75" customHeight="1" x14ac:dyDescent="0.2">
      <c r="A59" s="38">
        <v>57</v>
      </c>
      <c r="B59" s="108" t="s">
        <v>506</v>
      </c>
      <c r="C59" s="12">
        <v>58849301</v>
      </c>
      <c r="D59" s="108"/>
      <c r="E59" s="108"/>
      <c r="F59" s="108" t="s">
        <v>715</v>
      </c>
      <c r="G59" s="116" t="s">
        <v>716</v>
      </c>
      <c r="H59" s="88">
        <v>55</v>
      </c>
      <c r="I59" s="29" t="s">
        <v>717</v>
      </c>
      <c r="J59" s="29" t="s">
        <v>718</v>
      </c>
      <c r="K59" s="29">
        <v>40552702</v>
      </c>
      <c r="L59" s="29" t="s">
        <v>719</v>
      </c>
      <c r="M59" s="29" t="s">
        <v>720</v>
      </c>
    </row>
    <row r="60" spans="1:24" ht="15.75" customHeight="1" x14ac:dyDescent="0.2">
      <c r="A60" s="38">
        <v>58</v>
      </c>
      <c r="B60" s="108" t="s">
        <v>721</v>
      </c>
      <c r="C60" s="108">
        <v>68677101</v>
      </c>
      <c r="D60" s="108"/>
      <c r="E60" s="108"/>
      <c r="F60" s="108" t="s">
        <v>722</v>
      </c>
      <c r="G60" s="108" t="s">
        <v>723</v>
      </c>
      <c r="H60" s="88">
        <v>56</v>
      </c>
      <c r="I60" s="29" t="s">
        <v>542</v>
      </c>
      <c r="J60" s="29" t="s">
        <v>597</v>
      </c>
      <c r="K60" s="29">
        <v>12202003</v>
      </c>
      <c r="L60" s="29" t="s">
        <v>724</v>
      </c>
      <c r="M60" s="29" t="s">
        <v>725</v>
      </c>
    </row>
    <row r="61" spans="1:24" ht="15.75" customHeight="1" x14ac:dyDescent="0.2">
      <c r="A61" s="38">
        <v>59</v>
      </c>
      <c r="B61" s="108" t="s">
        <v>514</v>
      </c>
      <c r="C61" s="108">
        <v>79734802</v>
      </c>
      <c r="D61" s="108" t="s">
        <v>587</v>
      </c>
      <c r="E61" s="108"/>
      <c r="F61" s="108" t="s">
        <v>726</v>
      </c>
      <c r="G61" s="108" t="s">
        <v>727</v>
      </c>
      <c r="H61" s="88">
        <v>57</v>
      </c>
      <c r="I61" s="29" t="s">
        <v>542</v>
      </c>
      <c r="J61" s="29" t="s">
        <v>488</v>
      </c>
      <c r="K61" s="29">
        <v>83321202</v>
      </c>
      <c r="L61" s="29" t="s">
        <v>728</v>
      </c>
      <c r="M61" s="29" t="s">
        <v>729</v>
      </c>
    </row>
    <row r="62" spans="1:24" ht="15.75" customHeight="1" x14ac:dyDescent="0.2">
      <c r="A62" s="38">
        <v>60</v>
      </c>
      <c r="B62" s="108" t="s">
        <v>701</v>
      </c>
      <c r="C62" s="108">
        <v>83312102</v>
      </c>
      <c r="D62" s="108"/>
      <c r="E62" s="108"/>
      <c r="F62" s="108" t="s">
        <v>730</v>
      </c>
      <c r="G62" s="108" t="s">
        <v>731</v>
      </c>
      <c r="H62" s="88">
        <v>58</v>
      </c>
      <c r="I62" s="29" t="s">
        <v>732</v>
      </c>
      <c r="J62" s="29" t="s">
        <v>733</v>
      </c>
      <c r="K62" s="29">
        <v>68997101</v>
      </c>
      <c r="L62" s="29" t="s">
        <v>734</v>
      </c>
      <c r="M62" s="29" t="s">
        <v>735</v>
      </c>
    </row>
    <row r="63" spans="1:24" ht="15.75" customHeight="1" x14ac:dyDescent="0.2">
      <c r="A63" s="38">
        <v>61</v>
      </c>
      <c r="B63" s="108" t="s">
        <v>691</v>
      </c>
      <c r="C63" s="108">
        <v>66115702</v>
      </c>
      <c r="D63" s="108"/>
      <c r="E63" s="108"/>
      <c r="F63" s="108" t="s">
        <v>736</v>
      </c>
      <c r="G63" s="108" t="s">
        <v>586</v>
      </c>
      <c r="H63" s="88">
        <v>59</v>
      </c>
      <c r="I63" s="29" t="s">
        <v>737</v>
      </c>
      <c r="J63" s="29" t="s">
        <v>587</v>
      </c>
      <c r="K63" s="29">
        <v>17462203</v>
      </c>
      <c r="L63" s="29" t="s">
        <v>738</v>
      </c>
      <c r="M63" s="29" t="s">
        <v>739</v>
      </c>
    </row>
    <row r="64" spans="1:24" ht="15.75" customHeight="1" x14ac:dyDescent="0.2">
      <c r="A64" s="38">
        <v>62</v>
      </c>
      <c r="B64" s="108" t="s">
        <v>740</v>
      </c>
      <c r="C64" s="12">
        <v>30525602</v>
      </c>
      <c r="D64" s="108"/>
      <c r="E64" s="108"/>
      <c r="F64" s="108" t="s">
        <v>741</v>
      </c>
      <c r="G64" s="108" t="s">
        <v>493</v>
      </c>
      <c r="H64" s="88">
        <v>60</v>
      </c>
      <c r="I64" s="29" t="s">
        <v>542</v>
      </c>
      <c r="J64" s="29" t="s">
        <v>488</v>
      </c>
      <c r="K64" s="29">
        <v>68226001</v>
      </c>
      <c r="L64" s="29" t="s">
        <v>742</v>
      </c>
      <c r="M64" s="29" t="s">
        <v>743</v>
      </c>
    </row>
    <row r="65" spans="1:13" ht="15.75" customHeight="1" x14ac:dyDescent="0.2">
      <c r="A65" s="38">
        <v>63</v>
      </c>
      <c r="B65" s="108" t="s">
        <v>687</v>
      </c>
      <c r="C65" s="120">
        <v>83327901</v>
      </c>
      <c r="D65" s="108"/>
      <c r="E65" s="108"/>
      <c r="F65" s="108" t="s">
        <v>744</v>
      </c>
      <c r="G65" s="108" t="s">
        <v>723</v>
      </c>
      <c r="H65" s="88">
        <v>61</v>
      </c>
      <c r="I65" s="29" t="s">
        <v>529</v>
      </c>
      <c r="J65" s="29" t="s">
        <v>577</v>
      </c>
      <c r="K65" s="29">
        <v>52698502</v>
      </c>
      <c r="L65" s="29" t="s">
        <v>745</v>
      </c>
      <c r="M65" s="29" t="s">
        <v>746</v>
      </c>
    </row>
    <row r="66" spans="1:13" ht="15.75" customHeight="1" x14ac:dyDescent="0.2">
      <c r="A66" s="38">
        <v>64</v>
      </c>
      <c r="B66" s="108" t="s">
        <v>747</v>
      </c>
      <c r="C66" s="12">
        <v>76644301</v>
      </c>
      <c r="D66" s="108"/>
      <c r="E66" s="108"/>
      <c r="F66" s="108" t="s">
        <v>748</v>
      </c>
      <c r="G66" s="108" t="s">
        <v>749</v>
      </c>
      <c r="H66" s="103">
        <v>62</v>
      </c>
      <c r="I66" s="63" t="s">
        <v>529</v>
      </c>
      <c r="J66" s="63" t="s">
        <v>750</v>
      </c>
      <c r="K66" s="63">
        <v>39138502</v>
      </c>
      <c r="L66" s="63" t="s">
        <v>751</v>
      </c>
      <c r="M66" s="63" t="s">
        <v>752</v>
      </c>
    </row>
    <row r="67" spans="1:13" ht="15.75" customHeight="1" x14ac:dyDescent="0.2">
      <c r="A67" s="38">
        <v>65</v>
      </c>
      <c r="B67" s="108" t="s">
        <v>753</v>
      </c>
      <c r="C67" s="108">
        <v>66114302</v>
      </c>
      <c r="D67" s="108" t="s">
        <v>488</v>
      </c>
      <c r="E67" s="108"/>
      <c r="F67" s="108" t="s">
        <v>754</v>
      </c>
      <c r="G67" s="116" t="s">
        <v>693</v>
      </c>
      <c r="H67" s="88">
        <v>63</v>
      </c>
      <c r="I67" s="29"/>
      <c r="J67" s="29"/>
      <c r="K67" s="29"/>
      <c r="L67" s="29" t="s">
        <v>755</v>
      </c>
      <c r="M67" s="29" t="s">
        <v>756</v>
      </c>
    </row>
    <row r="68" spans="1:13" ht="15.75" customHeight="1" x14ac:dyDescent="0.2">
      <c r="A68" s="38">
        <v>66</v>
      </c>
      <c r="B68" s="108" t="s">
        <v>757</v>
      </c>
      <c r="C68" s="30">
        <v>28016303</v>
      </c>
      <c r="D68" s="108" t="s">
        <v>488</v>
      </c>
      <c r="E68" s="108"/>
      <c r="F68" s="108" t="s">
        <v>758</v>
      </c>
      <c r="G68" s="116" t="s">
        <v>759</v>
      </c>
      <c r="H68" s="88">
        <v>64</v>
      </c>
      <c r="I68" s="29"/>
      <c r="J68" s="29"/>
      <c r="K68" s="29"/>
      <c r="L68" s="29" t="s">
        <v>760</v>
      </c>
      <c r="M68" s="29" t="s">
        <v>756</v>
      </c>
    </row>
    <row r="69" spans="1:13" ht="15.75" customHeight="1" x14ac:dyDescent="0.2">
      <c r="A69" s="38">
        <v>67</v>
      </c>
      <c r="B69" s="108" t="s">
        <v>687</v>
      </c>
      <c r="C69" s="108">
        <v>83327901</v>
      </c>
      <c r="D69" s="108" t="s">
        <v>35</v>
      </c>
      <c r="E69" s="108"/>
      <c r="F69" s="108" t="s">
        <v>761</v>
      </c>
      <c r="G69" s="116" t="s">
        <v>693</v>
      </c>
      <c r="H69" s="88">
        <v>65</v>
      </c>
      <c r="I69" s="29" t="s">
        <v>529</v>
      </c>
      <c r="J69" s="29" t="s">
        <v>35</v>
      </c>
      <c r="K69" s="29">
        <v>76376601</v>
      </c>
      <c r="L69" s="29" t="s">
        <v>762</v>
      </c>
      <c r="M69" s="29" t="s">
        <v>763</v>
      </c>
    </row>
    <row r="70" spans="1:13" ht="15.75" customHeight="1" x14ac:dyDescent="0.2">
      <c r="A70" s="38">
        <v>68</v>
      </c>
      <c r="B70" s="108" t="s">
        <v>764</v>
      </c>
      <c r="C70" s="108">
        <v>14070201</v>
      </c>
      <c r="D70" s="108" t="s">
        <v>488</v>
      </c>
      <c r="E70" s="108"/>
      <c r="F70" s="108" t="s">
        <v>765</v>
      </c>
      <c r="G70" s="116" t="s">
        <v>766</v>
      </c>
      <c r="H70" s="88">
        <v>66</v>
      </c>
      <c r="I70" s="29" t="s">
        <v>542</v>
      </c>
      <c r="J70" s="29" t="s">
        <v>488</v>
      </c>
      <c r="K70" s="29">
        <v>47641203</v>
      </c>
      <c r="L70" s="29" t="s">
        <v>767</v>
      </c>
      <c r="M70" s="29" t="s">
        <v>609</v>
      </c>
    </row>
    <row r="71" spans="1:13" ht="15.75" customHeight="1" x14ac:dyDescent="0.2">
      <c r="A71" s="38">
        <v>69</v>
      </c>
      <c r="B71" s="108" t="s">
        <v>514</v>
      </c>
      <c r="C71" s="108">
        <v>79735202</v>
      </c>
      <c r="D71" s="108" t="s">
        <v>587</v>
      </c>
      <c r="E71" s="108"/>
      <c r="F71" s="108" t="s">
        <v>768</v>
      </c>
      <c r="G71" s="116" t="s">
        <v>769</v>
      </c>
      <c r="H71" s="88">
        <v>67</v>
      </c>
      <c r="I71" s="29" t="s">
        <v>529</v>
      </c>
      <c r="J71" s="29" t="s">
        <v>770</v>
      </c>
      <c r="K71" s="29">
        <v>30242402</v>
      </c>
      <c r="L71" s="29" t="s">
        <v>771</v>
      </c>
      <c r="M71" s="29" t="s">
        <v>772</v>
      </c>
    </row>
    <row r="72" spans="1:13" ht="15.75" customHeight="1" x14ac:dyDescent="0.2">
      <c r="A72" s="38">
        <v>70</v>
      </c>
      <c r="B72" s="108" t="s">
        <v>721</v>
      </c>
      <c r="C72" s="108">
        <v>68695101</v>
      </c>
      <c r="D72" s="108" t="s">
        <v>488</v>
      </c>
      <c r="E72" s="108"/>
      <c r="F72" s="108" t="s">
        <v>773</v>
      </c>
      <c r="G72" s="116" t="s">
        <v>774</v>
      </c>
      <c r="H72" s="88">
        <v>68</v>
      </c>
      <c r="I72" s="29" t="s">
        <v>529</v>
      </c>
      <c r="J72" s="29" t="s">
        <v>684</v>
      </c>
      <c r="K72" s="29">
        <v>71655102</v>
      </c>
      <c r="L72" s="29" t="s">
        <v>775</v>
      </c>
      <c r="M72" s="29" t="s">
        <v>776</v>
      </c>
    </row>
    <row r="73" spans="1:13" ht="15.75" customHeight="1" x14ac:dyDescent="0.2">
      <c r="A73" s="38">
        <v>71</v>
      </c>
      <c r="B73" s="108" t="s">
        <v>691</v>
      </c>
      <c r="C73" s="108">
        <v>66114302</v>
      </c>
      <c r="D73" s="108" t="s">
        <v>488</v>
      </c>
      <c r="E73" s="108"/>
      <c r="F73" s="108" t="s">
        <v>777</v>
      </c>
      <c r="G73" s="116" t="s">
        <v>749</v>
      </c>
      <c r="H73" s="88">
        <v>69</v>
      </c>
      <c r="I73" s="29" t="s">
        <v>529</v>
      </c>
      <c r="J73" s="29" t="s">
        <v>684</v>
      </c>
      <c r="K73" s="29">
        <v>59115302</v>
      </c>
      <c r="L73" s="29" t="s">
        <v>778</v>
      </c>
      <c r="M73" s="29" t="s">
        <v>779</v>
      </c>
    </row>
    <row r="74" spans="1:13" ht="15.75" customHeight="1" x14ac:dyDescent="0.2">
      <c r="A74" s="38">
        <v>72</v>
      </c>
      <c r="B74" s="108" t="s">
        <v>701</v>
      </c>
      <c r="C74" s="108">
        <v>76376601</v>
      </c>
      <c r="D74" s="108" t="s">
        <v>35</v>
      </c>
      <c r="E74" s="108"/>
      <c r="F74" s="108" t="s">
        <v>780</v>
      </c>
      <c r="G74" s="116" t="s">
        <v>504</v>
      </c>
      <c r="H74" s="88">
        <v>70</v>
      </c>
      <c r="I74" s="29" t="s">
        <v>529</v>
      </c>
      <c r="J74" s="29" t="s">
        <v>770</v>
      </c>
      <c r="K74" s="29">
        <v>17181503</v>
      </c>
      <c r="L74" s="29" t="s">
        <v>781</v>
      </c>
      <c r="M74" s="29" t="s">
        <v>782</v>
      </c>
    </row>
    <row r="75" spans="1:13" ht="15.75" customHeight="1" x14ac:dyDescent="0.2">
      <c r="A75" s="38">
        <v>73</v>
      </c>
      <c r="B75" s="108" t="s">
        <v>701</v>
      </c>
      <c r="C75" s="108">
        <v>76376401</v>
      </c>
      <c r="D75" s="108" t="s">
        <v>35</v>
      </c>
      <c r="E75" s="108"/>
      <c r="F75" s="108" t="s">
        <v>783</v>
      </c>
      <c r="G75" s="116" t="s">
        <v>601</v>
      </c>
      <c r="H75" s="88">
        <v>71</v>
      </c>
      <c r="I75" s="29" t="s">
        <v>529</v>
      </c>
      <c r="J75" s="29" t="s">
        <v>577</v>
      </c>
      <c r="K75" s="29">
        <v>51235003</v>
      </c>
      <c r="L75" s="29" t="s">
        <v>784</v>
      </c>
      <c r="M75" s="29" t="s">
        <v>785</v>
      </c>
    </row>
    <row r="76" spans="1:13" ht="15.75" customHeight="1" x14ac:dyDescent="0.2">
      <c r="A76" s="38">
        <v>74</v>
      </c>
      <c r="B76" s="108" t="s">
        <v>747</v>
      </c>
      <c r="C76" s="108">
        <v>83327901</v>
      </c>
      <c r="D76" s="108" t="s">
        <v>35</v>
      </c>
      <c r="E76" s="108"/>
      <c r="F76" s="108" t="s">
        <v>786</v>
      </c>
      <c r="G76" s="116"/>
      <c r="H76" s="88">
        <v>72</v>
      </c>
      <c r="I76" s="29" t="s">
        <v>529</v>
      </c>
      <c r="J76" s="29" t="s">
        <v>770</v>
      </c>
      <c r="K76" s="29">
        <v>75098302</v>
      </c>
      <c r="L76" s="29" t="s">
        <v>787</v>
      </c>
      <c r="M76" s="29" t="s">
        <v>772</v>
      </c>
    </row>
    <row r="77" spans="1:13" ht="15.75" customHeight="1" x14ac:dyDescent="0.2">
      <c r="A77" s="38">
        <v>75</v>
      </c>
      <c r="B77" s="108" t="s">
        <v>687</v>
      </c>
      <c r="C77" s="108">
        <v>76644301</v>
      </c>
      <c r="D77" s="108" t="s">
        <v>35</v>
      </c>
      <c r="E77" s="108"/>
      <c r="F77" s="108" t="s">
        <v>788</v>
      </c>
      <c r="G77" s="116"/>
      <c r="H77" s="103">
        <v>73</v>
      </c>
      <c r="I77" s="63" t="s">
        <v>529</v>
      </c>
      <c r="J77" s="63" t="s">
        <v>789</v>
      </c>
      <c r="K77" s="65">
        <v>82867801</v>
      </c>
      <c r="L77" s="63" t="s">
        <v>790</v>
      </c>
      <c r="M77" s="63" t="s">
        <v>791</v>
      </c>
    </row>
    <row r="78" spans="1:13" ht="15.75" customHeight="1" x14ac:dyDescent="0.2">
      <c r="A78" s="38">
        <v>76</v>
      </c>
      <c r="B78" s="108" t="s">
        <v>792</v>
      </c>
      <c r="C78" s="108">
        <v>17053103</v>
      </c>
      <c r="D78" s="108" t="s">
        <v>35</v>
      </c>
      <c r="E78" s="108"/>
      <c r="F78" s="108" t="s">
        <v>793</v>
      </c>
      <c r="G78" s="116" t="s">
        <v>680</v>
      </c>
      <c r="H78" s="88">
        <v>74</v>
      </c>
      <c r="I78" s="29" t="s">
        <v>737</v>
      </c>
      <c r="J78" s="29" t="s">
        <v>35</v>
      </c>
      <c r="K78" s="29">
        <v>32757803</v>
      </c>
      <c r="L78" s="29" t="s">
        <v>794</v>
      </c>
      <c r="M78" s="29" t="s">
        <v>795</v>
      </c>
    </row>
    <row r="79" spans="1:13" ht="15.75" customHeight="1" x14ac:dyDescent="0.2">
      <c r="A79" s="38">
        <v>77</v>
      </c>
      <c r="B79" s="108" t="s">
        <v>796</v>
      </c>
      <c r="C79" s="108">
        <v>47173002</v>
      </c>
      <c r="D79" s="108" t="s">
        <v>488</v>
      </c>
      <c r="E79" s="108"/>
      <c r="F79" s="108" t="s">
        <v>797</v>
      </c>
      <c r="G79" s="116" t="s">
        <v>601</v>
      </c>
      <c r="H79" s="88">
        <v>75</v>
      </c>
      <c r="I79" s="29"/>
      <c r="J79" s="29"/>
      <c r="K79" s="29" t="s">
        <v>798</v>
      </c>
      <c r="L79" s="29" t="s">
        <v>799</v>
      </c>
      <c r="M79" s="29" t="s">
        <v>800</v>
      </c>
    </row>
    <row r="80" spans="1:13" ht="15.75" customHeight="1" x14ac:dyDescent="0.2">
      <c r="A80" s="38">
        <v>78</v>
      </c>
      <c r="B80" s="108" t="s">
        <v>701</v>
      </c>
      <c r="C80" s="108">
        <v>83311702</v>
      </c>
      <c r="D80" s="108" t="s">
        <v>488</v>
      </c>
      <c r="E80" s="108"/>
      <c r="F80" s="108" t="s">
        <v>801</v>
      </c>
      <c r="G80" s="116" t="s">
        <v>802</v>
      </c>
      <c r="H80" s="88">
        <v>76</v>
      </c>
      <c r="I80" s="29" t="s">
        <v>542</v>
      </c>
      <c r="J80" s="29" t="s">
        <v>652</v>
      </c>
      <c r="K80" s="29">
        <v>18844603</v>
      </c>
      <c r="L80" s="29" t="s">
        <v>803</v>
      </c>
      <c r="M80" s="29" t="s">
        <v>804</v>
      </c>
    </row>
    <row r="81" spans="1:13" ht="15.75" customHeight="1" x14ac:dyDescent="0.2">
      <c r="A81" s="38">
        <v>79</v>
      </c>
      <c r="B81" s="108" t="s">
        <v>687</v>
      </c>
      <c r="C81" s="108">
        <v>76644701</v>
      </c>
      <c r="D81" s="108" t="s">
        <v>35</v>
      </c>
      <c r="E81" s="108"/>
      <c r="F81" s="108" t="s">
        <v>805</v>
      </c>
      <c r="G81" s="116" t="s">
        <v>806</v>
      </c>
      <c r="H81" s="88">
        <v>77</v>
      </c>
      <c r="I81" s="29" t="s">
        <v>529</v>
      </c>
      <c r="J81" s="29" t="s">
        <v>770</v>
      </c>
      <c r="K81" s="29">
        <v>54477502</v>
      </c>
      <c r="L81" s="29" t="s">
        <v>807</v>
      </c>
      <c r="M81" s="29" t="s">
        <v>808</v>
      </c>
    </row>
    <row r="82" spans="1:13" ht="15.75" customHeight="1" x14ac:dyDescent="0.2">
      <c r="A82" s="38">
        <v>80</v>
      </c>
      <c r="B82" s="108" t="s">
        <v>514</v>
      </c>
      <c r="C82" s="108">
        <v>20351401</v>
      </c>
      <c r="D82" s="108" t="s">
        <v>488</v>
      </c>
      <c r="E82" s="108"/>
      <c r="F82" s="108" t="s">
        <v>809</v>
      </c>
      <c r="G82" s="116" t="s">
        <v>774</v>
      </c>
      <c r="H82" s="88">
        <v>78</v>
      </c>
      <c r="I82" s="29" t="s">
        <v>542</v>
      </c>
      <c r="J82" s="29" t="s">
        <v>652</v>
      </c>
      <c r="K82" s="29">
        <v>83305702</v>
      </c>
      <c r="L82" s="29" t="s">
        <v>810</v>
      </c>
      <c r="M82" s="29" t="s">
        <v>811</v>
      </c>
    </row>
    <row r="83" spans="1:13" ht="15.75" customHeight="1" x14ac:dyDescent="0.2">
      <c r="A83" s="38">
        <v>81</v>
      </c>
      <c r="B83" s="108" t="s">
        <v>669</v>
      </c>
      <c r="C83" s="108">
        <v>20425302</v>
      </c>
      <c r="D83" s="108" t="s">
        <v>35</v>
      </c>
      <c r="E83" s="108"/>
      <c r="F83" s="108" t="s">
        <v>812</v>
      </c>
      <c r="G83" s="116" t="s">
        <v>813</v>
      </c>
      <c r="H83" s="88">
        <v>79</v>
      </c>
      <c r="I83" s="29" t="s">
        <v>529</v>
      </c>
      <c r="J83" s="29" t="s">
        <v>587</v>
      </c>
      <c r="K83" s="29">
        <v>33881003</v>
      </c>
      <c r="L83" s="29" t="s">
        <v>814</v>
      </c>
      <c r="M83" s="29" t="s">
        <v>815</v>
      </c>
    </row>
    <row r="84" spans="1:13" ht="15.75" customHeight="1" x14ac:dyDescent="0.2">
      <c r="A84" s="38">
        <v>82</v>
      </c>
      <c r="B84" s="108" t="s">
        <v>669</v>
      </c>
      <c r="C84" s="108">
        <v>85215901</v>
      </c>
      <c r="D84" s="108" t="s">
        <v>35</v>
      </c>
      <c r="E84" s="108"/>
      <c r="F84" s="108" t="s">
        <v>816</v>
      </c>
      <c r="G84" s="116" t="s">
        <v>567</v>
      </c>
      <c r="H84" s="88">
        <v>80</v>
      </c>
      <c r="I84" s="29" t="s">
        <v>529</v>
      </c>
      <c r="J84" s="29" t="s">
        <v>35</v>
      </c>
      <c r="K84" s="29">
        <v>71108101</v>
      </c>
      <c r="L84" s="29" t="s">
        <v>817</v>
      </c>
      <c r="M84" s="29" t="s">
        <v>772</v>
      </c>
    </row>
    <row r="85" spans="1:13" ht="15.75" customHeight="1" x14ac:dyDescent="0.2">
      <c r="A85" s="38">
        <v>83</v>
      </c>
      <c r="B85" s="108" t="s">
        <v>818</v>
      </c>
      <c r="C85" s="108">
        <v>22002101</v>
      </c>
      <c r="D85" s="108" t="s">
        <v>488</v>
      </c>
      <c r="E85" s="108"/>
      <c r="F85" s="108" t="s">
        <v>819</v>
      </c>
      <c r="G85" s="116" t="s">
        <v>820</v>
      </c>
      <c r="H85" s="88">
        <v>81</v>
      </c>
      <c r="I85" s="29" t="s">
        <v>529</v>
      </c>
      <c r="J85" s="29" t="s">
        <v>770</v>
      </c>
      <c r="K85" s="29">
        <v>75098302</v>
      </c>
      <c r="L85" s="29" t="s">
        <v>821</v>
      </c>
      <c r="M85" s="29" t="s">
        <v>772</v>
      </c>
    </row>
    <row r="86" spans="1:13" ht="15.75" customHeight="1" x14ac:dyDescent="0.2">
      <c r="A86" s="38">
        <v>84</v>
      </c>
      <c r="B86" s="108" t="s">
        <v>822</v>
      </c>
      <c r="C86" s="108">
        <v>28491903</v>
      </c>
      <c r="D86" s="108" t="s">
        <v>823</v>
      </c>
      <c r="E86" s="108"/>
      <c r="F86" s="108" t="s">
        <v>824</v>
      </c>
      <c r="G86" s="116" t="s">
        <v>693</v>
      </c>
      <c r="H86" s="88">
        <v>82</v>
      </c>
      <c r="I86" s="29" t="s">
        <v>542</v>
      </c>
      <c r="J86" s="29" t="s">
        <v>825</v>
      </c>
      <c r="K86" s="29">
        <v>83313202</v>
      </c>
      <c r="L86" s="29" t="s">
        <v>826</v>
      </c>
      <c r="M86" s="29" t="s">
        <v>827</v>
      </c>
    </row>
    <row r="87" spans="1:13" ht="15.75" customHeight="1" x14ac:dyDescent="0.2">
      <c r="A87" s="38">
        <v>85</v>
      </c>
      <c r="B87" s="108" t="s">
        <v>701</v>
      </c>
      <c r="C87" s="108">
        <v>42008802</v>
      </c>
      <c r="D87" s="108" t="s">
        <v>35</v>
      </c>
      <c r="E87" s="108"/>
      <c r="F87" s="108" t="s">
        <v>828</v>
      </c>
      <c r="G87" s="116" t="s">
        <v>501</v>
      </c>
      <c r="H87" s="103">
        <v>83</v>
      </c>
      <c r="I87" s="63" t="s">
        <v>542</v>
      </c>
      <c r="J87" s="63" t="s">
        <v>488</v>
      </c>
      <c r="K87" s="63">
        <v>86034701</v>
      </c>
      <c r="L87" s="63" t="s">
        <v>829</v>
      </c>
      <c r="M87" s="63" t="s">
        <v>830</v>
      </c>
    </row>
    <row r="88" spans="1:13" ht="15.75" customHeight="1" x14ac:dyDescent="0.2">
      <c r="A88" s="38">
        <v>86</v>
      </c>
      <c r="B88" s="108" t="s">
        <v>514</v>
      </c>
      <c r="C88" s="108">
        <v>79735402</v>
      </c>
      <c r="D88" s="108" t="s">
        <v>587</v>
      </c>
      <c r="E88" s="108"/>
      <c r="F88" s="108" t="s">
        <v>831</v>
      </c>
      <c r="G88" s="116" t="s">
        <v>613</v>
      </c>
      <c r="H88" s="88">
        <v>84</v>
      </c>
      <c r="I88" s="29" t="s">
        <v>529</v>
      </c>
      <c r="J88" s="29" t="s">
        <v>587</v>
      </c>
      <c r="K88" s="29">
        <v>31362402</v>
      </c>
      <c r="L88" s="29" t="s">
        <v>832</v>
      </c>
      <c r="M88" s="29" t="s">
        <v>833</v>
      </c>
    </row>
    <row r="89" spans="1:13" ht="15.75" customHeight="1" x14ac:dyDescent="0.2">
      <c r="A89" s="38">
        <v>87</v>
      </c>
      <c r="B89" s="108" t="s">
        <v>796</v>
      </c>
      <c r="C89" s="108">
        <v>47173002</v>
      </c>
      <c r="D89" s="108" t="s">
        <v>597</v>
      </c>
      <c r="E89" s="108"/>
      <c r="F89" s="108" t="s">
        <v>834</v>
      </c>
      <c r="G89" s="116" t="s">
        <v>835</v>
      </c>
      <c r="H89" s="88">
        <v>85</v>
      </c>
      <c r="I89" s="29" t="s">
        <v>542</v>
      </c>
      <c r="J89" s="29" t="s">
        <v>652</v>
      </c>
      <c r="K89" s="29">
        <v>59285502</v>
      </c>
      <c r="L89" s="29" t="s">
        <v>836</v>
      </c>
      <c r="M89" s="29" t="s">
        <v>837</v>
      </c>
    </row>
    <row r="90" spans="1:13" ht="15.75" customHeight="1" x14ac:dyDescent="0.2">
      <c r="A90" s="38">
        <v>88</v>
      </c>
      <c r="B90" s="108" t="s">
        <v>514</v>
      </c>
      <c r="C90" s="108">
        <v>86170801</v>
      </c>
      <c r="D90" s="108" t="s">
        <v>652</v>
      </c>
      <c r="E90" s="108"/>
      <c r="F90" s="108" t="s">
        <v>838</v>
      </c>
      <c r="G90" s="116" t="s">
        <v>802</v>
      </c>
      <c r="H90" s="88">
        <v>86</v>
      </c>
      <c r="I90" s="29" t="s">
        <v>510</v>
      </c>
      <c r="J90" s="29" t="s">
        <v>839</v>
      </c>
      <c r="K90" s="29">
        <v>52645902</v>
      </c>
      <c r="L90" s="29" t="s">
        <v>840</v>
      </c>
      <c r="M90" s="29" t="s">
        <v>841</v>
      </c>
    </row>
    <row r="91" spans="1:13" ht="15.75" customHeight="1" x14ac:dyDescent="0.2">
      <c r="A91" s="38">
        <v>89</v>
      </c>
      <c r="B91" s="108" t="s">
        <v>514</v>
      </c>
      <c r="C91" s="108">
        <v>79739902</v>
      </c>
      <c r="D91" s="108" t="s">
        <v>587</v>
      </c>
      <c r="E91" s="108"/>
      <c r="F91" s="108" t="s">
        <v>842</v>
      </c>
      <c r="G91" s="116" t="s">
        <v>616</v>
      </c>
      <c r="H91" s="88">
        <v>87</v>
      </c>
      <c r="I91" s="29" t="s">
        <v>542</v>
      </c>
      <c r="J91" s="29" t="s">
        <v>597</v>
      </c>
      <c r="K91" s="29">
        <v>24138103</v>
      </c>
      <c r="L91" s="29" t="s">
        <v>843</v>
      </c>
      <c r="M91" s="29" t="s">
        <v>844</v>
      </c>
    </row>
    <row r="92" spans="1:13" ht="15.75" customHeight="1" x14ac:dyDescent="0.2">
      <c r="A92" s="93">
        <v>90</v>
      </c>
      <c r="B92" s="121" t="s">
        <v>701</v>
      </c>
      <c r="C92" s="121">
        <v>83302602</v>
      </c>
      <c r="D92" s="121" t="s">
        <v>597</v>
      </c>
      <c r="E92" s="121"/>
      <c r="F92" s="121" t="s">
        <v>845</v>
      </c>
      <c r="G92" s="122" t="s">
        <v>846</v>
      </c>
      <c r="H92" s="88">
        <v>88</v>
      </c>
      <c r="I92" s="29" t="s">
        <v>529</v>
      </c>
      <c r="J92" s="29" t="s">
        <v>587</v>
      </c>
      <c r="K92" s="29">
        <v>32485402</v>
      </c>
      <c r="L92" s="29" t="s">
        <v>847</v>
      </c>
      <c r="M92" s="29" t="s">
        <v>848</v>
      </c>
    </row>
    <row r="93" spans="1:13" ht="15.75" customHeight="1" x14ac:dyDescent="0.2">
      <c r="A93" s="108">
        <v>91</v>
      </c>
      <c r="B93" s="108" t="s">
        <v>514</v>
      </c>
      <c r="C93" s="108">
        <v>79733202</v>
      </c>
      <c r="D93" s="108" t="s">
        <v>587</v>
      </c>
      <c r="E93" s="108"/>
      <c r="F93" s="108" t="s">
        <v>849</v>
      </c>
      <c r="G93" s="116" t="s">
        <v>517</v>
      </c>
      <c r="H93" s="88">
        <v>89</v>
      </c>
      <c r="I93" s="29" t="s">
        <v>529</v>
      </c>
      <c r="J93" s="29" t="s">
        <v>587</v>
      </c>
      <c r="K93" s="29">
        <v>40608502</v>
      </c>
      <c r="L93" s="29" t="s">
        <v>850</v>
      </c>
      <c r="M93" s="29" t="s">
        <v>851</v>
      </c>
    </row>
    <row r="94" spans="1:13" ht="15.75" customHeight="1" x14ac:dyDescent="0.2">
      <c r="A94" s="108">
        <v>92</v>
      </c>
      <c r="B94" s="108" t="s">
        <v>514</v>
      </c>
      <c r="C94" s="108">
        <v>24889203</v>
      </c>
      <c r="D94" s="108" t="s">
        <v>587</v>
      </c>
      <c r="E94" s="108"/>
      <c r="F94" s="108" t="s">
        <v>849</v>
      </c>
      <c r="G94" s="116" t="s">
        <v>852</v>
      </c>
      <c r="H94" s="103">
        <v>90</v>
      </c>
      <c r="I94" s="63" t="s">
        <v>529</v>
      </c>
      <c r="J94" s="63" t="s">
        <v>587</v>
      </c>
      <c r="K94" s="63">
        <v>31942902</v>
      </c>
      <c r="L94" s="63" t="s">
        <v>853</v>
      </c>
      <c r="M94" s="63" t="s">
        <v>854</v>
      </c>
    </row>
    <row r="95" spans="1:13" ht="15.75" customHeight="1" x14ac:dyDescent="0.2">
      <c r="A95" s="108">
        <v>93</v>
      </c>
      <c r="B95" s="108" t="s">
        <v>514</v>
      </c>
      <c r="C95" s="108">
        <v>79742302</v>
      </c>
      <c r="D95" s="108" t="s">
        <v>587</v>
      </c>
      <c r="E95" s="108"/>
      <c r="F95" s="108" t="s">
        <v>849</v>
      </c>
      <c r="G95" s="116" t="s">
        <v>576</v>
      </c>
      <c r="H95" s="88">
        <v>91</v>
      </c>
      <c r="I95" s="29" t="s">
        <v>529</v>
      </c>
      <c r="J95" s="29" t="s">
        <v>587</v>
      </c>
      <c r="K95" s="29">
        <v>71713902</v>
      </c>
      <c r="L95" s="29" t="s">
        <v>855</v>
      </c>
      <c r="M95" s="29" t="s">
        <v>856</v>
      </c>
    </row>
    <row r="96" spans="1:13" ht="15.75" customHeight="1" x14ac:dyDescent="0.2">
      <c r="A96" s="108">
        <v>94</v>
      </c>
      <c r="B96" s="108" t="s">
        <v>514</v>
      </c>
      <c r="C96" s="108">
        <v>79742102</v>
      </c>
      <c r="D96" s="108" t="s">
        <v>587</v>
      </c>
      <c r="E96" s="108"/>
      <c r="F96" s="108" t="s">
        <v>857</v>
      </c>
      <c r="G96" s="116" t="s">
        <v>858</v>
      </c>
      <c r="H96" s="88">
        <v>92</v>
      </c>
      <c r="I96" s="29" t="s">
        <v>529</v>
      </c>
      <c r="J96" s="29" t="s">
        <v>587</v>
      </c>
      <c r="K96" s="29">
        <v>84962602</v>
      </c>
      <c r="L96" s="29" t="s">
        <v>859</v>
      </c>
      <c r="M96" s="29" t="s">
        <v>856</v>
      </c>
    </row>
    <row r="97" spans="1:24" ht="15.75" customHeight="1" x14ac:dyDescent="0.2">
      <c r="A97" s="108">
        <v>95</v>
      </c>
      <c r="B97" s="108" t="s">
        <v>514</v>
      </c>
      <c r="C97" s="108">
        <v>79740702</v>
      </c>
      <c r="D97" s="108" t="s">
        <v>587</v>
      </c>
      <c r="E97" s="108"/>
      <c r="F97" s="108" t="s">
        <v>857</v>
      </c>
      <c r="G97" s="116" t="s">
        <v>860</v>
      </c>
      <c r="H97" s="88">
        <v>94</v>
      </c>
      <c r="I97" s="29"/>
      <c r="J97" s="29"/>
      <c r="K97" s="29"/>
      <c r="L97" s="29" t="s">
        <v>861</v>
      </c>
      <c r="M97" s="29" t="s">
        <v>862</v>
      </c>
    </row>
    <row r="98" spans="1:24" ht="15.75" customHeight="1" x14ac:dyDescent="0.2">
      <c r="A98" s="108">
        <v>96</v>
      </c>
      <c r="B98" s="108" t="s">
        <v>514</v>
      </c>
      <c r="C98" s="108">
        <v>79733502</v>
      </c>
      <c r="D98" s="108" t="s">
        <v>587</v>
      </c>
      <c r="E98" s="108"/>
      <c r="F98" s="108" t="s">
        <v>863</v>
      </c>
      <c r="G98" s="116" t="s">
        <v>864</v>
      </c>
      <c r="H98" s="88">
        <v>95</v>
      </c>
      <c r="I98" s="29" t="s">
        <v>529</v>
      </c>
      <c r="J98" s="29" t="s">
        <v>587</v>
      </c>
      <c r="K98" s="29">
        <v>44265902</v>
      </c>
      <c r="L98" s="29" t="s">
        <v>865</v>
      </c>
      <c r="M98" s="29" t="s">
        <v>866</v>
      </c>
    </row>
    <row r="99" spans="1:24" ht="15.75" customHeight="1" x14ac:dyDescent="0.2">
      <c r="A99" s="121">
        <v>97</v>
      </c>
      <c r="B99" s="121" t="s">
        <v>514</v>
      </c>
      <c r="C99" s="121">
        <v>20552301</v>
      </c>
      <c r="D99" s="121" t="s">
        <v>597</v>
      </c>
      <c r="E99" s="121"/>
      <c r="F99" s="121" t="s">
        <v>867</v>
      </c>
      <c r="G99" s="122" t="s">
        <v>868</v>
      </c>
      <c r="H99" s="88">
        <v>96</v>
      </c>
      <c r="I99" s="29"/>
      <c r="J99" s="29"/>
      <c r="K99" s="29"/>
      <c r="L99" s="29" t="s">
        <v>869</v>
      </c>
      <c r="M99" s="29" t="s">
        <v>870</v>
      </c>
    </row>
    <row r="100" spans="1:24" ht="15.75" customHeight="1" x14ac:dyDescent="0.2">
      <c r="A100" s="108">
        <v>98</v>
      </c>
      <c r="B100" s="108" t="s">
        <v>514</v>
      </c>
      <c r="C100" s="108">
        <v>79739902</v>
      </c>
      <c r="D100" s="108" t="s">
        <v>587</v>
      </c>
      <c r="E100" s="108"/>
      <c r="F100" s="108" t="s">
        <v>871</v>
      </c>
      <c r="G100" s="116" t="s">
        <v>846</v>
      </c>
      <c r="H100" s="88">
        <v>97</v>
      </c>
      <c r="I100" s="29" t="s">
        <v>582</v>
      </c>
      <c r="J100" s="29" t="s">
        <v>35</v>
      </c>
      <c r="K100" s="29">
        <v>89137102</v>
      </c>
      <c r="L100" s="29" t="s">
        <v>869</v>
      </c>
      <c r="M100" s="29" t="s">
        <v>872</v>
      </c>
    </row>
    <row r="101" spans="1:24" ht="15.75" customHeight="1" x14ac:dyDescent="0.2">
      <c r="A101" s="108">
        <v>99</v>
      </c>
      <c r="B101" s="108" t="s">
        <v>701</v>
      </c>
      <c r="C101" s="108">
        <v>32776003</v>
      </c>
      <c r="D101" s="108" t="s">
        <v>597</v>
      </c>
      <c r="E101" s="108"/>
      <c r="F101" s="108" t="s">
        <v>873</v>
      </c>
      <c r="G101" s="116" t="s">
        <v>802</v>
      </c>
      <c r="H101" s="88">
        <v>98</v>
      </c>
      <c r="I101" s="29" t="s">
        <v>529</v>
      </c>
      <c r="J101" s="29" t="s">
        <v>652</v>
      </c>
      <c r="K101" s="29">
        <v>83302802</v>
      </c>
      <c r="L101" s="29" t="s">
        <v>874</v>
      </c>
      <c r="M101" s="29" t="s">
        <v>875</v>
      </c>
    </row>
    <row r="102" spans="1:24" ht="15.75" customHeight="1" x14ac:dyDescent="0.2">
      <c r="A102" s="108">
        <v>100</v>
      </c>
      <c r="B102" s="108" t="s">
        <v>701</v>
      </c>
      <c r="C102" s="30">
        <v>83303702</v>
      </c>
      <c r="D102" s="108" t="s">
        <v>488</v>
      </c>
      <c r="E102" s="108"/>
      <c r="F102" s="108" t="s">
        <v>876</v>
      </c>
      <c r="G102" s="116" t="s">
        <v>877</v>
      </c>
      <c r="H102" s="88">
        <v>99</v>
      </c>
      <c r="I102" s="29" t="s">
        <v>732</v>
      </c>
      <c r="J102" s="29" t="s">
        <v>733</v>
      </c>
      <c r="K102" s="29">
        <v>29801402</v>
      </c>
      <c r="L102" s="29" t="s">
        <v>878</v>
      </c>
      <c r="M102" s="29" t="s">
        <v>746</v>
      </c>
    </row>
    <row r="103" spans="1:24" ht="15.75" customHeight="1" x14ac:dyDescent="0.2">
      <c r="A103" s="108">
        <v>101</v>
      </c>
      <c r="B103" s="108" t="s">
        <v>879</v>
      </c>
      <c r="C103" s="12">
        <v>52591002</v>
      </c>
      <c r="D103" s="108" t="s">
        <v>35</v>
      </c>
      <c r="E103" s="108"/>
      <c r="F103" s="108" t="s">
        <v>880</v>
      </c>
      <c r="G103" s="116" t="s">
        <v>881</v>
      </c>
      <c r="H103" s="88">
        <v>100</v>
      </c>
      <c r="I103" s="29" t="s">
        <v>732</v>
      </c>
      <c r="J103" s="29" t="s">
        <v>597</v>
      </c>
      <c r="K103" s="29">
        <v>83321402</v>
      </c>
      <c r="L103" s="29" t="s">
        <v>882</v>
      </c>
      <c r="M103" s="29" t="s">
        <v>883</v>
      </c>
    </row>
    <row r="104" spans="1:24" ht="15.75" customHeight="1" x14ac:dyDescent="0.2">
      <c r="A104" s="108">
        <v>102</v>
      </c>
      <c r="B104" s="108" t="s">
        <v>514</v>
      </c>
      <c r="C104" s="12">
        <v>79741702</v>
      </c>
      <c r="D104" s="108" t="s">
        <v>587</v>
      </c>
      <c r="E104" s="108"/>
      <c r="F104" s="108" t="s">
        <v>884</v>
      </c>
      <c r="G104" s="116" t="s">
        <v>631</v>
      </c>
      <c r="H104" s="88">
        <v>101</v>
      </c>
      <c r="I104" s="29" t="s">
        <v>582</v>
      </c>
      <c r="J104" s="29" t="s">
        <v>35</v>
      </c>
      <c r="K104" s="29">
        <v>89137102</v>
      </c>
      <c r="L104" s="29" t="s">
        <v>885</v>
      </c>
      <c r="M104" s="29" t="s">
        <v>886</v>
      </c>
    </row>
    <row r="105" spans="1:24" ht="15.75" customHeight="1" x14ac:dyDescent="0.2">
      <c r="A105" s="108">
        <v>103</v>
      </c>
      <c r="B105" s="108" t="s">
        <v>514</v>
      </c>
      <c r="C105" s="12">
        <v>79741102</v>
      </c>
      <c r="D105" s="108" t="s">
        <v>587</v>
      </c>
      <c r="E105" s="108"/>
      <c r="F105" s="108" t="s">
        <v>884</v>
      </c>
      <c r="G105" s="116" t="s">
        <v>887</v>
      </c>
      <c r="H105" s="88">
        <v>102</v>
      </c>
      <c r="I105" s="29" t="s">
        <v>737</v>
      </c>
      <c r="J105" s="29" t="s">
        <v>35</v>
      </c>
      <c r="K105" s="29">
        <v>71963201</v>
      </c>
      <c r="L105" s="29" t="s">
        <v>888</v>
      </c>
      <c r="M105" s="29" t="s">
        <v>889</v>
      </c>
    </row>
    <row r="106" spans="1:24" ht="15.75" customHeight="1" x14ac:dyDescent="0.2">
      <c r="A106" s="30">
        <v>104</v>
      </c>
      <c r="B106" s="30" t="s">
        <v>890</v>
      </c>
      <c r="C106" s="30">
        <v>24576303</v>
      </c>
      <c r="D106" s="30" t="s">
        <v>488</v>
      </c>
      <c r="E106" s="30"/>
      <c r="F106" s="117" t="s">
        <v>891</v>
      </c>
      <c r="G106" s="118" t="s">
        <v>892</v>
      </c>
      <c r="H106" s="119">
        <v>103</v>
      </c>
      <c r="I106" s="21" t="s">
        <v>542</v>
      </c>
      <c r="J106" s="21" t="s">
        <v>587</v>
      </c>
      <c r="K106" s="21">
        <v>82115803</v>
      </c>
      <c r="L106" s="42" t="s">
        <v>893</v>
      </c>
      <c r="M106" s="21" t="s">
        <v>894</v>
      </c>
      <c r="N106" s="75"/>
      <c r="O106" s="75"/>
      <c r="P106" s="75"/>
      <c r="Q106" s="75"/>
      <c r="R106" s="75"/>
      <c r="S106" s="75"/>
      <c r="T106" s="75"/>
      <c r="U106" s="75"/>
      <c r="V106" s="75"/>
      <c r="W106" s="75"/>
      <c r="X106" s="75"/>
    </row>
    <row r="107" spans="1:24" ht="15.75" customHeight="1" x14ac:dyDescent="0.2">
      <c r="A107" s="121">
        <v>105</v>
      </c>
      <c r="B107" s="121" t="s">
        <v>665</v>
      </c>
      <c r="C107" s="56">
        <v>61872202</v>
      </c>
      <c r="D107" s="121" t="s">
        <v>895</v>
      </c>
      <c r="E107" s="121"/>
      <c r="F107" s="121" t="s">
        <v>896</v>
      </c>
      <c r="G107" s="122" t="s">
        <v>897</v>
      </c>
      <c r="H107" s="88">
        <v>104</v>
      </c>
      <c r="I107" s="29" t="s">
        <v>529</v>
      </c>
      <c r="J107" s="29" t="s">
        <v>587</v>
      </c>
      <c r="K107" s="29">
        <v>79841503</v>
      </c>
      <c r="L107" s="29" t="s">
        <v>898</v>
      </c>
      <c r="M107" s="29" t="s">
        <v>866</v>
      </c>
    </row>
    <row r="108" spans="1:24" ht="15.75" customHeight="1" x14ac:dyDescent="0.2">
      <c r="A108" s="108">
        <v>106</v>
      </c>
      <c r="B108" s="108" t="s">
        <v>514</v>
      </c>
      <c r="C108" s="12">
        <v>79740102</v>
      </c>
      <c r="D108" s="108" t="s">
        <v>587</v>
      </c>
      <c r="E108" s="108"/>
      <c r="F108" s="108" t="s">
        <v>899</v>
      </c>
      <c r="G108" s="116" t="s">
        <v>619</v>
      </c>
      <c r="H108" s="88">
        <v>105</v>
      </c>
      <c r="I108" s="29" t="s">
        <v>529</v>
      </c>
      <c r="J108" s="29" t="s">
        <v>900</v>
      </c>
      <c r="K108" s="29">
        <v>39600502</v>
      </c>
      <c r="L108" s="29" t="s">
        <v>901</v>
      </c>
      <c r="M108" s="29" t="s">
        <v>902</v>
      </c>
    </row>
    <row r="109" spans="1:24" ht="15.75" customHeight="1" x14ac:dyDescent="0.2">
      <c r="A109" s="108">
        <v>107</v>
      </c>
      <c r="B109" s="108" t="s">
        <v>514</v>
      </c>
      <c r="C109" s="12">
        <v>79740602</v>
      </c>
      <c r="D109" s="108" t="s">
        <v>587</v>
      </c>
      <c r="E109" s="108"/>
      <c r="F109" s="108" t="s">
        <v>899</v>
      </c>
      <c r="G109" s="116" t="s">
        <v>622</v>
      </c>
      <c r="H109" s="88">
        <v>106</v>
      </c>
      <c r="I109" s="29" t="s">
        <v>542</v>
      </c>
      <c r="J109" s="29" t="s">
        <v>271</v>
      </c>
      <c r="K109" s="29">
        <v>52984302</v>
      </c>
      <c r="L109" s="29" t="s">
        <v>903</v>
      </c>
      <c r="M109" s="29" t="s">
        <v>902</v>
      </c>
    </row>
    <row r="110" spans="1:24" ht="15.75" customHeight="1" x14ac:dyDescent="0.2">
      <c r="A110" s="108">
        <v>108</v>
      </c>
      <c r="B110" s="108" t="s">
        <v>514</v>
      </c>
      <c r="C110" s="12">
        <v>79734602</v>
      </c>
      <c r="D110" s="108" t="s">
        <v>587</v>
      </c>
      <c r="E110" s="108"/>
      <c r="F110" s="108" t="s">
        <v>899</v>
      </c>
      <c r="G110" s="116" t="s">
        <v>607</v>
      </c>
      <c r="H110" s="88">
        <v>107</v>
      </c>
      <c r="I110" s="29" t="s">
        <v>542</v>
      </c>
      <c r="J110" s="29" t="s">
        <v>271</v>
      </c>
      <c r="K110" s="29">
        <v>71584602</v>
      </c>
      <c r="L110" s="29" t="s">
        <v>904</v>
      </c>
      <c r="M110" s="29" t="s">
        <v>905</v>
      </c>
    </row>
    <row r="111" spans="1:24" ht="15.75" customHeight="1" x14ac:dyDescent="0.2">
      <c r="A111" s="108">
        <v>109</v>
      </c>
      <c r="B111" s="108" t="s">
        <v>514</v>
      </c>
      <c r="C111" s="12">
        <v>79734002</v>
      </c>
      <c r="D111" s="108" t="s">
        <v>587</v>
      </c>
      <c r="E111" s="108"/>
      <c r="F111" s="108" t="s">
        <v>899</v>
      </c>
      <c r="G111" s="116" t="s">
        <v>603</v>
      </c>
      <c r="H111" s="88">
        <v>108</v>
      </c>
      <c r="I111" s="29" t="s">
        <v>737</v>
      </c>
      <c r="J111" s="29" t="s">
        <v>35</v>
      </c>
      <c r="K111" s="29">
        <v>41201902</v>
      </c>
      <c r="L111" s="29" t="s">
        <v>906</v>
      </c>
      <c r="M111" s="29" t="s">
        <v>889</v>
      </c>
    </row>
    <row r="112" spans="1:24" ht="15.75" customHeight="1" x14ac:dyDescent="0.2">
      <c r="A112" s="108">
        <v>110</v>
      </c>
      <c r="B112" s="108" t="s">
        <v>907</v>
      </c>
      <c r="C112" s="108">
        <v>75169802</v>
      </c>
      <c r="D112" s="108" t="s">
        <v>35</v>
      </c>
      <c r="E112" s="108"/>
      <c r="F112" s="108" t="s">
        <v>908</v>
      </c>
      <c r="G112" s="116" t="s">
        <v>596</v>
      </c>
      <c r="H112" s="88">
        <v>109</v>
      </c>
      <c r="I112" s="29" t="s">
        <v>542</v>
      </c>
      <c r="J112" s="29" t="s">
        <v>271</v>
      </c>
      <c r="K112" s="29">
        <v>59621002</v>
      </c>
      <c r="L112" s="29" t="s">
        <v>909</v>
      </c>
      <c r="M112" s="29" t="s">
        <v>910</v>
      </c>
    </row>
    <row r="113" spans="1:13" ht="15.75" customHeight="1" x14ac:dyDescent="0.2">
      <c r="A113" s="108">
        <v>111</v>
      </c>
      <c r="B113" s="108" t="s">
        <v>792</v>
      </c>
      <c r="C113" s="108">
        <v>17053103</v>
      </c>
      <c r="D113" s="108" t="s">
        <v>35</v>
      </c>
      <c r="E113" s="108"/>
      <c r="F113" s="108" t="s">
        <v>911</v>
      </c>
      <c r="G113" s="116" t="s">
        <v>601</v>
      </c>
      <c r="H113" s="88">
        <v>110</v>
      </c>
      <c r="I113" s="29" t="s">
        <v>529</v>
      </c>
      <c r="J113" s="29" t="s">
        <v>35</v>
      </c>
      <c r="K113" s="29">
        <v>87612002</v>
      </c>
      <c r="L113" s="29" t="s">
        <v>912</v>
      </c>
      <c r="M113" s="29" t="s">
        <v>913</v>
      </c>
    </row>
    <row r="114" spans="1:13" ht="15.75" customHeight="1" x14ac:dyDescent="0.2">
      <c r="A114" s="108">
        <v>112</v>
      </c>
      <c r="B114" s="108" t="s">
        <v>514</v>
      </c>
      <c r="C114" s="12">
        <v>79734802</v>
      </c>
      <c r="D114" s="108" t="s">
        <v>587</v>
      </c>
      <c r="E114" s="108"/>
      <c r="F114" s="108" t="s">
        <v>914</v>
      </c>
      <c r="G114" s="116" t="s">
        <v>731</v>
      </c>
      <c r="H114" s="88">
        <v>111</v>
      </c>
      <c r="I114" s="29" t="s">
        <v>529</v>
      </c>
      <c r="J114" s="29" t="s">
        <v>35</v>
      </c>
      <c r="K114" s="29">
        <v>36439102</v>
      </c>
      <c r="L114" s="29" t="s">
        <v>915</v>
      </c>
      <c r="M114" s="29" t="s">
        <v>916</v>
      </c>
    </row>
    <row r="115" spans="1:13" ht="15.75" customHeight="1" x14ac:dyDescent="0.2">
      <c r="A115" s="108">
        <v>113</v>
      </c>
      <c r="B115" s="108" t="s">
        <v>917</v>
      </c>
      <c r="C115" s="108">
        <v>83774102</v>
      </c>
      <c r="D115" s="108" t="s">
        <v>35</v>
      </c>
      <c r="E115" s="108"/>
      <c r="F115" s="108" t="s">
        <v>918</v>
      </c>
      <c r="G115" s="116" t="s">
        <v>919</v>
      </c>
      <c r="H115" s="88">
        <v>112</v>
      </c>
      <c r="I115" s="29" t="s">
        <v>542</v>
      </c>
      <c r="J115" s="29" t="s">
        <v>271</v>
      </c>
      <c r="K115" s="29">
        <v>72316402</v>
      </c>
      <c r="L115" s="29" t="s">
        <v>920</v>
      </c>
      <c r="M115" s="29" t="s">
        <v>522</v>
      </c>
    </row>
    <row r="116" spans="1:13" ht="15.75" customHeight="1" x14ac:dyDescent="0.2">
      <c r="A116" s="108">
        <v>114</v>
      </c>
      <c r="B116" s="108" t="s">
        <v>701</v>
      </c>
      <c r="C116" s="30">
        <v>83303102</v>
      </c>
      <c r="D116" s="108" t="s">
        <v>488</v>
      </c>
      <c r="E116" s="108"/>
      <c r="F116" s="117" t="s">
        <v>921</v>
      </c>
      <c r="G116" s="116" t="s">
        <v>881</v>
      </c>
      <c r="H116" s="88">
        <v>113</v>
      </c>
      <c r="I116" s="29" t="s">
        <v>542</v>
      </c>
      <c r="J116" s="29" t="s">
        <v>271</v>
      </c>
      <c r="K116" s="29">
        <v>36104103</v>
      </c>
      <c r="L116" s="29" t="s">
        <v>922</v>
      </c>
      <c r="M116" s="29" t="s">
        <v>923</v>
      </c>
    </row>
    <row r="117" spans="1:13" ht="15.75" customHeight="1" x14ac:dyDescent="0.2">
      <c r="A117" s="108">
        <v>115</v>
      </c>
      <c r="B117" s="108" t="s">
        <v>701</v>
      </c>
      <c r="C117" s="108">
        <v>32785303</v>
      </c>
      <c r="D117" s="108" t="s">
        <v>652</v>
      </c>
      <c r="E117" s="108"/>
      <c r="F117" s="108" t="s">
        <v>924</v>
      </c>
      <c r="G117" s="116" t="s">
        <v>820</v>
      </c>
      <c r="H117" s="88">
        <v>114</v>
      </c>
      <c r="I117" s="29" t="s">
        <v>582</v>
      </c>
      <c r="J117" s="29" t="s">
        <v>35</v>
      </c>
      <c r="K117" s="29">
        <v>30828202</v>
      </c>
      <c r="L117" s="29" t="s">
        <v>925</v>
      </c>
      <c r="M117" s="29" t="s">
        <v>926</v>
      </c>
    </row>
    <row r="118" spans="1:13" ht="15.75" customHeight="1" x14ac:dyDescent="0.2">
      <c r="A118" s="108">
        <v>116</v>
      </c>
      <c r="B118" s="108" t="s">
        <v>691</v>
      </c>
      <c r="C118" s="108">
        <v>22045903</v>
      </c>
      <c r="D118" s="108" t="s">
        <v>35</v>
      </c>
      <c r="E118" s="108"/>
      <c r="F118" s="108" t="s">
        <v>927</v>
      </c>
      <c r="G118" s="116" t="s">
        <v>586</v>
      </c>
      <c r="H118" s="88">
        <v>115</v>
      </c>
      <c r="I118" s="29" t="s">
        <v>529</v>
      </c>
      <c r="J118" s="29" t="s">
        <v>587</v>
      </c>
      <c r="K118" s="29">
        <v>85045802</v>
      </c>
      <c r="L118" s="29" t="s">
        <v>928</v>
      </c>
      <c r="M118" s="29" t="s">
        <v>929</v>
      </c>
    </row>
    <row r="119" spans="1:13" ht="15.75" customHeight="1" x14ac:dyDescent="0.2">
      <c r="A119" s="108">
        <v>117</v>
      </c>
      <c r="B119" s="108" t="s">
        <v>691</v>
      </c>
      <c r="C119" s="108">
        <v>66114002</v>
      </c>
      <c r="D119" s="108" t="s">
        <v>488</v>
      </c>
      <c r="E119" s="108"/>
      <c r="F119" s="108" t="s">
        <v>930</v>
      </c>
      <c r="G119" s="116" t="s">
        <v>931</v>
      </c>
      <c r="H119" s="88">
        <v>116</v>
      </c>
      <c r="I119" s="29"/>
      <c r="J119" s="29" t="s">
        <v>35</v>
      </c>
      <c r="K119" s="123">
        <v>43748203</v>
      </c>
      <c r="L119" s="29" t="s">
        <v>354</v>
      </c>
      <c r="M119" s="29" t="s">
        <v>932</v>
      </c>
    </row>
    <row r="120" spans="1:13" ht="15.75" customHeight="1" x14ac:dyDescent="0.2">
      <c r="A120" s="108">
        <v>118</v>
      </c>
      <c r="B120" s="108" t="s">
        <v>701</v>
      </c>
      <c r="C120" s="12">
        <v>21982201</v>
      </c>
      <c r="D120" s="108" t="s">
        <v>895</v>
      </c>
      <c r="E120" s="108"/>
      <c r="F120" s="108" t="s">
        <v>933</v>
      </c>
      <c r="G120" s="116" t="s">
        <v>618</v>
      </c>
      <c r="H120" s="88">
        <v>117</v>
      </c>
      <c r="I120" s="29" t="s">
        <v>900</v>
      </c>
      <c r="J120" s="29" t="s">
        <v>597</v>
      </c>
      <c r="K120" s="29">
        <v>52884503</v>
      </c>
      <c r="L120" s="29" t="s">
        <v>934</v>
      </c>
      <c r="M120" s="29" t="s">
        <v>935</v>
      </c>
    </row>
    <row r="121" spans="1:13" ht="15.75" customHeight="1" x14ac:dyDescent="0.2">
      <c r="A121" s="108">
        <v>119</v>
      </c>
      <c r="B121" s="108" t="s">
        <v>701</v>
      </c>
      <c r="C121" s="120">
        <v>83320902</v>
      </c>
      <c r="D121" s="108" t="s">
        <v>488</v>
      </c>
      <c r="E121" s="108"/>
      <c r="F121" s="108" t="s">
        <v>936</v>
      </c>
      <c r="G121" s="116" t="s">
        <v>937</v>
      </c>
      <c r="H121" s="88">
        <v>118</v>
      </c>
      <c r="I121" s="29" t="s">
        <v>529</v>
      </c>
      <c r="J121" s="29" t="s">
        <v>597</v>
      </c>
      <c r="K121" s="29">
        <v>83321202</v>
      </c>
      <c r="L121" s="29" t="s">
        <v>938</v>
      </c>
      <c r="M121" s="29" t="s">
        <v>939</v>
      </c>
    </row>
    <row r="122" spans="1:13" ht="15.75" customHeight="1" x14ac:dyDescent="0.2">
      <c r="A122" s="108">
        <v>120</v>
      </c>
      <c r="B122" s="108" t="s">
        <v>506</v>
      </c>
      <c r="C122" s="108">
        <v>58849301</v>
      </c>
      <c r="D122" s="108" t="s">
        <v>895</v>
      </c>
      <c r="E122" s="108"/>
      <c r="F122" s="108" t="s">
        <v>940</v>
      </c>
      <c r="G122" s="116" t="s">
        <v>941</v>
      </c>
      <c r="H122" s="88">
        <v>119</v>
      </c>
      <c r="I122" s="29" t="s">
        <v>577</v>
      </c>
      <c r="J122" s="29" t="s">
        <v>35</v>
      </c>
      <c r="K122" s="29">
        <v>11247902</v>
      </c>
      <c r="L122" s="29" t="s">
        <v>942</v>
      </c>
      <c r="M122" s="29" t="s">
        <v>943</v>
      </c>
    </row>
    <row r="123" spans="1:13" ht="15.75" customHeight="1" x14ac:dyDescent="0.2">
      <c r="A123" s="108">
        <v>121</v>
      </c>
      <c r="B123" s="108" t="s">
        <v>514</v>
      </c>
      <c r="C123" s="12">
        <v>79735202</v>
      </c>
      <c r="D123" s="108" t="s">
        <v>587</v>
      </c>
      <c r="E123" s="108"/>
      <c r="F123" s="108" t="s">
        <v>944</v>
      </c>
      <c r="G123" s="116" t="s">
        <v>766</v>
      </c>
      <c r="H123" s="88">
        <v>120</v>
      </c>
      <c r="I123" s="29"/>
      <c r="J123" s="29" t="s">
        <v>35</v>
      </c>
      <c r="K123" s="124">
        <v>43748203</v>
      </c>
      <c r="L123" s="29" t="s">
        <v>945</v>
      </c>
      <c r="M123" s="29" t="s">
        <v>946</v>
      </c>
    </row>
    <row r="124" spans="1:13" ht="15.75" customHeight="1" x14ac:dyDescent="0.2">
      <c r="A124" s="108">
        <v>122</v>
      </c>
      <c r="B124" s="108" t="s">
        <v>947</v>
      </c>
      <c r="C124" s="108">
        <v>28548103</v>
      </c>
      <c r="D124" s="108" t="s">
        <v>895</v>
      </c>
      <c r="E124" s="108"/>
      <c r="F124" s="108" t="s">
        <v>948</v>
      </c>
      <c r="G124" s="116" t="s">
        <v>949</v>
      </c>
      <c r="H124" s="88">
        <v>121</v>
      </c>
      <c r="I124" s="29" t="s">
        <v>529</v>
      </c>
      <c r="J124" s="29" t="s">
        <v>587</v>
      </c>
      <c r="K124" s="29">
        <v>59113402</v>
      </c>
      <c r="L124" s="29" t="s">
        <v>950</v>
      </c>
      <c r="M124" s="29" t="s">
        <v>951</v>
      </c>
    </row>
    <row r="125" spans="1:13" ht="15.75" customHeight="1" x14ac:dyDescent="0.2">
      <c r="A125" s="108">
        <v>123</v>
      </c>
      <c r="B125" s="108" t="s">
        <v>119</v>
      </c>
      <c r="C125" s="12">
        <v>31404802</v>
      </c>
      <c r="D125" s="108" t="s">
        <v>35</v>
      </c>
      <c r="E125" s="108"/>
      <c r="F125" s="108" t="s">
        <v>952</v>
      </c>
      <c r="G125" s="116" t="s">
        <v>659</v>
      </c>
      <c r="H125" s="88">
        <v>122</v>
      </c>
      <c r="I125" s="29"/>
      <c r="J125" s="29"/>
      <c r="K125" s="38" t="s">
        <v>953</v>
      </c>
      <c r="L125" s="29" t="s">
        <v>954</v>
      </c>
      <c r="M125" s="29" t="s">
        <v>955</v>
      </c>
    </row>
    <row r="126" spans="1:13" ht="15.75" customHeight="1" x14ac:dyDescent="0.2">
      <c r="A126" s="121">
        <v>124</v>
      </c>
      <c r="B126" s="121" t="s">
        <v>691</v>
      </c>
      <c r="C126" s="56">
        <v>21705703</v>
      </c>
      <c r="D126" s="121" t="s">
        <v>35</v>
      </c>
      <c r="E126" s="121"/>
      <c r="F126" s="121" t="s">
        <v>956</v>
      </c>
      <c r="G126" s="122" t="s">
        <v>697</v>
      </c>
      <c r="H126" s="88">
        <v>123</v>
      </c>
      <c r="I126" s="29"/>
      <c r="J126" s="29" t="s">
        <v>35</v>
      </c>
      <c r="K126" s="38">
        <v>22045903</v>
      </c>
      <c r="L126" s="29" t="s">
        <v>957</v>
      </c>
      <c r="M126" s="29" t="s">
        <v>958</v>
      </c>
    </row>
    <row r="127" spans="1:13" ht="15.75" customHeight="1" x14ac:dyDescent="0.2">
      <c r="A127" s="108">
        <v>125</v>
      </c>
      <c r="B127" s="108" t="s">
        <v>687</v>
      </c>
      <c r="C127" s="12">
        <v>76644701</v>
      </c>
      <c r="D127" s="108" t="s">
        <v>35</v>
      </c>
      <c r="E127" s="108"/>
      <c r="F127" s="108" t="s">
        <v>959</v>
      </c>
      <c r="G127" s="116" t="s">
        <v>774</v>
      </c>
      <c r="H127" s="88">
        <v>124</v>
      </c>
      <c r="I127" s="29" t="s">
        <v>529</v>
      </c>
      <c r="J127" s="29" t="s">
        <v>35</v>
      </c>
      <c r="K127" s="29">
        <v>28416603</v>
      </c>
      <c r="L127" s="29" t="s">
        <v>960</v>
      </c>
      <c r="M127" s="29" t="s">
        <v>961</v>
      </c>
    </row>
    <row r="128" spans="1:13" ht="15.75" customHeight="1" x14ac:dyDescent="0.2">
      <c r="A128" s="108">
        <v>126</v>
      </c>
      <c r="B128" s="108" t="s">
        <v>879</v>
      </c>
      <c r="C128" s="12">
        <v>52591002</v>
      </c>
      <c r="D128" s="108" t="s">
        <v>35</v>
      </c>
      <c r="E128" s="108"/>
      <c r="F128" s="108" t="s">
        <v>962</v>
      </c>
      <c r="G128" s="116" t="s">
        <v>963</v>
      </c>
      <c r="H128" s="88">
        <v>125</v>
      </c>
      <c r="I128" s="29" t="s">
        <v>542</v>
      </c>
      <c r="J128" s="29" t="s">
        <v>35</v>
      </c>
      <c r="K128" s="38">
        <v>32758303</v>
      </c>
      <c r="L128" s="38" t="s">
        <v>964</v>
      </c>
      <c r="M128" s="29" t="s">
        <v>965</v>
      </c>
    </row>
    <row r="129" spans="1:13" ht="15.75" customHeight="1" x14ac:dyDescent="0.2">
      <c r="A129" s="108">
        <v>127</v>
      </c>
      <c r="B129" s="108" t="s">
        <v>707</v>
      </c>
      <c r="C129" s="108">
        <v>34005403</v>
      </c>
      <c r="D129" s="108" t="s">
        <v>587</v>
      </c>
      <c r="E129" s="108"/>
      <c r="F129" s="108" t="s">
        <v>966</v>
      </c>
      <c r="G129" s="116" t="s">
        <v>967</v>
      </c>
      <c r="H129" s="88">
        <v>126</v>
      </c>
      <c r="I129" s="29"/>
      <c r="J129" s="29"/>
      <c r="K129" s="38"/>
      <c r="L129" s="29" t="s">
        <v>968</v>
      </c>
      <c r="M129" s="29" t="s">
        <v>969</v>
      </c>
    </row>
    <row r="130" spans="1:13" ht="15.75" customHeight="1" x14ac:dyDescent="0.2">
      <c r="A130" s="108">
        <v>128</v>
      </c>
      <c r="B130" s="108" t="s">
        <v>701</v>
      </c>
      <c r="C130" s="12">
        <v>76376601</v>
      </c>
      <c r="D130" s="108" t="s">
        <v>35</v>
      </c>
      <c r="E130" s="108"/>
      <c r="F130" s="108" t="s">
        <v>970</v>
      </c>
      <c r="G130" s="116" t="s">
        <v>971</v>
      </c>
      <c r="H130" s="88">
        <v>127</v>
      </c>
      <c r="I130" s="29"/>
      <c r="J130" s="29" t="s">
        <v>972</v>
      </c>
      <c r="K130" s="29">
        <v>64078501</v>
      </c>
      <c r="L130" s="29" t="s">
        <v>973</v>
      </c>
      <c r="M130" s="124" t="s">
        <v>974</v>
      </c>
    </row>
    <row r="131" spans="1:13" ht="15.75" customHeight="1" x14ac:dyDescent="0.2">
      <c r="A131" s="108">
        <v>129</v>
      </c>
      <c r="B131" s="108" t="s">
        <v>975</v>
      </c>
      <c r="C131" s="108">
        <v>39138502</v>
      </c>
      <c r="D131" s="108" t="s">
        <v>587</v>
      </c>
      <c r="E131" s="108"/>
      <c r="F131" s="108" t="s">
        <v>751</v>
      </c>
      <c r="G131" s="116" t="s">
        <v>603</v>
      </c>
      <c r="H131" s="88">
        <v>128</v>
      </c>
      <c r="I131" s="29" t="s">
        <v>582</v>
      </c>
      <c r="J131" s="29" t="s">
        <v>271</v>
      </c>
      <c r="K131" s="29">
        <v>31164903</v>
      </c>
      <c r="L131" s="29" t="s">
        <v>976</v>
      </c>
      <c r="M131" s="29" t="s">
        <v>977</v>
      </c>
    </row>
    <row r="132" spans="1:13" ht="15.75" customHeight="1" x14ac:dyDescent="0.2">
      <c r="A132" s="121">
        <v>130</v>
      </c>
      <c r="B132" s="121" t="s">
        <v>978</v>
      </c>
      <c r="C132" s="121">
        <v>39928803</v>
      </c>
      <c r="D132" s="121" t="s">
        <v>597</v>
      </c>
      <c r="E132" s="121"/>
      <c r="F132" s="121" t="s">
        <v>979</v>
      </c>
      <c r="G132" s="122" t="s">
        <v>980</v>
      </c>
      <c r="H132" s="88">
        <v>129</v>
      </c>
      <c r="I132" s="29" t="s">
        <v>582</v>
      </c>
      <c r="J132" s="29" t="s">
        <v>271</v>
      </c>
      <c r="K132" s="29">
        <v>59091902</v>
      </c>
      <c r="L132" s="29" t="s">
        <v>981</v>
      </c>
      <c r="M132" s="63" t="s">
        <v>977</v>
      </c>
    </row>
    <row r="133" spans="1:13" ht="15.75" customHeight="1" x14ac:dyDescent="0.2">
      <c r="A133" s="108">
        <v>131</v>
      </c>
      <c r="B133" s="108" t="s">
        <v>691</v>
      </c>
      <c r="C133" s="12">
        <v>22045903</v>
      </c>
      <c r="D133" s="108" t="s">
        <v>35</v>
      </c>
      <c r="E133" s="108"/>
      <c r="F133" s="108" t="s">
        <v>982</v>
      </c>
      <c r="G133" s="116" t="s">
        <v>931</v>
      </c>
      <c r="H133" s="103">
        <v>130</v>
      </c>
      <c r="I133" s="63" t="s">
        <v>529</v>
      </c>
      <c r="J133" s="63" t="s">
        <v>587</v>
      </c>
      <c r="K133" s="63">
        <v>51184703</v>
      </c>
      <c r="L133" s="125" t="s">
        <v>983</v>
      </c>
      <c r="M133" s="63" t="s">
        <v>984</v>
      </c>
    </row>
    <row r="134" spans="1:13" ht="15.75" customHeight="1" x14ac:dyDescent="0.2">
      <c r="A134" s="108">
        <v>132</v>
      </c>
      <c r="B134" s="108" t="s">
        <v>691</v>
      </c>
      <c r="C134" s="30">
        <v>66115602</v>
      </c>
      <c r="D134" s="108" t="s">
        <v>597</v>
      </c>
      <c r="E134" s="108"/>
      <c r="F134" s="108" t="s">
        <v>985</v>
      </c>
      <c r="G134" s="116" t="s">
        <v>868</v>
      </c>
      <c r="H134" s="88">
        <v>131</v>
      </c>
      <c r="I134" s="29" t="s">
        <v>542</v>
      </c>
      <c r="J134" s="29" t="s">
        <v>271</v>
      </c>
      <c r="K134" s="29">
        <v>17136403</v>
      </c>
      <c r="L134" s="29" t="s">
        <v>986</v>
      </c>
      <c r="M134" s="38" t="s">
        <v>987</v>
      </c>
    </row>
    <row r="135" spans="1:13" ht="15.75" customHeight="1" x14ac:dyDescent="0.2">
      <c r="A135" s="108">
        <v>133</v>
      </c>
      <c r="B135" s="108" t="s">
        <v>701</v>
      </c>
      <c r="C135" s="12">
        <v>83319502</v>
      </c>
      <c r="D135" s="108" t="s">
        <v>488</v>
      </c>
      <c r="E135" s="108"/>
      <c r="F135" s="108" t="s">
        <v>988</v>
      </c>
      <c r="G135" s="116" t="s">
        <v>615</v>
      </c>
      <c r="H135" s="103">
        <v>132</v>
      </c>
      <c r="I135" s="63" t="s">
        <v>732</v>
      </c>
      <c r="J135" s="63" t="s">
        <v>271</v>
      </c>
      <c r="K135" s="63">
        <v>87091102</v>
      </c>
      <c r="L135" s="63" t="s">
        <v>989</v>
      </c>
      <c r="M135" s="63" t="s">
        <v>990</v>
      </c>
    </row>
    <row r="136" spans="1:13" ht="15.75" customHeight="1" x14ac:dyDescent="0.2">
      <c r="A136" s="108">
        <v>134</v>
      </c>
      <c r="B136" s="108" t="s">
        <v>707</v>
      </c>
      <c r="C136" s="108">
        <v>24890603</v>
      </c>
      <c r="D136" s="108" t="s">
        <v>587</v>
      </c>
      <c r="E136" s="108"/>
      <c r="F136" s="108" t="s">
        <v>991</v>
      </c>
      <c r="G136" s="116" t="s">
        <v>864</v>
      </c>
      <c r="H136" s="103">
        <v>133</v>
      </c>
      <c r="I136" s="63" t="s">
        <v>732</v>
      </c>
      <c r="J136" s="63" t="s">
        <v>587</v>
      </c>
      <c r="K136" s="63">
        <v>85360703</v>
      </c>
      <c r="L136" s="63" t="s">
        <v>992</v>
      </c>
      <c r="M136" s="63" t="s">
        <v>852</v>
      </c>
    </row>
    <row r="137" spans="1:13" ht="15.75" customHeight="1" x14ac:dyDescent="0.2">
      <c r="A137" s="121">
        <v>135</v>
      </c>
      <c r="B137" s="121" t="s">
        <v>701</v>
      </c>
      <c r="C137" s="56">
        <v>42008802</v>
      </c>
      <c r="D137" s="121" t="s">
        <v>35</v>
      </c>
      <c r="E137" s="121"/>
      <c r="F137" s="121" t="s">
        <v>993</v>
      </c>
      <c r="G137" s="122" t="s">
        <v>994</v>
      </c>
      <c r="H137" s="88">
        <v>134</v>
      </c>
      <c r="I137" s="29" t="s">
        <v>737</v>
      </c>
      <c r="J137" s="29" t="s">
        <v>35</v>
      </c>
      <c r="K137" s="29">
        <v>87612102</v>
      </c>
      <c r="L137" s="29" t="s">
        <v>995</v>
      </c>
      <c r="M137" s="29" t="s">
        <v>996</v>
      </c>
    </row>
    <row r="138" spans="1:13" ht="15.75" customHeight="1" x14ac:dyDescent="0.2">
      <c r="A138" s="121">
        <v>136</v>
      </c>
      <c r="B138" s="121" t="s">
        <v>673</v>
      </c>
      <c r="C138" s="56">
        <v>41222802</v>
      </c>
      <c r="D138" s="121" t="s">
        <v>35</v>
      </c>
      <c r="E138" s="121"/>
      <c r="F138" s="121" t="s">
        <v>997</v>
      </c>
      <c r="G138" s="122" t="s">
        <v>599</v>
      </c>
      <c r="H138" s="88">
        <v>135</v>
      </c>
      <c r="I138" s="29" t="s">
        <v>998</v>
      </c>
      <c r="J138" s="29" t="s">
        <v>35</v>
      </c>
      <c r="K138" s="29">
        <v>42008902</v>
      </c>
      <c r="L138" s="29" t="s">
        <v>999</v>
      </c>
      <c r="M138" s="29" t="s">
        <v>1000</v>
      </c>
    </row>
    <row r="139" spans="1:13" ht="15.75" customHeight="1" x14ac:dyDescent="0.2">
      <c r="A139" s="108">
        <v>137</v>
      </c>
      <c r="B139" s="108" t="s">
        <v>740</v>
      </c>
      <c r="C139" s="108">
        <v>30525602</v>
      </c>
      <c r="D139" s="108" t="s">
        <v>35</v>
      </c>
      <c r="E139" s="108"/>
      <c r="F139" s="108" t="s">
        <v>1001</v>
      </c>
      <c r="G139" s="116" t="s">
        <v>723</v>
      </c>
      <c r="H139" s="88">
        <v>136</v>
      </c>
      <c r="I139" s="29" t="s">
        <v>529</v>
      </c>
      <c r="J139" s="29" t="s">
        <v>587</v>
      </c>
      <c r="K139" s="29">
        <v>68707903</v>
      </c>
      <c r="L139" s="29" t="s">
        <v>1002</v>
      </c>
      <c r="M139" s="29" t="s">
        <v>766</v>
      </c>
    </row>
    <row r="140" spans="1:13" ht="15.75" customHeight="1" x14ac:dyDescent="0.2">
      <c r="A140" s="121">
        <v>138</v>
      </c>
      <c r="B140" s="121" t="s">
        <v>549</v>
      </c>
      <c r="C140" s="121">
        <v>28481903</v>
      </c>
      <c r="D140" s="121" t="s">
        <v>597</v>
      </c>
      <c r="E140" s="121"/>
      <c r="F140" s="121" t="s">
        <v>1003</v>
      </c>
      <c r="G140" s="122" t="s">
        <v>1004</v>
      </c>
      <c r="H140" s="88">
        <v>137</v>
      </c>
      <c r="I140" s="29" t="s">
        <v>529</v>
      </c>
      <c r="J140" s="29" t="s">
        <v>900</v>
      </c>
      <c r="K140" s="38">
        <v>81454403</v>
      </c>
      <c r="L140" s="29" t="s">
        <v>1005</v>
      </c>
      <c r="M140" s="29" t="s">
        <v>1006</v>
      </c>
    </row>
    <row r="141" spans="1:13" ht="15.75" customHeight="1" x14ac:dyDescent="0.2">
      <c r="A141" s="108">
        <v>139</v>
      </c>
      <c r="B141" s="108" t="s">
        <v>701</v>
      </c>
      <c r="C141" s="108">
        <v>83319502</v>
      </c>
      <c r="D141" s="108" t="s">
        <v>597</v>
      </c>
      <c r="E141" s="108"/>
      <c r="F141" s="108" t="s">
        <v>1007</v>
      </c>
      <c r="G141" s="116" t="s">
        <v>1008</v>
      </c>
      <c r="H141" s="88">
        <v>138</v>
      </c>
      <c r="I141" s="29" t="s">
        <v>542</v>
      </c>
      <c r="J141" s="29" t="s">
        <v>271</v>
      </c>
      <c r="K141" s="29">
        <v>79976303</v>
      </c>
      <c r="L141" s="29" t="s">
        <v>1009</v>
      </c>
      <c r="M141" s="29" t="s">
        <v>1010</v>
      </c>
    </row>
    <row r="142" spans="1:13" ht="15.75" customHeight="1" x14ac:dyDescent="0.2">
      <c r="A142" s="108">
        <v>140</v>
      </c>
      <c r="B142" s="108" t="s">
        <v>701</v>
      </c>
      <c r="C142" s="108">
        <v>42949202</v>
      </c>
      <c r="D142" s="108" t="s">
        <v>35</v>
      </c>
      <c r="E142" s="108"/>
      <c r="F142" s="108" t="s">
        <v>1011</v>
      </c>
      <c r="G142" s="116" t="s">
        <v>1012</v>
      </c>
      <c r="H142" s="88">
        <v>139</v>
      </c>
      <c r="I142" s="29" t="s">
        <v>542</v>
      </c>
      <c r="J142" s="29" t="s">
        <v>271</v>
      </c>
      <c r="K142" s="29">
        <v>74011802</v>
      </c>
      <c r="L142" s="29" t="s">
        <v>1013</v>
      </c>
      <c r="M142" s="29" t="s">
        <v>1014</v>
      </c>
    </row>
    <row r="143" spans="1:13" ht="15.75" customHeight="1" x14ac:dyDescent="0.2">
      <c r="A143" s="108">
        <v>141</v>
      </c>
      <c r="B143" s="108" t="s">
        <v>1015</v>
      </c>
      <c r="C143" s="108">
        <v>49064503</v>
      </c>
      <c r="D143" s="108" t="s">
        <v>597</v>
      </c>
      <c r="E143" s="108"/>
      <c r="F143" s="108" t="s">
        <v>1016</v>
      </c>
      <c r="G143" s="116" t="s">
        <v>1017</v>
      </c>
      <c r="H143" s="88">
        <v>140</v>
      </c>
      <c r="I143" s="29" t="s">
        <v>542</v>
      </c>
      <c r="J143" s="29" t="s">
        <v>271</v>
      </c>
      <c r="K143" s="29">
        <v>79922403</v>
      </c>
      <c r="L143" s="29" t="s">
        <v>1018</v>
      </c>
      <c r="M143" s="29" t="s">
        <v>1019</v>
      </c>
    </row>
    <row r="144" spans="1:13" ht="15.75" customHeight="1" x14ac:dyDescent="0.2">
      <c r="A144" s="108">
        <v>142</v>
      </c>
      <c r="B144" s="108" t="s">
        <v>1020</v>
      </c>
      <c r="C144" s="108">
        <v>59201203</v>
      </c>
      <c r="D144" s="108" t="s">
        <v>895</v>
      </c>
      <c r="E144" s="108"/>
      <c r="F144" s="108" t="s">
        <v>1021</v>
      </c>
      <c r="G144" s="116" t="s">
        <v>963</v>
      </c>
      <c r="H144" s="88">
        <v>141</v>
      </c>
      <c r="I144" s="29" t="s">
        <v>1022</v>
      </c>
      <c r="J144" s="29" t="s">
        <v>1023</v>
      </c>
      <c r="K144" s="29">
        <v>83215502</v>
      </c>
      <c r="L144" s="29" t="s">
        <v>1024</v>
      </c>
      <c r="M144" s="29" t="s">
        <v>1025</v>
      </c>
    </row>
    <row r="145" spans="1:13" ht="15.75" customHeight="1" x14ac:dyDescent="0.2">
      <c r="A145" s="108">
        <v>143</v>
      </c>
      <c r="B145" s="108" t="s">
        <v>740</v>
      </c>
      <c r="C145" s="108">
        <v>30770102</v>
      </c>
      <c r="D145" s="108" t="s">
        <v>35</v>
      </c>
      <c r="E145" s="108"/>
      <c r="F145" s="108" t="s">
        <v>1026</v>
      </c>
      <c r="G145" s="116" t="s">
        <v>1027</v>
      </c>
      <c r="H145" s="88">
        <v>142</v>
      </c>
      <c r="I145" s="29" t="s">
        <v>542</v>
      </c>
      <c r="J145" s="29" t="s">
        <v>271</v>
      </c>
      <c r="K145" s="29">
        <v>34633402</v>
      </c>
      <c r="L145" s="29" t="s">
        <v>1028</v>
      </c>
      <c r="M145" s="29" t="s">
        <v>1029</v>
      </c>
    </row>
    <row r="146" spans="1:13" ht="15.75" customHeight="1" x14ac:dyDescent="0.2">
      <c r="A146" s="108">
        <v>144</v>
      </c>
      <c r="B146" s="108" t="s">
        <v>1030</v>
      </c>
      <c r="C146" s="108">
        <v>33881003</v>
      </c>
      <c r="D146" s="108" t="s">
        <v>587</v>
      </c>
      <c r="E146" s="108"/>
      <c r="F146" s="108" t="s">
        <v>814</v>
      </c>
      <c r="G146" s="116" t="s">
        <v>864</v>
      </c>
      <c r="H146" s="103">
        <v>143</v>
      </c>
      <c r="I146" s="63" t="s">
        <v>732</v>
      </c>
      <c r="J146" s="63" t="s">
        <v>587</v>
      </c>
      <c r="K146" s="63">
        <v>68326502</v>
      </c>
      <c r="L146" s="63" t="s">
        <v>1031</v>
      </c>
      <c r="M146" s="63" t="s">
        <v>613</v>
      </c>
    </row>
    <row r="147" spans="1:13" ht="15.75" customHeight="1" x14ac:dyDescent="0.2">
      <c r="A147" s="121">
        <v>145</v>
      </c>
      <c r="B147" s="121" t="s">
        <v>701</v>
      </c>
      <c r="C147" s="121">
        <v>83313202</v>
      </c>
      <c r="D147" s="121" t="s">
        <v>597</v>
      </c>
      <c r="E147" s="121"/>
      <c r="F147" s="121" t="s">
        <v>826</v>
      </c>
      <c r="G147" s="122" t="s">
        <v>1027</v>
      </c>
      <c r="H147" s="88">
        <v>144</v>
      </c>
      <c r="I147" s="29" t="s">
        <v>733</v>
      </c>
      <c r="J147" s="29" t="s">
        <v>35</v>
      </c>
      <c r="K147" s="29">
        <v>71469803</v>
      </c>
      <c r="L147" s="29" t="s">
        <v>1032</v>
      </c>
      <c r="M147" s="29" t="s">
        <v>1033</v>
      </c>
    </row>
    <row r="148" spans="1:13" ht="15.75" customHeight="1" x14ac:dyDescent="0.2">
      <c r="A148" s="108">
        <v>146</v>
      </c>
      <c r="B148" s="108" t="s">
        <v>1034</v>
      </c>
      <c r="C148" s="108">
        <v>18328302</v>
      </c>
      <c r="D148" s="108" t="s">
        <v>597</v>
      </c>
      <c r="E148" s="108"/>
      <c r="F148" s="108" t="s">
        <v>1035</v>
      </c>
      <c r="G148" s="116" t="s">
        <v>1012</v>
      </c>
      <c r="H148" s="88">
        <v>145</v>
      </c>
      <c r="I148" s="29" t="s">
        <v>529</v>
      </c>
      <c r="J148" s="29" t="s">
        <v>587</v>
      </c>
      <c r="K148" s="29">
        <v>85349903</v>
      </c>
      <c r="L148" s="29" t="s">
        <v>1036</v>
      </c>
      <c r="M148" s="29" t="s">
        <v>1037</v>
      </c>
    </row>
    <row r="149" spans="1:13" ht="15.75" customHeight="1" x14ac:dyDescent="0.2">
      <c r="A149" s="108">
        <v>147</v>
      </c>
      <c r="B149" s="108" t="s">
        <v>701</v>
      </c>
      <c r="C149" s="108">
        <v>42008902</v>
      </c>
      <c r="D149" s="108" t="s">
        <v>35</v>
      </c>
      <c r="E149" s="108"/>
      <c r="F149" s="108" t="s">
        <v>1038</v>
      </c>
      <c r="G149" s="116" t="s">
        <v>1039</v>
      </c>
      <c r="H149" s="88">
        <v>146</v>
      </c>
      <c r="I149" s="29" t="s">
        <v>529</v>
      </c>
      <c r="J149" s="29" t="s">
        <v>587</v>
      </c>
      <c r="K149" s="29">
        <v>67835502</v>
      </c>
      <c r="L149" s="29" t="s">
        <v>1040</v>
      </c>
      <c r="M149" s="29" t="s">
        <v>1041</v>
      </c>
    </row>
    <row r="150" spans="1:13" ht="15.75" customHeight="1" x14ac:dyDescent="0.2">
      <c r="A150" s="108">
        <v>148</v>
      </c>
      <c r="B150" s="108" t="s">
        <v>119</v>
      </c>
      <c r="C150" s="12">
        <v>31404502</v>
      </c>
      <c r="D150" s="108" t="s">
        <v>35</v>
      </c>
      <c r="E150" s="108"/>
      <c r="F150" s="108" t="s">
        <v>1042</v>
      </c>
      <c r="G150" s="116" t="s">
        <v>1043</v>
      </c>
      <c r="H150" s="88">
        <v>147</v>
      </c>
      <c r="I150" s="29" t="s">
        <v>529</v>
      </c>
      <c r="J150" s="29" t="s">
        <v>587</v>
      </c>
      <c r="K150" s="29">
        <v>79837703</v>
      </c>
      <c r="L150" s="29" t="s">
        <v>1044</v>
      </c>
      <c r="M150" s="29" t="s">
        <v>1045</v>
      </c>
    </row>
    <row r="151" spans="1:13" ht="15.75" customHeight="1" x14ac:dyDescent="0.2">
      <c r="A151" s="108">
        <v>149</v>
      </c>
      <c r="B151" s="108" t="s">
        <v>678</v>
      </c>
      <c r="C151" s="108">
        <v>59285502</v>
      </c>
      <c r="D151" s="108" t="s">
        <v>597</v>
      </c>
      <c r="E151" s="108"/>
      <c r="F151" s="108" t="s">
        <v>836</v>
      </c>
      <c r="G151" s="116" t="s">
        <v>599</v>
      </c>
      <c r="H151" s="88">
        <v>148</v>
      </c>
      <c r="I151" s="29" t="s">
        <v>529</v>
      </c>
      <c r="J151" s="29" t="s">
        <v>587</v>
      </c>
      <c r="K151" s="29">
        <v>68705703</v>
      </c>
      <c r="L151" s="29" t="s">
        <v>1046</v>
      </c>
      <c r="M151" s="29" t="s">
        <v>1047</v>
      </c>
    </row>
    <row r="152" spans="1:13" ht="15.75" customHeight="1" x14ac:dyDescent="0.2">
      <c r="A152" s="108">
        <v>150</v>
      </c>
      <c r="B152" s="108" t="s">
        <v>975</v>
      </c>
      <c r="C152" s="108">
        <v>22662103</v>
      </c>
      <c r="D152" s="108" t="s">
        <v>597</v>
      </c>
      <c r="E152" s="108"/>
      <c r="F152" s="108" t="s">
        <v>1048</v>
      </c>
      <c r="G152" s="116" t="s">
        <v>599</v>
      </c>
      <c r="H152" s="88">
        <v>149</v>
      </c>
      <c r="I152" s="29" t="s">
        <v>542</v>
      </c>
      <c r="J152" s="29" t="s">
        <v>271</v>
      </c>
      <c r="K152" s="29">
        <v>30110203</v>
      </c>
      <c r="L152" s="29" t="s">
        <v>1049</v>
      </c>
      <c r="M152" s="29" t="s">
        <v>1050</v>
      </c>
    </row>
    <row r="153" spans="1:13" ht="15.75" customHeight="1" x14ac:dyDescent="0.2">
      <c r="A153" s="108">
        <v>151</v>
      </c>
      <c r="B153" s="108" t="s">
        <v>1051</v>
      </c>
      <c r="C153" s="25">
        <v>22877503</v>
      </c>
      <c r="D153" s="108" t="s">
        <v>597</v>
      </c>
      <c r="E153" s="108"/>
      <c r="F153" s="108" t="s">
        <v>1052</v>
      </c>
      <c r="G153" s="116" t="s">
        <v>1053</v>
      </c>
      <c r="H153" s="88">
        <v>150</v>
      </c>
      <c r="I153" s="29" t="s">
        <v>737</v>
      </c>
      <c r="J153" s="29" t="s">
        <v>587</v>
      </c>
      <c r="K153" s="29">
        <v>55349802</v>
      </c>
      <c r="L153" s="29" t="s">
        <v>1054</v>
      </c>
      <c r="M153" s="29" t="s">
        <v>1055</v>
      </c>
    </row>
    <row r="154" spans="1:13" ht="15.75" customHeight="1" x14ac:dyDescent="0.2">
      <c r="A154" s="121">
        <v>152</v>
      </c>
      <c r="B154" s="121" t="s">
        <v>549</v>
      </c>
      <c r="C154" s="121">
        <v>30327902</v>
      </c>
      <c r="D154" s="121" t="s">
        <v>35</v>
      </c>
      <c r="E154" s="121"/>
      <c r="F154" s="121" t="s">
        <v>1056</v>
      </c>
      <c r="G154" s="122" t="s">
        <v>1057</v>
      </c>
      <c r="H154" s="103">
        <v>151</v>
      </c>
      <c r="I154" s="63" t="s">
        <v>737</v>
      </c>
      <c r="J154" s="63" t="s">
        <v>587</v>
      </c>
      <c r="K154" s="63">
        <v>65345203</v>
      </c>
      <c r="L154" s="63" t="s">
        <v>1058</v>
      </c>
      <c r="M154" s="63" t="s">
        <v>1059</v>
      </c>
    </row>
    <row r="155" spans="1:13" ht="15.75" customHeight="1" x14ac:dyDescent="0.2">
      <c r="A155" s="108">
        <v>153</v>
      </c>
      <c r="B155" s="108" t="s">
        <v>1020</v>
      </c>
      <c r="C155" s="108">
        <v>89027002</v>
      </c>
      <c r="D155" s="108" t="s">
        <v>895</v>
      </c>
      <c r="E155" s="108"/>
      <c r="F155" s="108" t="s">
        <v>1060</v>
      </c>
      <c r="G155" s="116" t="s">
        <v>572</v>
      </c>
      <c r="H155" s="103">
        <v>152</v>
      </c>
      <c r="I155" s="63" t="s">
        <v>542</v>
      </c>
      <c r="J155" s="63" t="s">
        <v>597</v>
      </c>
      <c r="K155" s="63">
        <v>30152103</v>
      </c>
      <c r="L155" s="63" t="s">
        <v>1061</v>
      </c>
      <c r="M155" s="63" t="s">
        <v>1062</v>
      </c>
    </row>
    <row r="156" spans="1:13" ht="15.75" customHeight="1" x14ac:dyDescent="0.2">
      <c r="A156" s="108">
        <v>154</v>
      </c>
      <c r="B156" s="108" t="s">
        <v>514</v>
      </c>
      <c r="C156" s="38">
        <v>87608202</v>
      </c>
      <c r="D156" s="108" t="s">
        <v>597</v>
      </c>
      <c r="E156" s="108"/>
      <c r="F156" s="108" t="s">
        <v>1063</v>
      </c>
      <c r="G156" s="116" t="s">
        <v>1064</v>
      </c>
      <c r="H156" s="103">
        <v>153</v>
      </c>
      <c r="I156" s="63" t="s">
        <v>542</v>
      </c>
      <c r="J156" s="63" t="s">
        <v>271</v>
      </c>
      <c r="K156" s="63">
        <v>68862603</v>
      </c>
      <c r="L156" s="63" t="s">
        <v>1065</v>
      </c>
      <c r="M156" s="63" t="s">
        <v>1066</v>
      </c>
    </row>
    <row r="157" spans="1:13" ht="15.75" customHeight="1" x14ac:dyDescent="0.2">
      <c r="A157" s="108">
        <v>155</v>
      </c>
      <c r="B157" s="108" t="s">
        <v>549</v>
      </c>
      <c r="C157" s="121">
        <v>83317102</v>
      </c>
      <c r="D157" s="108" t="s">
        <v>597</v>
      </c>
      <c r="E157" s="108"/>
      <c r="F157" s="108" t="s">
        <v>1067</v>
      </c>
      <c r="G157" s="116" t="s">
        <v>305</v>
      </c>
      <c r="H157" s="103">
        <v>154</v>
      </c>
      <c r="I157" s="63" t="s">
        <v>542</v>
      </c>
      <c r="J157" s="63" t="s">
        <v>271</v>
      </c>
      <c r="K157" s="63">
        <v>14578803</v>
      </c>
      <c r="L157" s="63" t="s">
        <v>1068</v>
      </c>
      <c r="M157" s="63" t="s">
        <v>1069</v>
      </c>
    </row>
    <row r="158" spans="1:13" ht="15.75" customHeight="1" x14ac:dyDescent="0.2">
      <c r="A158" s="108">
        <v>156</v>
      </c>
      <c r="B158" s="108" t="s">
        <v>1015</v>
      </c>
      <c r="C158" s="93">
        <v>34870403</v>
      </c>
      <c r="D158" s="108" t="s">
        <v>597</v>
      </c>
      <c r="E158" s="108"/>
      <c r="F158" s="108" t="s">
        <v>1070</v>
      </c>
      <c r="G158" s="116" t="s">
        <v>1071</v>
      </c>
      <c r="H158" s="88">
        <v>155</v>
      </c>
      <c r="I158" s="29" t="s">
        <v>732</v>
      </c>
      <c r="J158" s="29" t="s">
        <v>587</v>
      </c>
      <c r="K158" s="29">
        <v>79835003</v>
      </c>
      <c r="L158" s="29" t="s">
        <v>1072</v>
      </c>
      <c r="M158" s="29" t="s">
        <v>1073</v>
      </c>
    </row>
    <row r="159" spans="1:13" ht="15.75" customHeight="1" x14ac:dyDescent="0.2">
      <c r="A159" s="108">
        <v>157</v>
      </c>
      <c r="B159" s="108" t="s">
        <v>673</v>
      </c>
      <c r="C159" s="38">
        <v>41222702</v>
      </c>
      <c r="D159" s="108" t="s">
        <v>35</v>
      </c>
      <c r="E159" s="108"/>
      <c r="F159" s="108" t="s">
        <v>1074</v>
      </c>
      <c r="G159" s="116" t="s">
        <v>1075</v>
      </c>
      <c r="H159" s="103">
        <v>156</v>
      </c>
      <c r="I159" s="63" t="s">
        <v>732</v>
      </c>
      <c r="J159" s="63" t="s">
        <v>587</v>
      </c>
      <c r="K159" s="63">
        <v>89877402</v>
      </c>
      <c r="L159" s="63" t="s">
        <v>1076</v>
      </c>
      <c r="M159" s="63" t="s">
        <v>1077</v>
      </c>
    </row>
    <row r="160" spans="1:13" ht="15.75" customHeight="1" x14ac:dyDescent="0.2">
      <c r="A160" s="108">
        <v>158</v>
      </c>
      <c r="B160" s="108" t="s">
        <v>1078</v>
      </c>
      <c r="C160" s="108">
        <v>51731502</v>
      </c>
      <c r="D160" s="108" t="s">
        <v>271</v>
      </c>
      <c r="E160" s="108"/>
      <c r="F160" s="108" t="s">
        <v>1079</v>
      </c>
      <c r="G160" s="116" t="s">
        <v>1080</v>
      </c>
      <c r="H160" s="103">
        <v>157</v>
      </c>
      <c r="I160" s="63" t="s">
        <v>1081</v>
      </c>
      <c r="J160" s="63" t="s">
        <v>1023</v>
      </c>
      <c r="K160" s="63">
        <v>59431703</v>
      </c>
      <c r="L160" s="63" t="s">
        <v>1082</v>
      </c>
      <c r="M160" s="63" t="s">
        <v>1083</v>
      </c>
    </row>
    <row r="161" spans="1:24" ht="15.75" customHeight="1" x14ac:dyDescent="0.2">
      <c r="A161" s="108">
        <v>159</v>
      </c>
      <c r="B161" s="108" t="s">
        <v>792</v>
      </c>
      <c r="C161" s="38">
        <v>54818003</v>
      </c>
      <c r="D161" s="108" t="s">
        <v>587</v>
      </c>
      <c r="E161" s="108"/>
      <c r="F161" s="108" t="s">
        <v>1084</v>
      </c>
      <c r="G161" s="116" t="s">
        <v>1085</v>
      </c>
      <c r="H161" s="88">
        <v>158</v>
      </c>
      <c r="I161" s="29" t="s">
        <v>542</v>
      </c>
      <c r="J161" s="29" t="s">
        <v>271</v>
      </c>
      <c r="K161" s="29">
        <v>73054402</v>
      </c>
      <c r="L161" s="29" t="s">
        <v>1086</v>
      </c>
      <c r="M161" s="29" t="s">
        <v>1087</v>
      </c>
    </row>
    <row r="162" spans="1:24" ht="15.75" customHeight="1" x14ac:dyDescent="0.2">
      <c r="A162" s="121">
        <v>160</v>
      </c>
      <c r="B162" s="121" t="s">
        <v>701</v>
      </c>
      <c r="C162" s="93">
        <v>83212202</v>
      </c>
      <c r="D162" s="121" t="s">
        <v>597</v>
      </c>
      <c r="E162" s="121"/>
      <c r="F162" s="121" t="s">
        <v>1088</v>
      </c>
      <c r="G162" s="122" t="s">
        <v>1089</v>
      </c>
      <c r="H162" s="88">
        <v>159</v>
      </c>
      <c r="I162" s="29" t="s">
        <v>542</v>
      </c>
      <c r="J162" s="29" t="s">
        <v>271</v>
      </c>
      <c r="K162" s="29">
        <v>73054502</v>
      </c>
      <c r="L162" s="29" t="s">
        <v>1090</v>
      </c>
      <c r="M162" s="29" t="s">
        <v>1091</v>
      </c>
    </row>
    <row r="163" spans="1:24" ht="15.75" customHeight="1" x14ac:dyDescent="0.2">
      <c r="A163" s="108">
        <v>161</v>
      </c>
      <c r="B163" s="108" t="s">
        <v>1092</v>
      </c>
      <c r="C163" s="108">
        <v>62661603</v>
      </c>
      <c r="D163" s="108" t="s">
        <v>271</v>
      </c>
      <c r="E163" s="108"/>
      <c r="F163" s="108" t="s">
        <v>1093</v>
      </c>
      <c r="G163" s="116" t="s">
        <v>1080</v>
      </c>
      <c r="H163" s="88">
        <v>160</v>
      </c>
      <c r="I163" s="29" t="s">
        <v>542</v>
      </c>
      <c r="J163" s="29" t="s">
        <v>271</v>
      </c>
      <c r="K163" s="29">
        <v>31348503</v>
      </c>
      <c r="L163" s="29" t="s">
        <v>1094</v>
      </c>
      <c r="M163" s="29" t="s">
        <v>1095</v>
      </c>
    </row>
    <row r="164" spans="1:24" ht="15.75" customHeight="1" x14ac:dyDescent="0.2">
      <c r="A164" s="108">
        <v>162</v>
      </c>
      <c r="B164" s="108" t="s">
        <v>701</v>
      </c>
      <c r="C164" s="38">
        <v>59317703</v>
      </c>
      <c r="D164" s="108" t="s">
        <v>35</v>
      </c>
      <c r="E164" s="108"/>
      <c r="F164" s="108" t="s">
        <v>1096</v>
      </c>
      <c r="G164" s="116" t="s">
        <v>1097</v>
      </c>
      <c r="H164" s="88">
        <v>161</v>
      </c>
      <c r="I164" s="29" t="s">
        <v>733</v>
      </c>
      <c r="J164" s="29" t="s">
        <v>35</v>
      </c>
      <c r="K164" s="29">
        <v>73281102</v>
      </c>
      <c r="L164" s="29" t="s">
        <v>1098</v>
      </c>
      <c r="M164" s="29" t="s">
        <v>596</v>
      </c>
    </row>
    <row r="165" spans="1:24" ht="15.75" customHeight="1" x14ac:dyDescent="0.2">
      <c r="A165" s="108">
        <v>163</v>
      </c>
      <c r="B165" s="108" t="s">
        <v>1099</v>
      </c>
      <c r="C165" s="108">
        <v>12198203</v>
      </c>
      <c r="D165" s="108" t="s">
        <v>895</v>
      </c>
      <c r="E165" s="108"/>
      <c r="F165" s="108" t="s">
        <v>1100</v>
      </c>
      <c r="G165" s="116" t="s">
        <v>1101</v>
      </c>
      <c r="H165" s="103">
        <v>162</v>
      </c>
      <c r="I165" s="63" t="s">
        <v>737</v>
      </c>
      <c r="J165" s="63" t="s">
        <v>35</v>
      </c>
      <c r="K165" s="63">
        <v>29803502</v>
      </c>
      <c r="L165" s="63" t="s">
        <v>1102</v>
      </c>
      <c r="M165" s="63" t="s">
        <v>1103</v>
      </c>
    </row>
    <row r="166" spans="1:24" ht="15.75" customHeight="1" x14ac:dyDescent="0.2">
      <c r="A166" s="108">
        <v>164</v>
      </c>
      <c r="B166" s="108" t="s">
        <v>707</v>
      </c>
      <c r="C166" s="38">
        <v>24889403</v>
      </c>
      <c r="D166" s="108" t="s">
        <v>587</v>
      </c>
      <c r="E166" s="108"/>
      <c r="F166" s="108" t="s">
        <v>1104</v>
      </c>
      <c r="G166" s="95" t="s">
        <v>860</v>
      </c>
      <c r="H166" s="88">
        <v>163</v>
      </c>
      <c r="I166" s="29" t="s">
        <v>732</v>
      </c>
      <c r="J166" s="29" t="s">
        <v>587</v>
      </c>
      <c r="K166" s="29">
        <v>19515903</v>
      </c>
      <c r="L166" s="29" t="s">
        <v>1105</v>
      </c>
      <c r="M166" s="29" t="s">
        <v>1106</v>
      </c>
    </row>
    <row r="167" spans="1:24" ht="15.75" customHeight="1" x14ac:dyDescent="0.2">
      <c r="A167" s="108">
        <v>165</v>
      </c>
      <c r="B167" s="108" t="s">
        <v>701</v>
      </c>
      <c r="C167" s="38">
        <v>66735302</v>
      </c>
      <c r="D167" s="108" t="s">
        <v>35</v>
      </c>
      <c r="E167" s="108"/>
      <c r="F167" s="108" t="s">
        <v>1107</v>
      </c>
      <c r="G167" s="116" t="s">
        <v>1108</v>
      </c>
      <c r="H167" s="88">
        <v>164</v>
      </c>
      <c r="I167" s="29" t="s">
        <v>732</v>
      </c>
      <c r="J167" s="29" t="s">
        <v>587</v>
      </c>
      <c r="K167" s="29">
        <v>31937103</v>
      </c>
      <c r="L167" s="29" t="s">
        <v>1109</v>
      </c>
      <c r="M167" s="29" t="s">
        <v>1106</v>
      </c>
    </row>
    <row r="168" spans="1:24" ht="15.75" customHeight="1" x14ac:dyDescent="0.2">
      <c r="A168" s="108">
        <v>166</v>
      </c>
      <c r="B168" s="108" t="s">
        <v>691</v>
      </c>
      <c r="C168" s="108">
        <v>21897903</v>
      </c>
      <c r="D168" s="108" t="s">
        <v>35</v>
      </c>
      <c r="E168" s="108"/>
      <c r="F168" s="108" t="s">
        <v>1110</v>
      </c>
      <c r="G168" s="116" t="s">
        <v>1111</v>
      </c>
      <c r="H168" s="88">
        <v>165</v>
      </c>
      <c r="I168" s="29" t="s">
        <v>732</v>
      </c>
      <c r="J168" s="29" t="s">
        <v>35</v>
      </c>
      <c r="K168" s="29">
        <v>30327902</v>
      </c>
      <c r="L168" s="29" t="s">
        <v>1112</v>
      </c>
      <c r="M168" s="29" t="s">
        <v>579</v>
      </c>
    </row>
    <row r="169" spans="1:24" ht="15.75" customHeight="1" x14ac:dyDescent="0.2">
      <c r="A169" s="108">
        <v>167</v>
      </c>
      <c r="B169" s="108" t="s">
        <v>701</v>
      </c>
      <c r="C169" s="108">
        <v>42948502</v>
      </c>
      <c r="D169" s="108" t="s">
        <v>35</v>
      </c>
      <c r="E169" s="108"/>
      <c r="F169" s="108" t="s">
        <v>1113</v>
      </c>
      <c r="G169" s="116" t="s">
        <v>552</v>
      </c>
      <c r="H169" s="103">
        <v>166</v>
      </c>
      <c r="I169" s="63" t="s">
        <v>732</v>
      </c>
      <c r="J169" s="63" t="s">
        <v>35</v>
      </c>
      <c r="K169" s="63">
        <v>79299103</v>
      </c>
      <c r="L169" s="63" t="s">
        <v>1114</v>
      </c>
      <c r="M169" s="63" t="s">
        <v>813</v>
      </c>
    </row>
    <row r="170" spans="1:24" ht="15.75" customHeight="1" x14ac:dyDescent="0.2">
      <c r="A170" s="108">
        <v>168</v>
      </c>
      <c r="B170" s="108" t="s">
        <v>119</v>
      </c>
      <c r="C170" s="38">
        <v>31404502</v>
      </c>
      <c r="D170" s="108" t="s">
        <v>35</v>
      </c>
      <c r="E170" s="108"/>
      <c r="F170" s="108" t="s">
        <v>1115</v>
      </c>
      <c r="G170" s="116" t="s">
        <v>599</v>
      </c>
      <c r="H170" s="88">
        <v>167</v>
      </c>
      <c r="I170" s="29"/>
      <c r="J170" s="29"/>
      <c r="K170" s="29"/>
      <c r="L170" s="29" t="s">
        <v>1116</v>
      </c>
      <c r="M170" s="29" t="s">
        <v>1117</v>
      </c>
    </row>
    <row r="171" spans="1:24" ht="15.75" customHeight="1" x14ac:dyDescent="0.2">
      <c r="A171" s="108">
        <v>169</v>
      </c>
      <c r="B171" s="108" t="s">
        <v>1118</v>
      </c>
      <c r="C171" s="95">
        <v>79919603</v>
      </c>
      <c r="D171" s="108" t="s">
        <v>271</v>
      </c>
      <c r="E171" s="108"/>
      <c r="F171" s="108" t="s">
        <v>1119</v>
      </c>
      <c r="G171" s="116" t="s">
        <v>1064</v>
      </c>
      <c r="H171" s="88">
        <v>168</v>
      </c>
      <c r="I171" s="29" t="s">
        <v>480</v>
      </c>
      <c r="J171" s="29" t="s">
        <v>271</v>
      </c>
      <c r="K171" s="29">
        <v>18747204</v>
      </c>
      <c r="L171" s="29" t="s">
        <v>1120</v>
      </c>
      <c r="M171" s="29" t="s">
        <v>1121</v>
      </c>
    </row>
    <row r="172" spans="1:24" ht="15.75" customHeight="1" x14ac:dyDescent="0.2">
      <c r="A172" s="108">
        <v>170</v>
      </c>
      <c r="B172" s="108" t="s">
        <v>792</v>
      </c>
      <c r="C172" s="121">
        <v>68860703</v>
      </c>
      <c r="D172" s="108" t="s">
        <v>271</v>
      </c>
      <c r="E172" s="108"/>
      <c r="F172" s="108" t="s">
        <v>1122</v>
      </c>
      <c r="G172" s="116" t="s">
        <v>1123</v>
      </c>
      <c r="H172" s="88">
        <v>169</v>
      </c>
      <c r="I172" s="29"/>
      <c r="J172" s="29"/>
      <c r="K172" s="29">
        <v>57691303</v>
      </c>
      <c r="L172" s="29" t="s">
        <v>1124</v>
      </c>
      <c r="M172" s="29" t="s">
        <v>1125</v>
      </c>
    </row>
    <row r="173" spans="1:24" ht="15.75" customHeight="1" x14ac:dyDescent="0.2">
      <c r="A173" s="108">
        <v>171</v>
      </c>
      <c r="B173" s="108" t="s">
        <v>1030</v>
      </c>
      <c r="C173" s="108">
        <v>56379002</v>
      </c>
      <c r="D173" s="108" t="s">
        <v>271</v>
      </c>
      <c r="E173" s="108"/>
      <c r="F173" s="108" t="s">
        <v>1126</v>
      </c>
      <c r="G173" s="116" t="s">
        <v>305</v>
      </c>
      <c r="H173" s="88">
        <v>170</v>
      </c>
      <c r="I173" s="29" t="s">
        <v>480</v>
      </c>
      <c r="J173" s="29" t="s">
        <v>271</v>
      </c>
      <c r="K173" s="29">
        <v>30165103</v>
      </c>
      <c r="L173" s="29" t="s">
        <v>1127</v>
      </c>
      <c r="M173" s="29" t="s">
        <v>1128</v>
      </c>
    </row>
    <row r="174" spans="1:24" ht="15.75" customHeight="1" x14ac:dyDescent="0.2">
      <c r="A174" s="108">
        <v>172</v>
      </c>
      <c r="B174" s="108" t="s">
        <v>701</v>
      </c>
      <c r="C174" s="107">
        <v>83302602</v>
      </c>
      <c r="D174" s="108" t="s">
        <v>597</v>
      </c>
      <c r="E174" s="108"/>
      <c r="F174" s="108" t="s">
        <v>1129</v>
      </c>
      <c r="G174" s="116" t="s">
        <v>1130</v>
      </c>
      <c r="H174" s="103">
        <v>171</v>
      </c>
      <c r="I174" s="63"/>
      <c r="J174" s="63" t="s">
        <v>587</v>
      </c>
      <c r="K174" s="63">
        <v>72069702</v>
      </c>
      <c r="L174" s="63" t="s">
        <v>1131</v>
      </c>
      <c r="M174" s="63" t="s">
        <v>671</v>
      </c>
    </row>
    <row r="175" spans="1:24" ht="15.75" customHeight="1" x14ac:dyDescent="0.2">
      <c r="A175" s="121">
        <v>173</v>
      </c>
      <c r="B175" s="121" t="s">
        <v>514</v>
      </c>
      <c r="C175" s="121">
        <v>22720903</v>
      </c>
      <c r="D175" s="121" t="s">
        <v>597</v>
      </c>
      <c r="E175" s="121"/>
      <c r="F175" s="121" t="s">
        <v>1132</v>
      </c>
      <c r="G175" s="122" t="s">
        <v>1053</v>
      </c>
      <c r="H175" s="126">
        <v>172</v>
      </c>
      <c r="I175" s="26"/>
      <c r="J175" s="26" t="s">
        <v>732</v>
      </c>
      <c r="K175" s="26">
        <v>42009002</v>
      </c>
      <c r="L175" s="26" t="s">
        <v>1133</v>
      </c>
      <c r="M175" s="26" t="s">
        <v>813</v>
      </c>
    </row>
    <row r="176" spans="1:24" ht="15.75" customHeight="1" x14ac:dyDescent="0.2">
      <c r="A176" s="127">
        <v>174</v>
      </c>
      <c r="B176" s="127" t="s">
        <v>665</v>
      </c>
      <c r="C176" s="127">
        <v>64078501</v>
      </c>
      <c r="D176" s="127" t="s">
        <v>895</v>
      </c>
      <c r="E176" s="127"/>
      <c r="F176" s="127" t="s">
        <v>1134</v>
      </c>
      <c r="G176" s="128" t="s">
        <v>1135</v>
      </c>
      <c r="H176" s="126">
        <v>173</v>
      </c>
      <c r="I176" s="26"/>
      <c r="J176" s="26"/>
      <c r="K176" s="26"/>
      <c r="L176" s="26" t="s">
        <v>1136</v>
      </c>
      <c r="M176" s="26" t="s">
        <v>1137</v>
      </c>
      <c r="N176" s="36"/>
      <c r="O176" s="36"/>
      <c r="P176" s="36"/>
      <c r="Q176" s="36"/>
      <c r="R176" s="36"/>
      <c r="S176" s="36"/>
      <c r="T176" s="36"/>
      <c r="U176" s="36"/>
      <c r="V176" s="36"/>
      <c r="W176" s="36"/>
      <c r="X176" s="36"/>
    </row>
    <row r="177" spans="1:24" ht="15.75" customHeight="1" x14ac:dyDescent="0.2">
      <c r="A177" s="108">
        <v>175</v>
      </c>
      <c r="B177" s="108" t="s">
        <v>673</v>
      </c>
      <c r="C177" s="38">
        <v>41221502</v>
      </c>
      <c r="D177" s="108" t="s">
        <v>35</v>
      </c>
      <c r="E177" s="108"/>
      <c r="F177" s="108" t="s">
        <v>1138</v>
      </c>
      <c r="G177" s="116" t="s">
        <v>1139</v>
      </c>
      <c r="H177" s="103">
        <v>174</v>
      </c>
      <c r="I177" s="63"/>
      <c r="J177" s="63"/>
      <c r="K177" s="63">
        <v>28491903</v>
      </c>
      <c r="L177" s="63" t="s">
        <v>1140</v>
      </c>
      <c r="M177" s="63" t="s">
        <v>1141</v>
      </c>
    </row>
    <row r="178" spans="1:24" ht="15.75" customHeight="1" x14ac:dyDescent="0.2">
      <c r="A178" s="127">
        <v>176</v>
      </c>
      <c r="B178" s="127" t="s">
        <v>691</v>
      </c>
      <c r="C178" s="127">
        <v>67537803</v>
      </c>
      <c r="D178" s="127" t="s">
        <v>587</v>
      </c>
      <c r="E178" s="127"/>
      <c r="F178" s="127" t="s">
        <v>1142</v>
      </c>
      <c r="G178" s="128" t="s">
        <v>864</v>
      </c>
      <c r="H178" s="126">
        <v>175</v>
      </c>
      <c r="I178" s="26"/>
      <c r="J178" s="26"/>
      <c r="K178" s="26"/>
      <c r="L178" s="26" t="s">
        <v>1143</v>
      </c>
      <c r="M178" s="26" t="s">
        <v>1144</v>
      </c>
      <c r="N178" s="36"/>
      <c r="O178" s="36"/>
      <c r="P178" s="36"/>
      <c r="Q178" s="36"/>
      <c r="R178" s="36"/>
      <c r="S178" s="36"/>
      <c r="T178" s="36"/>
      <c r="U178" s="36"/>
      <c r="V178" s="36"/>
      <c r="W178" s="36"/>
      <c r="X178" s="36"/>
    </row>
    <row r="179" spans="1:24" ht="15.75" customHeight="1" x14ac:dyDescent="0.2">
      <c r="A179" s="108">
        <v>177</v>
      </c>
      <c r="B179" s="108" t="s">
        <v>1145</v>
      </c>
      <c r="C179" s="38">
        <v>24969803</v>
      </c>
      <c r="D179" s="108" t="s">
        <v>587</v>
      </c>
      <c r="E179" s="108"/>
      <c r="F179" s="108" t="s">
        <v>1146</v>
      </c>
      <c r="G179" s="116" t="s">
        <v>631</v>
      </c>
      <c r="H179" s="88">
        <v>176</v>
      </c>
      <c r="I179" s="108" t="s">
        <v>732</v>
      </c>
      <c r="J179" s="108" t="s">
        <v>271</v>
      </c>
      <c r="K179" s="108">
        <v>13413203</v>
      </c>
      <c r="L179" s="108" t="s">
        <v>1147</v>
      </c>
      <c r="M179" s="108" t="s">
        <v>1148</v>
      </c>
    </row>
    <row r="180" spans="1:24" ht="15.75" customHeight="1" x14ac:dyDescent="0.2">
      <c r="A180" s="108">
        <v>178</v>
      </c>
      <c r="B180" s="108" t="s">
        <v>514</v>
      </c>
      <c r="C180" s="108">
        <v>32307303</v>
      </c>
      <c r="D180" s="108" t="s">
        <v>271</v>
      </c>
      <c r="E180" s="108"/>
      <c r="F180" s="108" t="s">
        <v>1149</v>
      </c>
      <c r="G180" s="116" t="s">
        <v>1053</v>
      </c>
      <c r="H180" s="88">
        <v>177</v>
      </c>
      <c r="I180" s="29"/>
      <c r="J180" s="29" t="s">
        <v>1150</v>
      </c>
      <c r="K180" s="26">
        <v>28491903</v>
      </c>
      <c r="L180" s="26" t="s">
        <v>1151</v>
      </c>
      <c r="M180" s="26" t="s">
        <v>1152</v>
      </c>
    </row>
    <row r="181" spans="1:24" ht="15.75" customHeight="1" x14ac:dyDescent="0.2">
      <c r="A181" s="108">
        <v>179</v>
      </c>
      <c r="B181" s="108" t="s">
        <v>1153</v>
      </c>
      <c r="C181" s="38">
        <v>82754803</v>
      </c>
      <c r="D181" s="108" t="s">
        <v>35</v>
      </c>
      <c r="E181" s="108"/>
      <c r="F181" s="108" t="s">
        <v>1154</v>
      </c>
      <c r="G181" s="116" t="s">
        <v>1057</v>
      </c>
      <c r="H181" s="88">
        <v>178</v>
      </c>
      <c r="I181" s="29"/>
      <c r="J181" s="29" t="s">
        <v>1155</v>
      </c>
      <c r="K181" s="26">
        <v>24889403</v>
      </c>
      <c r="L181" s="26" t="s">
        <v>1156</v>
      </c>
      <c r="M181" s="26" t="s">
        <v>1157</v>
      </c>
    </row>
    <row r="182" spans="1:24" ht="15.75" customHeight="1" x14ac:dyDescent="0.2">
      <c r="A182" s="108">
        <v>180</v>
      </c>
      <c r="B182" s="108" t="s">
        <v>757</v>
      </c>
      <c r="C182" s="38">
        <v>85045602</v>
      </c>
      <c r="D182" s="108" t="s">
        <v>587</v>
      </c>
      <c r="E182" s="108"/>
      <c r="F182" s="108" t="s">
        <v>1158</v>
      </c>
      <c r="G182" s="116" t="s">
        <v>637</v>
      </c>
      <c r="H182" s="103">
        <v>179</v>
      </c>
      <c r="I182" s="121" t="s">
        <v>1159</v>
      </c>
      <c r="J182" s="63" t="s">
        <v>587</v>
      </c>
      <c r="K182" s="61">
        <v>89180403</v>
      </c>
      <c r="L182" s="61" t="s">
        <v>1160</v>
      </c>
      <c r="M182" s="61" t="s">
        <v>1161</v>
      </c>
    </row>
    <row r="183" spans="1:24" ht="15.75" customHeight="1" x14ac:dyDescent="0.2">
      <c r="A183" s="108">
        <v>181</v>
      </c>
      <c r="B183" s="108" t="s">
        <v>879</v>
      </c>
      <c r="C183" s="29">
        <v>52481402</v>
      </c>
      <c r="D183" s="108" t="s">
        <v>35</v>
      </c>
      <c r="E183" s="108"/>
      <c r="F183" s="108" t="s">
        <v>1162</v>
      </c>
      <c r="G183" s="116" t="s">
        <v>1163</v>
      </c>
      <c r="H183" s="129">
        <v>180</v>
      </c>
      <c r="I183" s="65" t="s">
        <v>732</v>
      </c>
      <c r="J183" s="65" t="s">
        <v>587</v>
      </c>
      <c r="K183" s="65">
        <v>84233102</v>
      </c>
      <c r="L183" s="130" t="s">
        <v>1164</v>
      </c>
      <c r="M183" s="65" t="s">
        <v>1165</v>
      </c>
    </row>
    <row r="184" spans="1:24" ht="15.75" customHeight="1" x14ac:dyDescent="0.2">
      <c r="A184" s="108">
        <v>182</v>
      </c>
      <c r="B184" s="108" t="s">
        <v>691</v>
      </c>
      <c r="C184" s="108">
        <v>67537803</v>
      </c>
      <c r="D184" s="108" t="s">
        <v>587</v>
      </c>
      <c r="E184" s="108"/>
      <c r="F184" s="108" t="s">
        <v>1166</v>
      </c>
      <c r="G184" s="116" t="s">
        <v>1139</v>
      </c>
      <c r="H184" s="88">
        <v>181</v>
      </c>
      <c r="I184" s="108" t="s">
        <v>542</v>
      </c>
      <c r="J184" s="29" t="s">
        <v>271</v>
      </c>
      <c r="K184" s="26">
        <v>77418303</v>
      </c>
      <c r="L184" s="26" t="s">
        <v>1167</v>
      </c>
      <c r="M184" s="26" t="s">
        <v>1168</v>
      </c>
    </row>
    <row r="185" spans="1:24" ht="15.75" customHeight="1" x14ac:dyDescent="0.2">
      <c r="A185" s="108">
        <v>183</v>
      </c>
      <c r="B185" s="108" t="s">
        <v>1169</v>
      </c>
      <c r="C185" s="108">
        <v>64078901</v>
      </c>
      <c r="D185" s="108" t="s">
        <v>895</v>
      </c>
      <c r="E185" s="108"/>
      <c r="F185" s="108" t="s">
        <v>1170</v>
      </c>
      <c r="G185" s="116" t="s">
        <v>1033</v>
      </c>
      <c r="H185" s="103">
        <v>182</v>
      </c>
      <c r="I185" s="121" t="s">
        <v>732</v>
      </c>
      <c r="J185" s="63" t="s">
        <v>587</v>
      </c>
      <c r="K185" s="61">
        <v>89853702</v>
      </c>
      <c r="L185" s="61" t="s">
        <v>1171</v>
      </c>
      <c r="M185" s="61" t="s">
        <v>1172</v>
      </c>
    </row>
    <row r="186" spans="1:24" ht="15.75" customHeight="1" x14ac:dyDescent="0.2">
      <c r="A186" s="108">
        <v>184</v>
      </c>
      <c r="B186" s="108" t="s">
        <v>691</v>
      </c>
      <c r="C186" s="108">
        <v>14948203</v>
      </c>
      <c r="D186" s="108" t="s">
        <v>271</v>
      </c>
      <c r="E186" s="108"/>
      <c r="F186" s="108" t="s">
        <v>1173</v>
      </c>
      <c r="G186" s="116" t="s">
        <v>1089</v>
      </c>
      <c r="H186" s="103">
        <v>183</v>
      </c>
      <c r="I186" s="121" t="s">
        <v>732</v>
      </c>
      <c r="J186" s="63" t="s">
        <v>35</v>
      </c>
      <c r="K186" s="61">
        <v>66857302</v>
      </c>
      <c r="L186" s="61" t="s">
        <v>1174</v>
      </c>
      <c r="M186" s="63" t="s">
        <v>1175</v>
      </c>
    </row>
    <row r="187" spans="1:24" ht="15.75" customHeight="1" x14ac:dyDescent="0.2">
      <c r="A187" s="108">
        <v>185</v>
      </c>
      <c r="B187" s="108" t="s">
        <v>669</v>
      </c>
      <c r="C187" s="108">
        <v>20425302</v>
      </c>
      <c r="D187" s="108" t="s">
        <v>895</v>
      </c>
      <c r="E187" s="108"/>
      <c r="F187" s="108" t="s">
        <v>1176</v>
      </c>
      <c r="G187" s="116" t="s">
        <v>567</v>
      </c>
      <c r="H187" s="103">
        <v>184</v>
      </c>
      <c r="I187" s="121" t="s">
        <v>732</v>
      </c>
      <c r="J187" s="63" t="s">
        <v>587</v>
      </c>
      <c r="K187" s="61">
        <v>32959803</v>
      </c>
      <c r="L187" s="61" t="s">
        <v>1177</v>
      </c>
      <c r="M187" s="61" t="s">
        <v>1148</v>
      </c>
    </row>
    <row r="188" spans="1:24" ht="15.75" customHeight="1" x14ac:dyDescent="0.2">
      <c r="A188" s="127">
        <v>186</v>
      </c>
      <c r="B188" s="127" t="s">
        <v>1178</v>
      </c>
      <c r="C188" s="14">
        <v>3351539</v>
      </c>
      <c r="D188" s="127" t="s">
        <v>895</v>
      </c>
      <c r="E188" s="127"/>
      <c r="F188" s="127" t="s">
        <v>1179</v>
      </c>
      <c r="G188" s="128" t="s">
        <v>1180</v>
      </c>
      <c r="H188" s="126">
        <v>185</v>
      </c>
      <c r="I188" s="26" t="s">
        <v>732</v>
      </c>
      <c r="J188" s="26" t="s">
        <v>587</v>
      </c>
      <c r="K188" s="26">
        <v>58299603</v>
      </c>
      <c r="L188" s="26" t="s">
        <v>1181</v>
      </c>
      <c r="M188" s="26" t="s">
        <v>1182</v>
      </c>
      <c r="N188" s="36"/>
      <c r="O188" s="36"/>
      <c r="P188" s="36"/>
      <c r="Q188" s="36"/>
      <c r="R188" s="36"/>
      <c r="S188" s="36"/>
      <c r="T188" s="36"/>
      <c r="U188" s="36"/>
      <c r="V188" s="36"/>
      <c r="W188" s="36"/>
      <c r="X188" s="36"/>
    </row>
    <row r="189" spans="1:24" ht="15.75" customHeight="1" x14ac:dyDescent="0.2">
      <c r="A189" s="108">
        <v>187</v>
      </c>
      <c r="B189" s="108" t="s">
        <v>757</v>
      </c>
      <c r="C189" s="108">
        <v>85045802</v>
      </c>
      <c r="D189" s="108" t="s">
        <v>587</v>
      </c>
      <c r="E189" s="108"/>
      <c r="F189" s="108" t="s">
        <v>1183</v>
      </c>
      <c r="G189" s="116" t="s">
        <v>524</v>
      </c>
      <c r="H189" s="88">
        <v>186</v>
      </c>
      <c r="I189" s="108" t="s">
        <v>732</v>
      </c>
      <c r="J189" s="29" t="s">
        <v>587</v>
      </c>
      <c r="K189" s="26">
        <v>65020603</v>
      </c>
      <c r="L189" s="26" t="s">
        <v>1184</v>
      </c>
      <c r="M189" s="26" t="s">
        <v>1073</v>
      </c>
    </row>
    <row r="190" spans="1:24" ht="15.75" customHeight="1" x14ac:dyDescent="0.2">
      <c r="A190" s="108">
        <v>188</v>
      </c>
      <c r="B190" s="108" t="s">
        <v>1020</v>
      </c>
      <c r="C190" s="108">
        <v>58185503</v>
      </c>
      <c r="D190" s="108" t="s">
        <v>895</v>
      </c>
      <c r="E190" s="108"/>
      <c r="F190" s="108" t="s">
        <v>1185</v>
      </c>
      <c r="G190" s="116" t="s">
        <v>949</v>
      </c>
      <c r="H190" s="88">
        <v>187</v>
      </c>
      <c r="I190" s="108" t="s">
        <v>732</v>
      </c>
      <c r="J190" s="29" t="s">
        <v>35</v>
      </c>
      <c r="K190" s="14">
        <v>82754803</v>
      </c>
      <c r="L190" s="26" t="s">
        <v>1186</v>
      </c>
      <c r="M190" s="26" t="s">
        <v>1187</v>
      </c>
    </row>
    <row r="191" spans="1:24" ht="15.75" customHeight="1" x14ac:dyDescent="0.2">
      <c r="A191" s="121">
        <v>189</v>
      </c>
      <c r="B191" s="121" t="s">
        <v>701</v>
      </c>
      <c r="C191" s="93">
        <v>42008902</v>
      </c>
      <c r="D191" s="121" t="s">
        <v>35</v>
      </c>
      <c r="E191" s="121"/>
      <c r="F191" s="121" t="s">
        <v>1188</v>
      </c>
      <c r="G191" s="122" t="s">
        <v>1012</v>
      </c>
      <c r="H191" s="103">
        <v>188</v>
      </c>
      <c r="I191" s="63" t="s">
        <v>1159</v>
      </c>
      <c r="J191" s="63" t="s">
        <v>1189</v>
      </c>
      <c r="K191" s="63">
        <v>64483403</v>
      </c>
      <c r="L191" s="63" t="s">
        <v>1190</v>
      </c>
      <c r="M191" s="61" t="s">
        <v>1191</v>
      </c>
    </row>
    <row r="192" spans="1:24" ht="15.75" customHeight="1" x14ac:dyDescent="0.2">
      <c r="A192" s="108">
        <v>190</v>
      </c>
      <c r="B192" s="108" t="s">
        <v>1192</v>
      </c>
      <c r="C192" s="29">
        <v>59621002</v>
      </c>
      <c r="D192" s="108" t="s">
        <v>271</v>
      </c>
      <c r="E192" s="108"/>
      <c r="F192" s="108" t="s">
        <v>1193</v>
      </c>
      <c r="G192" s="116" t="s">
        <v>1075</v>
      </c>
      <c r="H192" s="88">
        <v>189</v>
      </c>
      <c r="I192" s="108" t="s">
        <v>732</v>
      </c>
      <c r="J192" s="29" t="s">
        <v>587</v>
      </c>
      <c r="K192" s="26">
        <v>89099503</v>
      </c>
      <c r="L192" s="26" t="s">
        <v>1194</v>
      </c>
      <c r="M192" s="26" t="s">
        <v>1195</v>
      </c>
    </row>
    <row r="193" spans="1:13" ht="15.75" customHeight="1" x14ac:dyDescent="0.2">
      <c r="A193" s="121">
        <v>191</v>
      </c>
      <c r="B193" s="121" t="s">
        <v>757</v>
      </c>
      <c r="C193" s="93">
        <v>85045602</v>
      </c>
      <c r="D193" s="121" t="s">
        <v>587</v>
      </c>
      <c r="E193" s="121"/>
      <c r="F193" s="121" t="s">
        <v>1196</v>
      </c>
      <c r="G193" s="122" t="s">
        <v>1057</v>
      </c>
      <c r="H193" s="88">
        <v>190</v>
      </c>
      <c r="I193" s="108" t="s">
        <v>582</v>
      </c>
      <c r="J193" s="29" t="s">
        <v>1197</v>
      </c>
      <c r="K193" s="26">
        <v>59032903</v>
      </c>
      <c r="L193" s="26" t="s">
        <v>1198</v>
      </c>
      <c r="M193" s="26" t="s">
        <v>1071</v>
      </c>
    </row>
    <row r="194" spans="1:13" ht="15.75" customHeight="1" x14ac:dyDescent="0.2">
      <c r="A194" s="108">
        <v>192</v>
      </c>
      <c r="B194" s="108" t="s">
        <v>757</v>
      </c>
      <c r="C194" s="38">
        <v>79624202</v>
      </c>
      <c r="D194" s="108" t="s">
        <v>271</v>
      </c>
      <c r="E194" s="108"/>
      <c r="F194" s="108" t="s">
        <v>1199</v>
      </c>
      <c r="G194" s="116" t="s">
        <v>743</v>
      </c>
      <c r="H194" s="103">
        <v>191</v>
      </c>
      <c r="I194" s="121" t="s">
        <v>582</v>
      </c>
      <c r="J194" s="63" t="s">
        <v>1197</v>
      </c>
      <c r="K194" s="61">
        <v>59032903</v>
      </c>
      <c r="L194" s="61" t="s">
        <v>1200</v>
      </c>
      <c r="M194" s="61" t="s">
        <v>590</v>
      </c>
    </row>
    <row r="195" spans="1:13" ht="15.75" customHeight="1" x14ac:dyDescent="0.2">
      <c r="A195" s="121">
        <v>193</v>
      </c>
      <c r="B195" s="121" t="s">
        <v>1201</v>
      </c>
      <c r="C195" s="121">
        <v>59201203</v>
      </c>
      <c r="D195" s="121" t="s">
        <v>895</v>
      </c>
      <c r="E195" s="121"/>
      <c r="F195" s="121" t="s">
        <v>1202</v>
      </c>
      <c r="G195" s="122" t="s">
        <v>1017</v>
      </c>
      <c r="H195" s="103">
        <v>192</v>
      </c>
      <c r="I195" s="63"/>
      <c r="J195" s="63" t="s">
        <v>733</v>
      </c>
      <c r="K195" s="63">
        <v>87889603</v>
      </c>
      <c r="L195" s="63" t="s">
        <v>1203</v>
      </c>
      <c r="M195" s="63" t="s">
        <v>1204</v>
      </c>
    </row>
    <row r="196" spans="1:13" ht="15.75" customHeight="1" x14ac:dyDescent="0.2">
      <c r="A196" s="108">
        <v>194</v>
      </c>
      <c r="B196" s="108" t="s">
        <v>707</v>
      </c>
      <c r="C196" s="38">
        <v>24889303</v>
      </c>
      <c r="D196" s="108" t="s">
        <v>587</v>
      </c>
      <c r="E196" s="108"/>
      <c r="F196" s="108" t="s">
        <v>1205</v>
      </c>
      <c r="G196" s="116" t="s">
        <v>576</v>
      </c>
      <c r="H196" s="88">
        <v>193</v>
      </c>
      <c r="I196" s="108" t="s">
        <v>587</v>
      </c>
      <c r="J196" s="29" t="s">
        <v>732</v>
      </c>
      <c r="K196" s="26">
        <v>48802403</v>
      </c>
      <c r="L196" s="26" t="s">
        <v>1206</v>
      </c>
      <c r="M196" s="26" t="s">
        <v>1195</v>
      </c>
    </row>
    <row r="197" spans="1:13" ht="15.75" customHeight="1" x14ac:dyDescent="0.2">
      <c r="A197" s="121">
        <v>195</v>
      </c>
      <c r="B197" s="121" t="s">
        <v>701</v>
      </c>
      <c r="C197" s="93">
        <v>42949102</v>
      </c>
      <c r="D197" s="121" t="s">
        <v>35</v>
      </c>
      <c r="E197" s="121"/>
      <c r="F197" s="121" t="s">
        <v>1207</v>
      </c>
      <c r="G197" s="122" t="s">
        <v>709</v>
      </c>
      <c r="H197" s="88">
        <v>194</v>
      </c>
      <c r="I197" s="29"/>
      <c r="J197" s="29"/>
      <c r="K197" s="29"/>
      <c r="L197" s="26" t="s">
        <v>1208</v>
      </c>
      <c r="M197" s="26" t="s">
        <v>1209</v>
      </c>
    </row>
    <row r="198" spans="1:13" ht="15.75" customHeight="1" x14ac:dyDescent="0.2">
      <c r="A198" s="108">
        <v>196</v>
      </c>
      <c r="B198" s="108" t="s">
        <v>1210</v>
      </c>
      <c r="C198" s="108">
        <v>58987302</v>
      </c>
      <c r="D198" s="108" t="s">
        <v>587</v>
      </c>
      <c r="E198" s="108"/>
      <c r="F198" s="108" t="s">
        <v>1211</v>
      </c>
      <c r="G198" s="116" t="s">
        <v>1212</v>
      </c>
      <c r="H198" s="88">
        <v>195</v>
      </c>
      <c r="I198" s="29"/>
      <c r="J198" s="29"/>
      <c r="K198" s="26">
        <v>51960702</v>
      </c>
      <c r="L198" s="26" t="s">
        <v>1213</v>
      </c>
      <c r="M198" s="26" t="s">
        <v>1214</v>
      </c>
    </row>
    <row r="199" spans="1:13" ht="15.75" customHeight="1" x14ac:dyDescent="0.2">
      <c r="A199" s="108">
        <v>197</v>
      </c>
      <c r="B199" s="108" t="s">
        <v>707</v>
      </c>
      <c r="C199" s="38">
        <v>24889103</v>
      </c>
      <c r="D199" s="108" t="s">
        <v>587</v>
      </c>
      <c r="E199" s="108"/>
      <c r="F199" s="108" t="s">
        <v>1215</v>
      </c>
      <c r="G199" s="116" t="s">
        <v>517</v>
      </c>
      <c r="H199" s="103">
        <v>198</v>
      </c>
      <c r="I199" s="63" t="s">
        <v>587</v>
      </c>
      <c r="J199" s="63" t="s">
        <v>732</v>
      </c>
      <c r="K199" s="63">
        <v>89183403</v>
      </c>
      <c r="L199" s="63" t="s">
        <v>1216</v>
      </c>
      <c r="M199" s="61" t="s">
        <v>813</v>
      </c>
    </row>
    <row r="200" spans="1:13" ht="15.75" customHeight="1" x14ac:dyDescent="0.2">
      <c r="A200" s="108">
        <v>198</v>
      </c>
      <c r="B200" s="108" t="s">
        <v>691</v>
      </c>
      <c r="C200" s="38">
        <v>67537803</v>
      </c>
      <c r="D200" s="108" t="s">
        <v>587</v>
      </c>
      <c r="E200" s="108"/>
      <c r="F200" s="108" t="s">
        <v>1217</v>
      </c>
      <c r="G200" s="116" t="s">
        <v>1218</v>
      </c>
      <c r="H200" s="88">
        <v>199</v>
      </c>
      <c r="I200" s="108" t="s">
        <v>750</v>
      </c>
      <c r="J200" s="29"/>
      <c r="K200" s="38">
        <v>34002803</v>
      </c>
      <c r="L200" s="26" t="s">
        <v>1219</v>
      </c>
      <c r="M200" s="26" t="s">
        <v>1220</v>
      </c>
    </row>
    <row r="201" spans="1:13" ht="15.75" customHeight="1" x14ac:dyDescent="0.2">
      <c r="A201" s="121">
        <v>199</v>
      </c>
      <c r="B201" s="121" t="s">
        <v>701</v>
      </c>
      <c r="C201" s="121">
        <v>42008902</v>
      </c>
      <c r="D201" s="121" t="s">
        <v>35</v>
      </c>
      <c r="E201" s="121"/>
      <c r="F201" s="121" t="s">
        <v>1221</v>
      </c>
      <c r="G201" s="122" t="s">
        <v>1017</v>
      </c>
      <c r="H201" s="88">
        <v>200</v>
      </c>
      <c r="I201" s="29" t="s">
        <v>271</v>
      </c>
      <c r="J201" s="29" t="s">
        <v>542</v>
      </c>
      <c r="K201" s="29">
        <v>77418303</v>
      </c>
      <c r="L201" s="26" t="s">
        <v>1222</v>
      </c>
      <c r="M201" s="26" t="s">
        <v>1223</v>
      </c>
    </row>
    <row r="202" spans="1:13" ht="15.75" customHeight="1" x14ac:dyDescent="0.2">
      <c r="A202" s="121">
        <v>200</v>
      </c>
      <c r="B202" s="121" t="s">
        <v>691</v>
      </c>
      <c r="C202" s="93">
        <v>21705703</v>
      </c>
      <c r="D202" s="121" t="s">
        <v>35</v>
      </c>
      <c r="E202" s="121"/>
      <c r="F202" s="121" t="s">
        <v>1224</v>
      </c>
      <c r="G202" s="122" t="s">
        <v>1225</v>
      </c>
      <c r="H202" s="88">
        <v>201</v>
      </c>
      <c r="I202" s="29" t="s">
        <v>587</v>
      </c>
      <c r="J202" s="29" t="s">
        <v>732</v>
      </c>
      <c r="K202" s="29">
        <v>55348802</v>
      </c>
      <c r="L202" s="26" t="s">
        <v>1226</v>
      </c>
      <c r="M202" s="26" t="s">
        <v>1195</v>
      </c>
    </row>
    <row r="203" spans="1:13" ht="15.75" customHeight="1" x14ac:dyDescent="0.2">
      <c r="A203" s="108">
        <v>201</v>
      </c>
      <c r="B203" s="108" t="s">
        <v>917</v>
      </c>
      <c r="C203" s="30">
        <v>81472503</v>
      </c>
      <c r="D203" s="108" t="s">
        <v>271</v>
      </c>
      <c r="E203" s="108"/>
      <c r="F203" s="108" t="s">
        <v>1227</v>
      </c>
      <c r="G203" s="122" t="s">
        <v>1228</v>
      </c>
      <c r="H203" s="103">
        <v>202</v>
      </c>
      <c r="I203" s="63" t="s">
        <v>35</v>
      </c>
      <c r="J203" s="63" t="s">
        <v>1159</v>
      </c>
      <c r="K203" s="63">
        <v>63765702</v>
      </c>
      <c r="L203" s="63" t="s">
        <v>1229</v>
      </c>
      <c r="M203" s="63" t="s">
        <v>1230</v>
      </c>
    </row>
    <row r="204" spans="1:13" ht="15.75" customHeight="1" x14ac:dyDescent="0.2">
      <c r="A204" s="121">
        <v>202</v>
      </c>
      <c r="B204" s="121" t="s">
        <v>1153</v>
      </c>
      <c r="C204" s="121">
        <v>73456703</v>
      </c>
      <c r="D204" s="121" t="s">
        <v>511</v>
      </c>
      <c r="E204" s="121"/>
      <c r="F204" s="122" t="s">
        <v>1231</v>
      </c>
      <c r="G204" s="116" t="s">
        <v>1004</v>
      </c>
      <c r="H204" s="88">
        <v>203</v>
      </c>
      <c r="I204" s="29" t="s">
        <v>271</v>
      </c>
      <c r="J204" s="29" t="s">
        <v>480</v>
      </c>
      <c r="K204" s="29">
        <v>18743504</v>
      </c>
      <c r="L204" s="26" t="s">
        <v>1232</v>
      </c>
      <c r="M204" s="26" t="s">
        <v>1233</v>
      </c>
    </row>
    <row r="205" spans="1:13" ht="15.75" customHeight="1" x14ac:dyDescent="0.2">
      <c r="A205" s="108">
        <v>203</v>
      </c>
      <c r="B205" s="108" t="s">
        <v>947</v>
      </c>
      <c r="C205" s="38">
        <v>50258603</v>
      </c>
      <c r="D205" s="108" t="s">
        <v>35</v>
      </c>
      <c r="E205" s="108"/>
      <c r="F205" s="116" t="s">
        <v>1234</v>
      </c>
      <c r="G205" s="116" t="s">
        <v>881</v>
      </c>
      <c r="H205" s="88">
        <v>204</v>
      </c>
      <c r="I205" s="29" t="s">
        <v>35</v>
      </c>
      <c r="J205" s="29" t="s">
        <v>1235</v>
      </c>
      <c r="K205" s="29">
        <v>31404502</v>
      </c>
      <c r="L205" s="29" t="s">
        <v>1236</v>
      </c>
      <c r="M205" s="29" t="s">
        <v>1237</v>
      </c>
    </row>
    <row r="206" spans="1:13" ht="15.75" customHeight="1" x14ac:dyDescent="0.2">
      <c r="A206" s="108">
        <v>204</v>
      </c>
      <c r="B206" s="108" t="s">
        <v>917</v>
      </c>
      <c r="C206" s="108">
        <v>89137102</v>
      </c>
      <c r="D206" s="108" t="s">
        <v>35</v>
      </c>
      <c r="E206" s="108"/>
      <c r="F206" s="116" t="s">
        <v>1238</v>
      </c>
      <c r="G206" s="116" t="s">
        <v>663</v>
      </c>
      <c r="H206" s="88">
        <v>205</v>
      </c>
      <c r="I206" s="29" t="s">
        <v>587</v>
      </c>
      <c r="J206" s="29" t="s">
        <v>1239</v>
      </c>
      <c r="K206" s="29">
        <v>42932903</v>
      </c>
      <c r="L206" s="29" t="s">
        <v>1240</v>
      </c>
      <c r="M206" s="29" t="s">
        <v>1241</v>
      </c>
    </row>
    <row r="207" spans="1:13" ht="15.75" customHeight="1" x14ac:dyDescent="0.2">
      <c r="A207" s="108">
        <v>205</v>
      </c>
      <c r="B207" s="108" t="s">
        <v>707</v>
      </c>
      <c r="C207" s="29">
        <v>57691303</v>
      </c>
      <c r="D207" s="108" t="s">
        <v>587</v>
      </c>
      <c r="E207" s="108"/>
      <c r="F207" s="116" t="s">
        <v>1242</v>
      </c>
      <c r="G207" s="116" t="s">
        <v>603</v>
      </c>
      <c r="H207" s="88">
        <v>206</v>
      </c>
      <c r="I207" s="29" t="s">
        <v>1023</v>
      </c>
      <c r="J207" s="29"/>
      <c r="K207" s="29">
        <v>79965403</v>
      </c>
      <c r="L207" s="29" t="s">
        <v>1243</v>
      </c>
      <c r="M207" s="29" t="s">
        <v>1244</v>
      </c>
    </row>
    <row r="208" spans="1:13" ht="15.75" customHeight="1" x14ac:dyDescent="0.2">
      <c r="A208" s="108">
        <v>206</v>
      </c>
      <c r="B208" s="108" t="s">
        <v>701</v>
      </c>
      <c r="C208" s="12">
        <v>42950702</v>
      </c>
      <c r="D208" s="108" t="s">
        <v>35</v>
      </c>
      <c r="E208" s="108"/>
      <c r="F208" s="116" t="s">
        <v>1245</v>
      </c>
      <c r="G208" s="116" t="s">
        <v>1246</v>
      </c>
      <c r="H208" s="88">
        <v>207</v>
      </c>
      <c r="I208" s="29"/>
      <c r="J208" s="29" t="s">
        <v>1247</v>
      </c>
      <c r="K208" s="29">
        <v>68707503</v>
      </c>
      <c r="L208" s="29" t="s">
        <v>1248</v>
      </c>
      <c r="M208" s="29" t="s">
        <v>1249</v>
      </c>
    </row>
    <row r="209" spans="1:26" ht="15.75" customHeight="1" x14ac:dyDescent="0.2">
      <c r="A209" s="127">
        <v>207</v>
      </c>
      <c r="B209" s="127" t="s">
        <v>1250</v>
      </c>
      <c r="C209" s="127">
        <v>42009002</v>
      </c>
      <c r="D209" s="127" t="s">
        <v>35</v>
      </c>
      <c r="E209" s="127"/>
      <c r="F209" s="128" t="s">
        <v>1251</v>
      </c>
      <c r="G209" s="128" t="s">
        <v>513</v>
      </c>
      <c r="H209" s="126">
        <v>208</v>
      </c>
      <c r="I209" s="26"/>
      <c r="J209" s="26"/>
      <c r="K209" s="26">
        <v>84448302</v>
      </c>
      <c r="L209" s="26" t="s">
        <v>1252</v>
      </c>
      <c r="M209" s="26" t="s">
        <v>866</v>
      </c>
      <c r="N209" s="36"/>
      <c r="O209" s="36"/>
      <c r="P209" s="36"/>
      <c r="Q209" s="36"/>
      <c r="R209" s="36"/>
      <c r="S209" s="36"/>
      <c r="T209" s="36"/>
      <c r="U209" s="36"/>
      <c r="V209" s="36"/>
      <c r="W209" s="36"/>
      <c r="X209" s="36"/>
      <c r="Y209" s="36"/>
      <c r="Z209" s="36"/>
    </row>
    <row r="210" spans="1:26" ht="15.75" customHeight="1" x14ac:dyDescent="0.2">
      <c r="A210" s="108">
        <v>208</v>
      </c>
      <c r="B210" s="108" t="s">
        <v>792</v>
      </c>
      <c r="C210" s="38">
        <v>43747603</v>
      </c>
      <c r="D210" s="108" t="s">
        <v>35</v>
      </c>
      <c r="E210" s="108"/>
      <c r="F210" s="116" t="s">
        <v>1253</v>
      </c>
      <c r="G210" s="116" t="s">
        <v>1254</v>
      </c>
      <c r="H210" s="63">
        <v>209</v>
      </c>
      <c r="I210" s="63"/>
      <c r="J210" s="63" t="s">
        <v>542</v>
      </c>
      <c r="K210" s="63">
        <v>28024003</v>
      </c>
      <c r="L210" s="63" t="s">
        <v>1255</v>
      </c>
      <c r="M210" s="63" t="s">
        <v>1256</v>
      </c>
    </row>
    <row r="211" spans="1:26" ht="15.75" customHeight="1" x14ac:dyDescent="0.2">
      <c r="A211" s="108">
        <v>209</v>
      </c>
      <c r="B211" s="108" t="s">
        <v>1020</v>
      </c>
      <c r="C211" s="108">
        <v>59032903</v>
      </c>
      <c r="D211" s="108" t="s">
        <v>895</v>
      </c>
      <c r="E211" s="108"/>
      <c r="F211" s="116" t="s">
        <v>1257</v>
      </c>
      <c r="G211" s="116" t="s">
        <v>539</v>
      </c>
      <c r="H211" s="88">
        <v>210</v>
      </c>
      <c r="I211" s="29"/>
      <c r="J211" s="29" t="s">
        <v>1159</v>
      </c>
      <c r="K211" s="29">
        <v>36572804</v>
      </c>
      <c r="L211" s="29" t="s">
        <v>1258</v>
      </c>
      <c r="M211" s="29" t="s">
        <v>1259</v>
      </c>
    </row>
    <row r="212" spans="1:26" ht="15.75" customHeight="1" x14ac:dyDescent="0.2">
      <c r="A212" s="108">
        <v>210</v>
      </c>
      <c r="B212" s="108" t="s">
        <v>1192</v>
      </c>
      <c r="C212" s="108">
        <v>72069702</v>
      </c>
      <c r="D212" s="108" t="s">
        <v>587</v>
      </c>
      <c r="E212" s="108"/>
      <c r="F212" s="131" t="s">
        <v>1260</v>
      </c>
      <c r="G212" s="116" t="s">
        <v>1261</v>
      </c>
      <c r="H212" s="88">
        <v>211</v>
      </c>
      <c r="I212" s="29"/>
      <c r="J212" s="29" t="s">
        <v>1247</v>
      </c>
      <c r="K212" s="29">
        <v>37379003</v>
      </c>
      <c r="L212" s="29" t="s">
        <v>1262</v>
      </c>
      <c r="M212" s="29" t="s">
        <v>1263</v>
      </c>
    </row>
    <row r="213" spans="1:26" ht="15.75" customHeight="1" x14ac:dyDescent="0.2">
      <c r="A213" s="108">
        <v>211</v>
      </c>
      <c r="B213" s="108" t="s">
        <v>1153</v>
      </c>
      <c r="C213" s="38">
        <v>82754803</v>
      </c>
      <c r="D213" s="108" t="s">
        <v>35</v>
      </c>
      <c r="E213" s="108"/>
      <c r="F213" s="108" t="s">
        <v>1264</v>
      </c>
      <c r="G213" s="116" t="s">
        <v>637</v>
      </c>
      <c r="H213" s="88">
        <v>212</v>
      </c>
      <c r="I213" s="29"/>
      <c r="J213" s="29" t="s">
        <v>1265</v>
      </c>
      <c r="K213" s="29">
        <v>25137703</v>
      </c>
      <c r="L213" s="29" t="s">
        <v>1266</v>
      </c>
      <c r="M213" s="29" t="s">
        <v>1267</v>
      </c>
    </row>
    <row r="214" spans="1:26" ht="15.75" customHeight="1" x14ac:dyDescent="0.2">
      <c r="A214" s="108">
        <v>212</v>
      </c>
      <c r="B214" s="108" t="s">
        <v>753</v>
      </c>
      <c r="C214" s="108">
        <v>67537803</v>
      </c>
      <c r="D214" s="108" t="s">
        <v>587</v>
      </c>
      <c r="E214" s="108"/>
      <c r="F214" s="132" t="s">
        <v>1268</v>
      </c>
      <c r="G214" s="116" t="s">
        <v>1269</v>
      </c>
      <c r="H214" s="88">
        <v>213</v>
      </c>
      <c r="I214" s="29"/>
      <c r="J214" s="29" t="s">
        <v>1239</v>
      </c>
      <c r="K214" s="29">
        <v>46656103</v>
      </c>
      <c r="L214" s="29" t="s">
        <v>1270</v>
      </c>
      <c r="M214" s="29" t="s">
        <v>1271</v>
      </c>
    </row>
    <row r="215" spans="1:26" ht="15.75" customHeight="1" x14ac:dyDescent="0.2">
      <c r="A215" s="121">
        <v>213</v>
      </c>
      <c r="B215" s="121" t="s">
        <v>1020</v>
      </c>
      <c r="C215" s="93">
        <v>28491903</v>
      </c>
      <c r="D215" s="121" t="s">
        <v>895</v>
      </c>
      <c r="E215" s="121"/>
      <c r="F215" s="121" t="s">
        <v>1272</v>
      </c>
      <c r="G215" s="122" t="s">
        <v>501</v>
      </c>
      <c r="H215" s="88">
        <v>214</v>
      </c>
      <c r="I215" s="29"/>
      <c r="J215" s="29" t="s">
        <v>1273</v>
      </c>
      <c r="K215" s="29">
        <v>49615804</v>
      </c>
      <c r="L215" s="29" t="s">
        <v>1274</v>
      </c>
      <c r="M215" s="29" t="s">
        <v>1275</v>
      </c>
    </row>
    <row r="216" spans="1:26" ht="15.75" customHeight="1" x14ac:dyDescent="0.2">
      <c r="A216" s="108">
        <v>214</v>
      </c>
      <c r="B216" s="108" t="s">
        <v>701</v>
      </c>
      <c r="C216" s="38">
        <v>59347603</v>
      </c>
      <c r="D216" s="108" t="s">
        <v>511</v>
      </c>
      <c r="E216" s="108"/>
      <c r="F216" s="108" t="s">
        <v>1276</v>
      </c>
      <c r="G216" s="116" t="s">
        <v>1039</v>
      </c>
      <c r="H216" s="88">
        <v>215</v>
      </c>
      <c r="I216" s="29"/>
      <c r="J216" s="29" t="s">
        <v>750</v>
      </c>
      <c r="K216" s="29">
        <v>20036203</v>
      </c>
      <c r="L216" s="29" t="s">
        <v>1277</v>
      </c>
      <c r="M216" s="29" t="s">
        <v>1278</v>
      </c>
    </row>
    <row r="217" spans="1:26" ht="15.75" customHeight="1" x14ac:dyDescent="0.2">
      <c r="A217" s="121">
        <v>215</v>
      </c>
      <c r="B217" s="121" t="s">
        <v>907</v>
      </c>
      <c r="C217" s="93">
        <v>75169702</v>
      </c>
      <c r="D217" s="121" t="s">
        <v>511</v>
      </c>
      <c r="E217" s="121"/>
      <c r="F217" s="121" t="s">
        <v>1279</v>
      </c>
      <c r="G217" s="122" t="s">
        <v>509</v>
      </c>
      <c r="H217" s="103">
        <v>216</v>
      </c>
      <c r="I217" s="63"/>
      <c r="J217" s="63" t="s">
        <v>1265</v>
      </c>
      <c r="K217" s="63">
        <v>39221203</v>
      </c>
      <c r="L217" s="63" t="s">
        <v>1280</v>
      </c>
      <c r="M217" s="63" t="s">
        <v>1281</v>
      </c>
    </row>
    <row r="218" spans="1:26" ht="15.75" customHeight="1" x14ac:dyDescent="0.2">
      <c r="A218" s="108">
        <v>216</v>
      </c>
      <c r="B218" s="108" t="s">
        <v>917</v>
      </c>
      <c r="C218" s="38">
        <v>81471203</v>
      </c>
      <c r="D218" s="108" t="s">
        <v>271</v>
      </c>
      <c r="E218" s="108"/>
      <c r="F218" s="108" t="s">
        <v>1282</v>
      </c>
      <c r="G218" s="116" t="s">
        <v>305</v>
      </c>
      <c r="H218" s="88">
        <v>217</v>
      </c>
      <c r="I218" s="29"/>
      <c r="J218" s="29" t="s">
        <v>1273</v>
      </c>
      <c r="K218" s="29">
        <v>29045904</v>
      </c>
      <c r="L218" s="29" t="s">
        <v>1283</v>
      </c>
      <c r="M218" s="29" t="s">
        <v>1284</v>
      </c>
    </row>
    <row r="219" spans="1:26" ht="15.75" customHeight="1" x14ac:dyDescent="0.2">
      <c r="A219" s="108">
        <v>217</v>
      </c>
      <c r="B219" s="108" t="s">
        <v>1285</v>
      </c>
      <c r="C219" s="38">
        <v>13460303</v>
      </c>
      <c r="D219" s="108" t="s">
        <v>271</v>
      </c>
      <c r="E219" s="29"/>
      <c r="F219" s="108" t="s">
        <v>1286</v>
      </c>
      <c r="G219" s="116" t="s">
        <v>1287</v>
      </c>
      <c r="H219" s="88">
        <v>218</v>
      </c>
      <c r="I219" s="29"/>
      <c r="J219" s="29" t="s">
        <v>1288</v>
      </c>
      <c r="K219" s="29">
        <v>52791804</v>
      </c>
      <c r="L219" s="29" t="s">
        <v>1289</v>
      </c>
      <c r="M219" s="29" t="s">
        <v>1290</v>
      </c>
    </row>
    <row r="220" spans="1:26" ht="15.75" customHeight="1" x14ac:dyDescent="0.2">
      <c r="A220" s="108">
        <v>218</v>
      </c>
      <c r="B220" s="108" t="s">
        <v>1020</v>
      </c>
      <c r="C220" s="14">
        <v>28491903</v>
      </c>
      <c r="D220" s="108" t="s">
        <v>895</v>
      </c>
      <c r="E220" s="108"/>
      <c r="F220" s="108" t="s">
        <v>1291</v>
      </c>
      <c r="G220" s="116" t="s">
        <v>1292</v>
      </c>
      <c r="H220" s="88">
        <v>219</v>
      </c>
      <c r="I220" s="29"/>
      <c r="J220" s="29" t="s">
        <v>1293</v>
      </c>
      <c r="K220" s="14">
        <v>65178203</v>
      </c>
      <c r="L220" s="29" t="s">
        <v>1294</v>
      </c>
      <c r="M220" s="29" t="s">
        <v>1295</v>
      </c>
    </row>
    <row r="221" spans="1:26" ht="15.75" customHeight="1" x14ac:dyDescent="0.2">
      <c r="A221" s="108">
        <v>219</v>
      </c>
      <c r="B221" s="108" t="s">
        <v>1296</v>
      </c>
      <c r="C221" s="38">
        <v>17151503</v>
      </c>
      <c r="D221" s="108" t="s">
        <v>1297</v>
      </c>
      <c r="E221" s="108"/>
      <c r="F221" s="108" t="s">
        <v>1298</v>
      </c>
      <c r="G221" s="116" t="s">
        <v>1287</v>
      </c>
      <c r="H221" s="88">
        <v>220</v>
      </c>
      <c r="I221" s="29"/>
      <c r="J221" s="29" t="s">
        <v>1299</v>
      </c>
      <c r="K221" s="29">
        <v>31898004</v>
      </c>
      <c r="L221" s="29" t="s">
        <v>1300</v>
      </c>
      <c r="M221" s="29" t="s">
        <v>1301</v>
      </c>
    </row>
    <row r="222" spans="1:26" ht="15.75" customHeight="1" x14ac:dyDescent="0.2">
      <c r="A222" s="108">
        <v>220</v>
      </c>
      <c r="B222" s="108" t="s">
        <v>665</v>
      </c>
      <c r="C222" s="38">
        <v>66723902</v>
      </c>
      <c r="D222" s="108" t="s">
        <v>35</v>
      </c>
      <c r="E222" s="108"/>
      <c r="F222" s="108" t="s">
        <v>1302</v>
      </c>
      <c r="G222" s="116" t="s">
        <v>1303</v>
      </c>
      <c r="H222" s="103">
        <v>221</v>
      </c>
      <c r="I222" s="63"/>
      <c r="J222" s="63" t="s">
        <v>1265</v>
      </c>
      <c r="K222" s="63">
        <v>23724104</v>
      </c>
      <c r="L222" s="63" t="s">
        <v>1304</v>
      </c>
      <c r="M222" s="63" t="s">
        <v>1305</v>
      </c>
    </row>
    <row r="223" spans="1:26" ht="15.75" customHeight="1" x14ac:dyDescent="0.2">
      <c r="A223" s="108">
        <v>221</v>
      </c>
      <c r="B223" s="108" t="s">
        <v>907</v>
      </c>
      <c r="C223" s="108">
        <v>75170102</v>
      </c>
      <c r="D223" s="108" t="s">
        <v>35</v>
      </c>
      <c r="E223" s="108"/>
      <c r="F223" s="108" t="s">
        <v>1306</v>
      </c>
      <c r="G223" s="116" t="s">
        <v>1307</v>
      </c>
      <c r="H223" s="88">
        <v>222</v>
      </c>
      <c r="I223" s="29"/>
      <c r="J223" s="29" t="s">
        <v>1308</v>
      </c>
      <c r="K223" s="29">
        <v>30547904</v>
      </c>
      <c r="L223" s="29" t="s">
        <v>1309</v>
      </c>
      <c r="M223" s="29" t="s">
        <v>1310</v>
      </c>
    </row>
    <row r="224" spans="1:26" ht="15.75" customHeight="1" x14ac:dyDescent="0.2">
      <c r="A224" s="121">
        <v>222</v>
      </c>
      <c r="B224" s="121" t="s">
        <v>691</v>
      </c>
      <c r="C224" s="93">
        <v>67537803</v>
      </c>
      <c r="D224" s="121" t="s">
        <v>587</v>
      </c>
      <c r="E224" s="121"/>
      <c r="F224" s="121" t="s">
        <v>1311</v>
      </c>
      <c r="G224" s="122" t="s">
        <v>1312</v>
      </c>
      <c r="H224" s="103">
        <v>223</v>
      </c>
      <c r="I224" s="63"/>
      <c r="J224" s="63" t="s">
        <v>1313</v>
      </c>
      <c r="K224" s="63">
        <v>88063203</v>
      </c>
      <c r="L224" s="63" t="s">
        <v>1314</v>
      </c>
      <c r="M224" s="63" t="s">
        <v>1315</v>
      </c>
    </row>
    <row r="225" spans="1:26" ht="15.75" customHeight="1" x14ac:dyDescent="0.2">
      <c r="A225" s="108">
        <v>223</v>
      </c>
      <c r="B225" s="108" t="s">
        <v>907</v>
      </c>
      <c r="C225" s="14">
        <v>75019402</v>
      </c>
      <c r="D225" s="108" t="s">
        <v>35</v>
      </c>
      <c r="E225" s="108"/>
      <c r="F225" s="108" t="s">
        <v>1316</v>
      </c>
      <c r="G225" s="116" t="s">
        <v>1317</v>
      </c>
      <c r="H225" s="88">
        <v>224</v>
      </c>
      <c r="I225" s="29"/>
      <c r="J225" s="29" t="s">
        <v>271</v>
      </c>
      <c r="K225" s="29">
        <v>79922503</v>
      </c>
      <c r="L225" s="29" t="s">
        <v>1318</v>
      </c>
      <c r="M225" s="29" t="s">
        <v>1319</v>
      </c>
    </row>
    <row r="226" spans="1:26" ht="15.75" customHeight="1" x14ac:dyDescent="0.2">
      <c r="A226" s="127">
        <v>224</v>
      </c>
      <c r="B226" s="127" t="s">
        <v>1320</v>
      </c>
      <c r="C226" s="14">
        <v>82754803</v>
      </c>
      <c r="D226" s="127" t="s">
        <v>35</v>
      </c>
      <c r="E226" s="127"/>
      <c r="F226" s="127" t="s">
        <v>1321</v>
      </c>
      <c r="G226" s="128" t="s">
        <v>1322</v>
      </c>
      <c r="H226" s="133">
        <v>225</v>
      </c>
      <c r="I226" s="61"/>
      <c r="J226" s="61" t="s">
        <v>1297</v>
      </c>
      <c r="K226" s="61">
        <v>81259503</v>
      </c>
      <c r="L226" s="61" t="s">
        <v>1323</v>
      </c>
      <c r="M226" s="61" t="s">
        <v>1324</v>
      </c>
      <c r="N226" s="36"/>
      <c r="O226" s="36"/>
      <c r="P226" s="36"/>
      <c r="Q226" s="36"/>
      <c r="R226" s="36"/>
      <c r="S226" s="36"/>
      <c r="T226" s="36"/>
      <c r="U226" s="36"/>
      <c r="V226" s="36"/>
      <c r="W226" s="36"/>
      <c r="X226" s="36"/>
      <c r="Y226" s="36"/>
      <c r="Z226" s="36"/>
    </row>
    <row r="227" spans="1:26" ht="15.75" customHeight="1" x14ac:dyDescent="0.2">
      <c r="A227" s="121">
        <v>225</v>
      </c>
      <c r="B227" s="121" t="s">
        <v>691</v>
      </c>
      <c r="C227" s="55">
        <v>21897903</v>
      </c>
      <c r="D227" s="121" t="s">
        <v>35</v>
      </c>
      <c r="E227" s="121"/>
      <c r="F227" s="121" t="s">
        <v>1325</v>
      </c>
      <c r="G227" s="122" t="s">
        <v>552</v>
      </c>
      <c r="H227" s="129">
        <v>226</v>
      </c>
      <c r="I227" s="130"/>
      <c r="J227" s="65" t="s">
        <v>587</v>
      </c>
      <c r="K227" s="65">
        <v>48530103</v>
      </c>
      <c r="L227" s="130" t="s">
        <v>1326</v>
      </c>
      <c r="M227" s="65" t="s">
        <v>1327</v>
      </c>
    </row>
    <row r="228" spans="1:26" ht="15.75" customHeight="1" x14ac:dyDescent="0.2">
      <c r="A228" s="108">
        <v>226</v>
      </c>
      <c r="B228" s="108" t="s">
        <v>1328</v>
      </c>
      <c r="C228" s="108">
        <v>59032903</v>
      </c>
      <c r="D228" s="108" t="s">
        <v>895</v>
      </c>
      <c r="E228" s="108"/>
      <c r="F228" s="108" t="s">
        <v>1329</v>
      </c>
      <c r="G228" s="116" t="s">
        <v>501</v>
      </c>
      <c r="H228" s="88">
        <v>227</v>
      </c>
      <c r="I228" s="29"/>
      <c r="J228" s="29" t="s">
        <v>1265</v>
      </c>
      <c r="K228" s="29">
        <v>70499603</v>
      </c>
      <c r="L228" s="29" t="s">
        <v>1330</v>
      </c>
      <c r="M228" s="29" t="s">
        <v>1305</v>
      </c>
    </row>
    <row r="229" spans="1:26" ht="15.75" customHeight="1" x14ac:dyDescent="0.2">
      <c r="A229" s="108">
        <v>227</v>
      </c>
      <c r="B229" s="108" t="s">
        <v>119</v>
      </c>
      <c r="C229" s="38">
        <v>55423702</v>
      </c>
      <c r="D229" s="108" t="s">
        <v>35</v>
      </c>
      <c r="E229" s="108"/>
      <c r="F229" s="108" t="s">
        <v>1331</v>
      </c>
      <c r="G229" s="116" t="s">
        <v>1332</v>
      </c>
      <c r="H229" s="88">
        <v>228</v>
      </c>
      <c r="I229" s="29"/>
      <c r="J229" s="29" t="s">
        <v>1265</v>
      </c>
      <c r="K229" s="29">
        <v>79856703</v>
      </c>
      <c r="L229" s="29" t="s">
        <v>1333</v>
      </c>
      <c r="M229" s="29" t="s">
        <v>1334</v>
      </c>
    </row>
    <row r="230" spans="1:26" ht="15.75" customHeight="1" x14ac:dyDescent="0.2">
      <c r="A230" s="108">
        <v>228</v>
      </c>
      <c r="B230" s="108" t="s">
        <v>1335</v>
      </c>
      <c r="C230" s="38">
        <v>13738004</v>
      </c>
      <c r="D230" s="108" t="s">
        <v>895</v>
      </c>
      <c r="E230" s="108"/>
      <c r="F230" s="108" t="s">
        <v>1336</v>
      </c>
      <c r="G230" s="116" t="s">
        <v>1135</v>
      </c>
      <c r="H230" s="103">
        <v>229</v>
      </c>
      <c r="I230" s="63"/>
      <c r="J230" s="63"/>
      <c r="K230" s="63">
        <v>89181003</v>
      </c>
      <c r="L230" s="63" t="s">
        <v>1337</v>
      </c>
      <c r="M230" s="63" t="s">
        <v>1338</v>
      </c>
    </row>
    <row r="231" spans="1:26" ht="15.75" customHeight="1" x14ac:dyDescent="0.2">
      <c r="A231" s="121">
        <v>229</v>
      </c>
      <c r="B231" s="121" t="s">
        <v>1118</v>
      </c>
      <c r="C231" s="55">
        <v>60238603</v>
      </c>
      <c r="D231" s="121" t="s">
        <v>271</v>
      </c>
      <c r="E231" s="121"/>
      <c r="F231" s="121" t="s">
        <v>1339</v>
      </c>
      <c r="G231" s="122" t="s">
        <v>1292</v>
      </c>
      <c r="H231" s="88">
        <v>230</v>
      </c>
      <c r="I231" s="29"/>
      <c r="J231" s="29" t="s">
        <v>1299</v>
      </c>
      <c r="K231" s="29">
        <v>79919903</v>
      </c>
      <c r="L231" s="29" t="s">
        <v>1340</v>
      </c>
      <c r="M231" s="29" t="s">
        <v>1341</v>
      </c>
    </row>
    <row r="232" spans="1:26" ht="15.75" customHeight="1" x14ac:dyDescent="0.2">
      <c r="A232" s="108">
        <v>230</v>
      </c>
      <c r="B232" s="108" t="s">
        <v>1342</v>
      </c>
      <c r="C232" s="14">
        <v>13738004</v>
      </c>
      <c r="D232" s="108" t="s">
        <v>895</v>
      </c>
      <c r="E232" s="108"/>
      <c r="F232" s="108" t="s">
        <v>1343</v>
      </c>
      <c r="G232" s="116" t="s">
        <v>1344</v>
      </c>
      <c r="H232" s="88">
        <v>231</v>
      </c>
      <c r="I232" s="29"/>
      <c r="J232" s="29" t="s">
        <v>1265</v>
      </c>
      <c r="K232" s="29">
        <v>86015303</v>
      </c>
      <c r="L232" s="29" t="s">
        <v>1345</v>
      </c>
      <c r="M232" s="29" t="s">
        <v>1346</v>
      </c>
    </row>
    <row r="233" spans="1:26" ht="15.75" customHeight="1" x14ac:dyDescent="0.2">
      <c r="A233" s="127">
        <v>231</v>
      </c>
      <c r="B233" s="127" t="s">
        <v>665</v>
      </c>
      <c r="C233" s="14">
        <v>61872202</v>
      </c>
      <c r="D233" s="127" t="s">
        <v>895</v>
      </c>
      <c r="E233" s="127"/>
      <c r="F233" s="127" t="s">
        <v>1347</v>
      </c>
      <c r="G233" s="128" t="s">
        <v>892</v>
      </c>
      <c r="H233" s="133">
        <v>232</v>
      </c>
      <c r="I233" s="61"/>
      <c r="J233" s="61" t="s">
        <v>1265</v>
      </c>
      <c r="K233" s="61">
        <v>70806303</v>
      </c>
      <c r="L233" s="61" t="s">
        <v>1348</v>
      </c>
      <c r="M233" s="61" t="s">
        <v>1349</v>
      </c>
      <c r="N233" s="36"/>
      <c r="O233" s="36"/>
      <c r="P233" s="36"/>
      <c r="Q233" s="36"/>
      <c r="R233" s="36"/>
      <c r="S233" s="36"/>
      <c r="T233" s="36"/>
      <c r="U233" s="36"/>
      <c r="V233" s="36"/>
      <c r="W233" s="36"/>
      <c r="X233" s="36"/>
      <c r="Y233" s="36"/>
      <c r="Z233" s="36"/>
    </row>
    <row r="234" spans="1:26" ht="15.75" customHeight="1" x14ac:dyDescent="0.2">
      <c r="A234" s="134">
        <v>232</v>
      </c>
      <c r="B234" s="134" t="s">
        <v>669</v>
      </c>
      <c r="C234" s="55">
        <v>63765702</v>
      </c>
      <c r="D234" s="134" t="s">
        <v>35</v>
      </c>
      <c r="E234" s="134"/>
      <c r="F234" s="134" t="s">
        <v>1350</v>
      </c>
      <c r="G234" s="135" t="s">
        <v>1351</v>
      </c>
      <c r="H234" s="133">
        <v>233</v>
      </c>
      <c r="I234" s="61"/>
      <c r="J234" s="61" t="s">
        <v>1352</v>
      </c>
      <c r="K234" s="59">
        <v>57402303</v>
      </c>
      <c r="L234" s="61" t="s">
        <v>1353</v>
      </c>
      <c r="M234" s="61" t="s">
        <v>1354</v>
      </c>
      <c r="N234" s="36"/>
      <c r="O234" s="36"/>
      <c r="P234" s="36"/>
      <c r="Q234" s="36"/>
      <c r="R234" s="36"/>
      <c r="S234" s="36"/>
      <c r="T234" s="36"/>
      <c r="U234" s="36"/>
      <c r="V234" s="36"/>
      <c r="W234" s="36"/>
      <c r="X234" s="36"/>
      <c r="Y234" s="36"/>
      <c r="Z234" s="36"/>
    </row>
    <row r="235" spans="1:26" ht="15.75" customHeight="1" x14ac:dyDescent="0.2">
      <c r="A235" s="108">
        <v>233</v>
      </c>
      <c r="B235" s="108" t="s">
        <v>1355</v>
      </c>
      <c r="C235" s="38">
        <v>79923503</v>
      </c>
      <c r="D235" s="108" t="s">
        <v>1297</v>
      </c>
      <c r="E235" s="108"/>
      <c r="F235" s="108" t="s">
        <v>1356</v>
      </c>
      <c r="G235" s="116" t="s">
        <v>1357</v>
      </c>
      <c r="H235" s="136">
        <v>234</v>
      </c>
      <c r="I235" s="64"/>
      <c r="J235" s="64" t="s">
        <v>1352</v>
      </c>
      <c r="K235" s="65">
        <v>85360403</v>
      </c>
      <c r="L235" s="130" t="s">
        <v>4116</v>
      </c>
      <c r="M235" s="65" t="s">
        <v>1358</v>
      </c>
    </row>
    <row r="236" spans="1:26" ht="15.75" customHeight="1" x14ac:dyDescent="0.2">
      <c r="A236" s="127">
        <v>234</v>
      </c>
      <c r="B236" s="127" t="s">
        <v>1359</v>
      </c>
      <c r="C236" s="127">
        <v>39554203</v>
      </c>
      <c r="D236" s="127" t="s">
        <v>750</v>
      </c>
      <c r="E236" s="127"/>
      <c r="F236" s="127" t="s">
        <v>1360</v>
      </c>
      <c r="G236" s="128" t="s">
        <v>1361</v>
      </c>
      <c r="H236" s="126">
        <v>235</v>
      </c>
      <c r="I236" s="26"/>
      <c r="J236" s="26"/>
      <c r="K236" s="26"/>
      <c r="L236" s="26" t="s">
        <v>1362</v>
      </c>
      <c r="M236" s="26" t="s">
        <v>1363</v>
      </c>
      <c r="N236" s="36"/>
      <c r="O236" s="36"/>
      <c r="P236" s="36"/>
      <c r="Q236" s="36"/>
      <c r="R236" s="36"/>
      <c r="S236" s="36"/>
      <c r="T236" s="36"/>
      <c r="U236" s="36"/>
      <c r="V236" s="36"/>
      <c r="W236" s="36"/>
      <c r="X236" s="36"/>
      <c r="Y236" s="36"/>
      <c r="Z236" s="36"/>
    </row>
    <row r="237" spans="1:26" ht="15.75" customHeight="1" x14ac:dyDescent="0.2">
      <c r="A237" s="108">
        <v>235</v>
      </c>
      <c r="B237" s="108" t="s">
        <v>1364</v>
      </c>
      <c r="C237" s="38">
        <v>30164203</v>
      </c>
      <c r="D237" s="108" t="s">
        <v>271</v>
      </c>
      <c r="E237" s="108"/>
      <c r="F237" s="108" t="s">
        <v>1365</v>
      </c>
      <c r="G237" s="116" t="s">
        <v>1157</v>
      </c>
      <c r="H237" s="103">
        <v>236</v>
      </c>
      <c r="I237" s="63"/>
      <c r="J237" s="316" t="s">
        <v>1265</v>
      </c>
      <c r="K237" s="63">
        <v>78523303</v>
      </c>
      <c r="L237" s="316" t="s">
        <v>1366</v>
      </c>
      <c r="M237" s="316" t="s">
        <v>1367</v>
      </c>
    </row>
    <row r="238" spans="1:26" ht="15.75" customHeight="1" x14ac:dyDescent="0.2">
      <c r="A238" s="108">
        <v>236</v>
      </c>
      <c r="B238" s="108" t="s">
        <v>1368</v>
      </c>
      <c r="C238" s="38">
        <v>37389603</v>
      </c>
      <c r="D238" s="108" t="s">
        <v>271</v>
      </c>
      <c r="E238" s="108"/>
      <c r="F238" s="108" t="s">
        <v>1369</v>
      </c>
      <c r="G238" s="315" t="s">
        <v>1370</v>
      </c>
      <c r="H238" s="317">
        <v>237</v>
      </c>
      <c r="I238" s="318"/>
      <c r="J238" s="318"/>
      <c r="K238" s="318">
        <v>64922803</v>
      </c>
      <c r="L238" s="319" t="s">
        <v>4092</v>
      </c>
      <c r="M238" s="319" t="s">
        <v>4093</v>
      </c>
    </row>
    <row r="239" spans="1:26" ht="15.75" customHeight="1" x14ac:dyDescent="0.2">
      <c r="A239" s="108">
        <v>237</v>
      </c>
      <c r="B239" s="108" t="s">
        <v>1371</v>
      </c>
      <c r="C239" s="14">
        <v>31404502</v>
      </c>
      <c r="D239" s="108" t="s">
        <v>35</v>
      </c>
      <c r="E239" s="108"/>
      <c r="F239" s="108" t="s">
        <v>1372</v>
      </c>
      <c r="G239" s="315" t="s">
        <v>1373</v>
      </c>
      <c r="H239" s="317">
        <v>238</v>
      </c>
      <c r="I239" s="318"/>
      <c r="J239" s="318"/>
      <c r="K239" s="318">
        <v>24889303</v>
      </c>
      <c r="L239" s="319" t="s">
        <v>4109</v>
      </c>
      <c r="M239" s="319" t="s">
        <v>4117</v>
      </c>
    </row>
    <row r="240" spans="1:26" ht="15.75" customHeight="1" x14ac:dyDescent="0.2">
      <c r="A240" s="127">
        <v>238</v>
      </c>
      <c r="B240" s="127" t="s">
        <v>1374</v>
      </c>
      <c r="C240" s="127">
        <v>12198203</v>
      </c>
      <c r="D240" s="127" t="s">
        <v>895</v>
      </c>
      <c r="E240" s="127"/>
      <c r="F240" s="127" t="s">
        <v>1375</v>
      </c>
      <c r="G240" s="127" t="s">
        <v>1376</v>
      </c>
      <c r="H240" s="137"/>
      <c r="I240" s="36"/>
      <c r="J240" s="36"/>
      <c r="K240" s="36"/>
      <c r="L240" s="36"/>
      <c r="M240" s="36"/>
      <c r="N240" s="36"/>
      <c r="O240" s="36"/>
      <c r="P240" s="36"/>
      <c r="Q240" s="36"/>
      <c r="R240" s="36"/>
      <c r="S240" s="36"/>
      <c r="T240" s="36"/>
      <c r="U240" s="36"/>
      <c r="V240" s="36"/>
      <c r="W240" s="36"/>
      <c r="X240" s="36"/>
      <c r="Y240" s="36"/>
      <c r="Z240" s="36"/>
    </row>
    <row r="241" spans="1:26" ht="15.75" customHeight="1" x14ac:dyDescent="0.2">
      <c r="A241" s="108">
        <v>239</v>
      </c>
      <c r="B241" s="26" t="s">
        <v>1118</v>
      </c>
      <c r="C241" s="108">
        <v>79926303</v>
      </c>
      <c r="D241" s="108" t="s">
        <v>271</v>
      </c>
      <c r="E241" s="108"/>
      <c r="F241" s="108" t="s">
        <v>1377</v>
      </c>
      <c r="G241" s="108" t="s">
        <v>1378</v>
      </c>
      <c r="H241" s="79"/>
    </row>
    <row r="242" spans="1:26" ht="15.75" customHeight="1" x14ac:dyDescent="0.2">
      <c r="A242" s="108">
        <v>240</v>
      </c>
      <c r="B242" s="108" t="s">
        <v>701</v>
      </c>
      <c r="C242" s="14">
        <v>59317903</v>
      </c>
      <c r="D242" s="108" t="s">
        <v>35</v>
      </c>
      <c r="E242" s="108"/>
      <c r="F242" s="108" t="s">
        <v>1379</v>
      </c>
      <c r="G242" s="108" t="s">
        <v>994</v>
      </c>
      <c r="H242" s="79"/>
    </row>
    <row r="243" spans="1:26" ht="15.75" customHeight="1" x14ac:dyDescent="0.2">
      <c r="A243" s="108">
        <v>241</v>
      </c>
      <c r="B243" s="108" t="s">
        <v>1380</v>
      </c>
      <c r="C243" s="14">
        <v>73445703</v>
      </c>
      <c r="D243" s="108" t="s">
        <v>511</v>
      </c>
      <c r="E243" s="108"/>
      <c r="F243" s="108" t="s">
        <v>1381</v>
      </c>
      <c r="G243" s="108" t="s">
        <v>1382</v>
      </c>
      <c r="H243" s="79"/>
    </row>
    <row r="244" spans="1:26" ht="15.75" customHeight="1" x14ac:dyDescent="0.2">
      <c r="A244" s="108">
        <v>242</v>
      </c>
      <c r="B244" s="108" t="s">
        <v>1380</v>
      </c>
      <c r="C244" s="14">
        <v>82845303</v>
      </c>
      <c r="D244" s="108" t="s">
        <v>1383</v>
      </c>
      <c r="E244" s="108"/>
      <c r="F244" s="108" t="s">
        <v>1384</v>
      </c>
      <c r="G244" s="108" t="s">
        <v>1385</v>
      </c>
      <c r="H244" s="79"/>
    </row>
    <row r="245" spans="1:26" ht="15.75" customHeight="1" x14ac:dyDescent="0.2">
      <c r="A245" s="108">
        <v>243</v>
      </c>
      <c r="B245" s="108" t="s">
        <v>753</v>
      </c>
      <c r="C245" s="14">
        <v>22187603</v>
      </c>
      <c r="D245" s="108" t="s">
        <v>35</v>
      </c>
      <c r="E245" s="108"/>
      <c r="F245" s="108" t="s">
        <v>1386</v>
      </c>
      <c r="G245" s="108" t="s">
        <v>504</v>
      </c>
      <c r="H245" s="79"/>
    </row>
    <row r="246" spans="1:26" ht="15.75" customHeight="1" x14ac:dyDescent="0.2">
      <c r="A246" s="127">
        <v>241</v>
      </c>
      <c r="B246" s="127" t="s">
        <v>1387</v>
      </c>
      <c r="C246" s="14">
        <v>45366802</v>
      </c>
      <c r="D246" s="127" t="s">
        <v>895</v>
      </c>
      <c r="E246" s="127"/>
      <c r="F246" s="127" t="s">
        <v>1388</v>
      </c>
      <c r="G246" s="127" t="s">
        <v>1389</v>
      </c>
      <c r="H246" s="137"/>
      <c r="I246" s="36"/>
      <c r="J246" s="36"/>
      <c r="K246" s="36"/>
      <c r="L246" s="36"/>
      <c r="M246" s="36"/>
      <c r="N246" s="36"/>
      <c r="O246" s="36"/>
      <c r="P246" s="36"/>
      <c r="Q246" s="36"/>
      <c r="R246" s="36"/>
      <c r="S246" s="36"/>
      <c r="T246" s="36"/>
      <c r="U246" s="36"/>
      <c r="V246" s="36"/>
      <c r="W246" s="36"/>
      <c r="X246" s="36"/>
      <c r="Y246" s="36"/>
      <c r="Z246" s="36"/>
    </row>
    <row r="247" spans="1:26" ht="15.75" customHeight="1" x14ac:dyDescent="0.2">
      <c r="A247" s="127">
        <v>242</v>
      </c>
      <c r="B247" s="127" t="s">
        <v>1387</v>
      </c>
      <c r="C247" s="14">
        <v>45366502</v>
      </c>
      <c r="D247" s="127" t="s">
        <v>895</v>
      </c>
      <c r="E247" s="127"/>
      <c r="F247" s="127" t="s">
        <v>1390</v>
      </c>
      <c r="G247" s="127" t="s">
        <v>1391</v>
      </c>
      <c r="H247" s="137"/>
      <c r="I247" s="36"/>
      <c r="J247" s="36"/>
      <c r="K247" s="36"/>
      <c r="L247" s="36"/>
      <c r="M247" s="36"/>
      <c r="N247" s="36"/>
      <c r="O247" s="36"/>
      <c r="P247" s="36"/>
      <c r="Q247" s="36"/>
      <c r="R247" s="36"/>
      <c r="S247" s="36"/>
      <c r="T247" s="36"/>
      <c r="U247" s="36"/>
      <c r="V247" s="36"/>
      <c r="W247" s="36"/>
      <c r="X247" s="36"/>
      <c r="Y247" s="36"/>
      <c r="Z247" s="36"/>
    </row>
    <row r="248" spans="1:26" ht="15.75" customHeight="1" x14ac:dyDescent="0.2">
      <c r="A248" s="134">
        <v>243</v>
      </c>
      <c r="B248" s="134" t="s">
        <v>1328</v>
      </c>
      <c r="C248" s="55">
        <v>50574503</v>
      </c>
      <c r="D248" s="134" t="s">
        <v>19</v>
      </c>
      <c r="E248" s="134"/>
      <c r="F248" s="134" t="s">
        <v>1392</v>
      </c>
      <c r="G248" s="134" t="s">
        <v>937</v>
      </c>
      <c r="H248" s="137"/>
      <c r="I248" s="36"/>
      <c r="J248" s="36"/>
      <c r="K248" s="36"/>
      <c r="L248" s="36"/>
      <c r="M248" s="36"/>
      <c r="N248" s="36"/>
      <c r="O248" s="36"/>
      <c r="P248" s="36"/>
      <c r="Q248" s="36"/>
      <c r="R248" s="36"/>
      <c r="S248" s="36"/>
      <c r="T248" s="36"/>
      <c r="U248" s="36"/>
      <c r="V248" s="36"/>
      <c r="W248" s="36"/>
      <c r="X248" s="36"/>
      <c r="Y248" s="36"/>
      <c r="Z248" s="36"/>
    </row>
    <row r="249" spans="1:26" ht="15.75" customHeight="1" x14ac:dyDescent="0.2">
      <c r="A249" s="108">
        <v>244</v>
      </c>
      <c r="B249" s="108" t="s">
        <v>753</v>
      </c>
      <c r="C249" s="14">
        <v>22045903</v>
      </c>
      <c r="D249" s="108" t="s">
        <v>35</v>
      </c>
      <c r="E249" s="108"/>
      <c r="F249" s="108" t="s">
        <v>1393</v>
      </c>
      <c r="G249" s="108" t="s">
        <v>1394</v>
      </c>
      <c r="H249" s="79"/>
    </row>
    <row r="250" spans="1:26" ht="15.75" customHeight="1" x14ac:dyDescent="0.2">
      <c r="A250" s="108">
        <v>245</v>
      </c>
      <c r="B250" s="108" t="s">
        <v>1395</v>
      </c>
      <c r="C250" s="14">
        <v>17053103</v>
      </c>
      <c r="D250" s="108" t="s">
        <v>35</v>
      </c>
      <c r="E250" s="108"/>
      <c r="F250" s="108" t="s">
        <v>1396</v>
      </c>
      <c r="G250" s="108" t="s">
        <v>919</v>
      </c>
      <c r="H250" s="79"/>
    </row>
    <row r="251" spans="1:26" ht="15.75" customHeight="1" x14ac:dyDescent="0.2">
      <c r="A251" s="108">
        <v>246</v>
      </c>
      <c r="B251" s="108" t="s">
        <v>1118</v>
      </c>
      <c r="C251" s="14">
        <v>18743504</v>
      </c>
      <c r="D251" s="108" t="s">
        <v>271</v>
      </c>
      <c r="E251" s="108"/>
      <c r="F251" s="108" t="s">
        <v>1232</v>
      </c>
      <c r="G251" s="108" t="s">
        <v>1357</v>
      </c>
      <c r="H251" s="79"/>
    </row>
    <row r="252" spans="1:26" ht="15.75" customHeight="1" x14ac:dyDescent="0.2">
      <c r="A252" s="108">
        <v>247</v>
      </c>
      <c r="B252" s="108" t="s">
        <v>1118</v>
      </c>
      <c r="C252" s="14">
        <v>79918603</v>
      </c>
      <c r="D252" s="108" t="s">
        <v>271</v>
      </c>
      <c r="E252" s="108"/>
      <c r="F252" s="108" t="s">
        <v>1397</v>
      </c>
      <c r="G252" s="108" t="s">
        <v>1398</v>
      </c>
      <c r="H252" s="79"/>
    </row>
    <row r="253" spans="1:26" ht="15.75" customHeight="1" x14ac:dyDescent="0.2">
      <c r="A253" s="108">
        <v>248</v>
      </c>
      <c r="B253" s="108" t="s">
        <v>1399</v>
      </c>
      <c r="C253" s="14">
        <v>37379003</v>
      </c>
      <c r="D253" s="108" t="s">
        <v>1247</v>
      </c>
      <c r="E253" s="108"/>
      <c r="F253" s="108" t="s">
        <v>1400</v>
      </c>
      <c r="G253" s="108" t="s">
        <v>1398</v>
      </c>
      <c r="H253" s="79"/>
    </row>
    <row r="254" spans="1:26" ht="15.75" customHeight="1" x14ac:dyDescent="0.2">
      <c r="A254" s="108">
        <v>249</v>
      </c>
      <c r="B254" s="108" t="s">
        <v>1401</v>
      </c>
      <c r="C254" s="14">
        <v>85423003</v>
      </c>
      <c r="D254" s="108" t="s">
        <v>1297</v>
      </c>
      <c r="E254" s="108"/>
      <c r="F254" s="108" t="s">
        <v>1402</v>
      </c>
      <c r="G254" s="108" t="s">
        <v>524</v>
      </c>
      <c r="H254" s="79"/>
    </row>
    <row r="255" spans="1:26" ht="15.75" customHeight="1" x14ac:dyDescent="0.2">
      <c r="A255" s="108">
        <v>250</v>
      </c>
      <c r="B255" s="108" t="s">
        <v>1403</v>
      </c>
      <c r="C255" s="14">
        <v>73456703</v>
      </c>
      <c r="D255" s="108" t="s">
        <v>35</v>
      </c>
      <c r="E255" s="108"/>
      <c r="F255" s="108" t="s">
        <v>1404</v>
      </c>
      <c r="G255" s="108" t="s">
        <v>1071</v>
      </c>
      <c r="H255" s="79"/>
    </row>
    <row r="256" spans="1:26" ht="15.75" customHeight="1" x14ac:dyDescent="0.2">
      <c r="A256" s="108">
        <v>251</v>
      </c>
      <c r="B256" s="108" t="s">
        <v>753</v>
      </c>
      <c r="C256" s="14">
        <v>52150302</v>
      </c>
      <c r="D256" s="108" t="s">
        <v>511</v>
      </c>
      <c r="E256" s="108"/>
      <c r="F256" s="108" t="s">
        <v>1405</v>
      </c>
      <c r="G256" s="108" t="s">
        <v>1406</v>
      </c>
      <c r="H256" s="79"/>
    </row>
    <row r="257" spans="1:8" ht="15.75" customHeight="1" x14ac:dyDescent="0.2">
      <c r="A257" s="108">
        <v>252</v>
      </c>
      <c r="B257" s="108" t="s">
        <v>1355</v>
      </c>
      <c r="C257" s="14">
        <v>77419503</v>
      </c>
      <c r="D257" s="108" t="s">
        <v>271</v>
      </c>
      <c r="E257" s="108"/>
      <c r="F257" s="108" t="s">
        <v>1407</v>
      </c>
      <c r="G257" s="108" t="s">
        <v>1064</v>
      </c>
      <c r="H257" s="79"/>
    </row>
    <row r="258" spans="1:8" ht="15.75" customHeight="1" x14ac:dyDescent="0.2">
      <c r="A258" s="108">
        <v>253</v>
      </c>
      <c r="B258" s="108" t="s">
        <v>1408</v>
      </c>
      <c r="C258" s="14">
        <v>31404802</v>
      </c>
      <c r="D258" s="108" t="s">
        <v>511</v>
      </c>
      <c r="E258" s="108"/>
      <c r="F258" s="108" t="s">
        <v>1409</v>
      </c>
      <c r="G258" s="108" t="s">
        <v>1410</v>
      </c>
      <c r="H258" s="79"/>
    </row>
    <row r="259" spans="1:8" ht="15.75" customHeight="1" x14ac:dyDescent="0.2">
      <c r="A259" s="108">
        <v>254</v>
      </c>
      <c r="B259" s="108" t="s">
        <v>1411</v>
      </c>
      <c r="C259" s="26">
        <v>42932903</v>
      </c>
      <c r="D259" s="108" t="s">
        <v>1247</v>
      </c>
      <c r="E259" s="108"/>
      <c r="F259" s="108" t="s">
        <v>1240</v>
      </c>
      <c r="G259" s="108" t="s">
        <v>1378</v>
      </c>
      <c r="H259" s="79"/>
    </row>
    <row r="260" spans="1:8" ht="15.75" customHeight="1" x14ac:dyDescent="0.2">
      <c r="A260" s="108">
        <v>255</v>
      </c>
      <c r="B260" s="108" t="s">
        <v>707</v>
      </c>
      <c r="C260" s="14">
        <v>20036203</v>
      </c>
      <c r="D260" s="108" t="s">
        <v>587</v>
      </c>
      <c r="E260" s="108"/>
      <c r="F260" s="108" t="s">
        <v>1412</v>
      </c>
      <c r="G260" s="108" t="s">
        <v>613</v>
      </c>
      <c r="H260" s="79"/>
    </row>
    <row r="261" spans="1:8" ht="15.75" customHeight="1" x14ac:dyDescent="0.2">
      <c r="A261" s="108">
        <v>256</v>
      </c>
      <c r="B261" s="108" t="s">
        <v>1364</v>
      </c>
      <c r="C261" s="14">
        <v>30108503</v>
      </c>
      <c r="D261" s="108" t="s">
        <v>1297</v>
      </c>
      <c r="E261" s="108"/>
      <c r="F261" s="108" t="s">
        <v>1413</v>
      </c>
      <c r="G261" s="108" t="s">
        <v>1157</v>
      </c>
      <c r="H261" s="79"/>
    </row>
    <row r="262" spans="1:8" ht="15.75" customHeight="1" x14ac:dyDescent="0.2">
      <c r="A262" s="108">
        <v>257</v>
      </c>
      <c r="B262" s="108" t="s">
        <v>917</v>
      </c>
      <c r="C262" s="108">
        <v>83774102</v>
      </c>
      <c r="D262" s="108" t="s">
        <v>511</v>
      </c>
      <c r="E262" s="108"/>
      <c r="F262" s="108" t="s">
        <v>1414</v>
      </c>
      <c r="G262" s="108" t="s">
        <v>1415</v>
      </c>
      <c r="H262" s="79"/>
    </row>
    <row r="263" spans="1:8" ht="15.75" customHeight="1" x14ac:dyDescent="0.2">
      <c r="A263" s="108">
        <v>258</v>
      </c>
      <c r="B263" s="108" t="s">
        <v>753</v>
      </c>
      <c r="C263" s="14">
        <v>21705703</v>
      </c>
      <c r="D263" s="108" t="s">
        <v>511</v>
      </c>
      <c r="E263" s="108"/>
      <c r="F263" s="108" t="s">
        <v>1416</v>
      </c>
      <c r="G263" s="108" t="s">
        <v>1417</v>
      </c>
      <c r="H263" s="79"/>
    </row>
    <row r="264" spans="1:8" ht="15.75" customHeight="1" x14ac:dyDescent="0.2">
      <c r="A264" s="121">
        <v>259</v>
      </c>
      <c r="B264" s="121" t="s">
        <v>753</v>
      </c>
      <c r="C264" s="55">
        <v>21898003</v>
      </c>
      <c r="D264" s="121" t="s">
        <v>511</v>
      </c>
      <c r="E264" s="121"/>
      <c r="F264" s="121" t="s">
        <v>1418</v>
      </c>
      <c r="G264" s="121" t="s">
        <v>1419</v>
      </c>
      <c r="H264" s="79"/>
    </row>
    <row r="265" spans="1:8" ht="15.75" customHeight="1" x14ac:dyDescent="0.2">
      <c r="A265" s="108">
        <v>260</v>
      </c>
      <c r="B265" s="108" t="s">
        <v>1355</v>
      </c>
      <c r="C265" s="14">
        <v>30629104</v>
      </c>
      <c r="D265" s="108" t="s">
        <v>750</v>
      </c>
      <c r="E265" s="108"/>
      <c r="F265" s="108" t="s">
        <v>1420</v>
      </c>
      <c r="G265" s="108" t="s">
        <v>1421</v>
      </c>
      <c r="H265" s="79"/>
    </row>
    <row r="266" spans="1:8" ht="15.75" customHeight="1" x14ac:dyDescent="0.2">
      <c r="A266" s="108">
        <v>261</v>
      </c>
      <c r="B266" s="108" t="s">
        <v>1422</v>
      </c>
      <c r="C266" s="14">
        <v>34097603</v>
      </c>
      <c r="D266" s="108" t="s">
        <v>750</v>
      </c>
      <c r="E266" s="108"/>
      <c r="F266" s="108" t="s">
        <v>1423</v>
      </c>
      <c r="G266" s="108" t="s">
        <v>1424</v>
      </c>
      <c r="H266" s="79"/>
    </row>
    <row r="267" spans="1:8" ht="15.75" customHeight="1" x14ac:dyDescent="0.2">
      <c r="A267" s="108">
        <v>262</v>
      </c>
      <c r="B267" s="108" t="s">
        <v>1425</v>
      </c>
      <c r="C267" s="14">
        <v>85045602</v>
      </c>
      <c r="D267" s="108" t="s">
        <v>750</v>
      </c>
      <c r="E267" s="108"/>
      <c r="F267" s="108" t="s">
        <v>1426</v>
      </c>
      <c r="G267" s="108" t="s">
        <v>1427</v>
      </c>
      <c r="H267" s="79"/>
    </row>
    <row r="268" spans="1:8" ht="15.75" customHeight="1" x14ac:dyDescent="0.2">
      <c r="A268" s="116">
        <v>263</v>
      </c>
      <c r="B268" s="108" t="s">
        <v>1428</v>
      </c>
      <c r="C268" s="14">
        <v>63109602</v>
      </c>
      <c r="D268" s="108" t="s">
        <v>511</v>
      </c>
      <c r="E268" s="108"/>
      <c r="F268" s="108" t="s">
        <v>1429</v>
      </c>
      <c r="G268" s="108" t="s">
        <v>1430</v>
      </c>
      <c r="H268" s="79"/>
    </row>
    <row r="269" spans="1:8" ht="15.75" customHeight="1" x14ac:dyDescent="0.2">
      <c r="A269" s="108">
        <v>264</v>
      </c>
      <c r="B269" s="108" t="s">
        <v>1431</v>
      </c>
      <c r="C269" s="14">
        <v>36430104</v>
      </c>
      <c r="D269" s="108" t="s">
        <v>750</v>
      </c>
      <c r="E269" s="108"/>
      <c r="F269" s="108" t="s">
        <v>1432</v>
      </c>
      <c r="G269" s="108" t="s">
        <v>1433</v>
      </c>
      <c r="H269" s="79"/>
    </row>
    <row r="270" spans="1:8" ht="15.75" customHeight="1" x14ac:dyDescent="0.2">
      <c r="A270" s="108">
        <v>265</v>
      </c>
      <c r="B270" s="108" t="s">
        <v>1434</v>
      </c>
      <c r="C270" s="108">
        <v>40399103</v>
      </c>
      <c r="D270" s="108" t="s">
        <v>511</v>
      </c>
      <c r="E270" s="108"/>
      <c r="F270" s="108" t="s">
        <v>1435</v>
      </c>
      <c r="G270" s="108" t="s">
        <v>596</v>
      </c>
      <c r="H270" s="79"/>
    </row>
    <row r="271" spans="1:8" ht="15.75" customHeight="1" x14ac:dyDescent="0.2">
      <c r="A271" s="121">
        <v>266</v>
      </c>
      <c r="B271" s="121" t="s">
        <v>1436</v>
      </c>
      <c r="C271" s="121">
        <v>65388703</v>
      </c>
      <c r="D271" s="121" t="s">
        <v>511</v>
      </c>
      <c r="E271" s="121"/>
      <c r="F271" s="121" t="s">
        <v>1437</v>
      </c>
      <c r="G271" s="121" t="s">
        <v>1438</v>
      </c>
      <c r="H271" s="79"/>
    </row>
    <row r="272" spans="1:8" ht="15.75" customHeight="1" x14ac:dyDescent="0.2">
      <c r="A272" s="138">
        <v>267</v>
      </c>
      <c r="B272" s="138" t="s">
        <v>1439</v>
      </c>
      <c r="C272" s="138">
        <v>44480903</v>
      </c>
      <c r="D272" s="138" t="s">
        <v>35</v>
      </c>
      <c r="E272" s="122"/>
      <c r="F272" s="138" t="s">
        <v>1440</v>
      </c>
      <c r="G272" s="139" t="s">
        <v>618</v>
      </c>
      <c r="H272" s="79"/>
    </row>
    <row r="273" spans="1:8" ht="15.75" customHeight="1" x14ac:dyDescent="0.2">
      <c r="A273" s="121">
        <v>268</v>
      </c>
      <c r="B273" s="121" t="s">
        <v>1328</v>
      </c>
      <c r="C273" s="121">
        <v>83027002</v>
      </c>
      <c r="D273" s="121" t="s">
        <v>19</v>
      </c>
      <c r="E273" s="121"/>
      <c r="F273" s="121" t="s">
        <v>1441</v>
      </c>
      <c r="G273" s="121" t="s">
        <v>572</v>
      </c>
      <c r="H273" s="79"/>
    </row>
    <row r="274" spans="1:8" ht="15.75" customHeight="1" x14ac:dyDescent="0.2">
      <c r="A274" s="121">
        <v>269</v>
      </c>
      <c r="B274" s="121" t="s">
        <v>1411</v>
      </c>
      <c r="C274" s="55">
        <v>19398803</v>
      </c>
      <c r="D274" s="121" t="s">
        <v>1442</v>
      </c>
      <c r="E274" s="121"/>
      <c r="F274" s="121" t="s">
        <v>1443</v>
      </c>
      <c r="G274" s="121" t="s">
        <v>1444</v>
      </c>
      <c r="H274" s="79"/>
    </row>
    <row r="275" spans="1:8" ht="15.75" customHeight="1" x14ac:dyDescent="0.2">
      <c r="A275" s="108">
        <v>270</v>
      </c>
      <c r="B275" s="108" t="s">
        <v>1445</v>
      </c>
      <c r="C275" s="108">
        <v>62738203</v>
      </c>
      <c r="D275" s="108" t="s">
        <v>1239</v>
      </c>
      <c r="E275" s="108"/>
      <c r="F275" s="108" t="s">
        <v>1446</v>
      </c>
      <c r="G275" s="108" t="s">
        <v>1398</v>
      </c>
      <c r="H275" s="79"/>
    </row>
    <row r="276" spans="1:8" ht="15.75" customHeight="1" x14ac:dyDescent="0.2">
      <c r="A276" s="108">
        <v>271</v>
      </c>
      <c r="B276" s="108" t="s">
        <v>1395</v>
      </c>
      <c r="C276" s="108">
        <v>43748203</v>
      </c>
      <c r="D276" s="108" t="s">
        <v>511</v>
      </c>
      <c r="E276" s="108"/>
      <c r="F276" s="108" t="s">
        <v>1447</v>
      </c>
      <c r="G276" s="108" t="s">
        <v>1448</v>
      </c>
      <c r="H276" s="79"/>
    </row>
    <row r="277" spans="1:8" ht="15.75" customHeight="1" x14ac:dyDescent="0.2">
      <c r="A277" s="108">
        <v>273</v>
      </c>
      <c r="B277" s="108" t="s">
        <v>1328</v>
      </c>
      <c r="C277" s="14">
        <v>50258603</v>
      </c>
      <c r="D277" s="108" t="s">
        <v>19</v>
      </c>
      <c r="E277" s="108"/>
      <c r="F277" s="108" t="s">
        <v>1449</v>
      </c>
      <c r="G277" s="108" t="s">
        <v>1450</v>
      </c>
      <c r="H277" s="79"/>
    </row>
    <row r="278" spans="1:8" ht="15.75" customHeight="1" x14ac:dyDescent="0.2">
      <c r="A278" s="108">
        <v>274</v>
      </c>
      <c r="B278" s="108" t="s">
        <v>1422</v>
      </c>
      <c r="C278" s="14">
        <v>24890703</v>
      </c>
      <c r="D278" s="108" t="s">
        <v>750</v>
      </c>
      <c r="E278" s="108"/>
      <c r="F278" s="108" t="s">
        <v>1451</v>
      </c>
      <c r="G278" s="108" t="s">
        <v>1338</v>
      </c>
      <c r="H278" s="79"/>
    </row>
    <row r="279" spans="1:8" ht="15.75" customHeight="1" x14ac:dyDescent="0.2">
      <c r="A279" s="108">
        <v>275</v>
      </c>
      <c r="B279" s="108" t="s">
        <v>1250</v>
      </c>
      <c r="C279" s="14">
        <v>59347603</v>
      </c>
      <c r="D279" s="108" t="s">
        <v>511</v>
      </c>
      <c r="E279" s="108"/>
      <c r="F279" s="108" t="s">
        <v>1452</v>
      </c>
      <c r="G279" s="108" t="s">
        <v>305</v>
      </c>
      <c r="H279" s="79"/>
    </row>
    <row r="280" spans="1:8" ht="15.75" customHeight="1" x14ac:dyDescent="0.2">
      <c r="A280" s="121">
        <v>276</v>
      </c>
      <c r="B280" s="121" t="s">
        <v>1425</v>
      </c>
      <c r="C280" s="121">
        <v>85045702</v>
      </c>
      <c r="D280" s="121" t="s">
        <v>750</v>
      </c>
      <c r="E280" s="121"/>
      <c r="F280" s="121" t="s">
        <v>1453</v>
      </c>
      <c r="G280" s="121" t="s">
        <v>1454</v>
      </c>
      <c r="H280" s="79"/>
    </row>
    <row r="281" spans="1:8" ht="15.75" customHeight="1" x14ac:dyDescent="0.2">
      <c r="A281" s="108">
        <v>277</v>
      </c>
      <c r="B281" s="108" t="s">
        <v>1455</v>
      </c>
      <c r="C281" s="108">
        <v>49136704</v>
      </c>
      <c r="D281" s="108" t="s">
        <v>587</v>
      </c>
      <c r="E281" s="108"/>
      <c r="F281" s="108" t="s">
        <v>1456</v>
      </c>
      <c r="G281" s="108" t="s">
        <v>892</v>
      </c>
      <c r="H281" s="79"/>
    </row>
    <row r="282" spans="1:8" ht="15.75" customHeight="1" x14ac:dyDescent="0.2">
      <c r="A282" s="108">
        <v>278</v>
      </c>
      <c r="B282" s="108" t="s">
        <v>1455</v>
      </c>
      <c r="C282" s="108">
        <v>55223204</v>
      </c>
      <c r="D282" s="108" t="s">
        <v>750</v>
      </c>
      <c r="E282" s="108"/>
      <c r="F282" s="108" t="s">
        <v>1457</v>
      </c>
      <c r="G282" s="108" t="s">
        <v>1458</v>
      </c>
      <c r="H282" s="79"/>
    </row>
    <row r="283" spans="1:8" ht="15.75" customHeight="1" x14ac:dyDescent="0.2">
      <c r="A283" s="108">
        <v>279</v>
      </c>
      <c r="B283" s="108" t="s">
        <v>1459</v>
      </c>
      <c r="C283" s="108">
        <v>87962203</v>
      </c>
      <c r="D283" s="108" t="s">
        <v>587</v>
      </c>
      <c r="E283" s="108"/>
      <c r="F283" s="108" t="s">
        <v>1460</v>
      </c>
      <c r="G283" s="108" t="s">
        <v>1344</v>
      </c>
      <c r="H283" s="79"/>
    </row>
    <row r="284" spans="1:8" ht="15.75" customHeight="1" x14ac:dyDescent="0.2">
      <c r="A284" s="108">
        <v>280</v>
      </c>
      <c r="B284" s="108" t="s">
        <v>1296</v>
      </c>
      <c r="C284" s="108">
        <v>67829803</v>
      </c>
      <c r="D284" s="108" t="s">
        <v>750</v>
      </c>
      <c r="E284" s="108"/>
      <c r="F284" s="108" t="s">
        <v>1461</v>
      </c>
      <c r="G284" s="108" t="s">
        <v>1361</v>
      </c>
      <c r="H284" s="79"/>
    </row>
    <row r="285" spans="1:8" ht="15.75" customHeight="1" x14ac:dyDescent="0.2">
      <c r="A285" s="108">
        <v>281</v>
      </c>
      <c r="B285" s="108" t="s">
        <v>707</v>
      </c>
      <c r="C285" s="14">
        <v>24889403</v>
      </c>
      <c r="D285" s="108" t="s">
        <v>750</v>
      </c>
      <c r="E285" s="108"/>
      <c r="F285" s="108" t="s">
        <v>1462</v>
      </c>
      <c r="G285" s="108" t="s">
        <v>1463</v>
      </c>
      <c r="H285" s="79"/>
    </row>
    <row r="286" spans="1:8" ht="15.75" customHeight="1" x14ac:dyDescent="0.2">
      <c r="A286" s="108">
        <v>282</v>
      </c>
      <c r="B286" s="108" t="s">
        <v>1328</v>
      </c>
      <c r="C286" s="108">
        <v>59032903</v>
      </c>
      <c r="D286" s="108" t="s">
        <v>19</v>
      </c>
      <c r="E286" s="108"/>
      <c r="F286" s="108" t="s">
        <v>1464</v>
      </c>
      <c r="G286" s="108" t="s">
        <v>1292</v>
      </c>
      <c r="H286" s="79"/>
    </row>
    <row r="287" spans="1:8" ht="15.75" customHeight="1" x14ac:dyDescent="0.2">
      <c r="A287" s="121">
        <v>283</v>
      </c>
      <c r="B287" s="121" t="s">
        <v>1465</v>
      </c>
      <c r="C287" s="121">
        <v>66259303</v>
      </c>
      <c r="D287" s="121" t="s">
        <v>750</v>
      </c>
      <c r="E287" s="121"/>
      <c r="F287" s="121" t="s">
        <v>1466</v>
      </c>
      <c r="G287" s="121" t="s">
        <v>1467</v>
      </c>
      <c r="H287" s="79"/>
    </row>
    <row r="288" spans="1:8" ht="15.75" customHeight="1" x14ac:dyDescent="0.2">
      <c r="A288" s="108">
        <v>284</v>
      </c>
      <c r="B288" s="108" t="s">
        <v>1468</v>
      </c>
      <c r="C288" s="108">
        <v>73445703</v>
      </c>
      <c r="D288" s="108" t="s">
        <v>35</v>
      </c>
      <c r="E288" s="108"/>
      <c r="F288" s="108" t="s">
        <v>1469</v>
      </c>
      <c r="G288" s="108" t="s">
        <v>1385</v>
      </c>
      <c r="H288" s="79"/>
    </row>
    <row r="289" spans="1:26" ht="15.75" customHeight="1" x14ac:dyDescent="0.2">
      <c r="A289" s="108">
        <v>285</v>
      </c>
      <c r="B289" s="108" t="s">
        <v>1470</v>
      </c>
      <c r="C289" s="14">
        <v>43747603</v>
      </c>
      <c r="D289" s="108" t="s">
        <v>750</v>
      </c>
      <c r="E289" s="108"/>
      <c r="F289" s="108" t="s">
        <v>1471</v>
      </c>
      <c r="G289" s="108" t="s">
        <v>1275</v>
      </c>
      <c r="H289" s="79"/>
    </row>
    <row r="290" spans="1:26" ht="15.75" customHeight="1" x14ac:dyDescent="0.2">
      <c r="A290" s="127">
        <v>286</v>
      </c>
      <c r="B290" s="127" t="s">
        <v>1422</v>
      </c>
      <c r="C290" s="14">
        <v>24969803</v>
      </c>
      <c r="D290" s="127" t="s">
        <v>750</v>
      </c>
      <c r="E290" s="127"/>
      <c r="F290" s="127" t="s">
        <v>1472</v>
      </c>
      <c r="G290" s="127" t="s">
        <v>1053</v>
      </c>
      <c r="H290" s="137"/>
      <c r="I290" s="36"/>
      <c r="J290" s="36"/>
      <c r="K290" s="36"/>
      <c r="L290" s="36"/>
      <c r="M290" s="36"/>
      <c r="N290" s="36"/>
      <c r="O290" s="36"/>
      <c r="P290" s="36"/>
      <c r="Q290" s="36"/>
      <c r="R290" s="36"/>
      <c r="S290" s="36"/>
      <c r="T290" s="36"/>
      <c r="U290" s="36"/>
      <c r="V290" s="36"/>
      <c r="W290" s="36"/>
      <c r="X290" s="36"/>
      <c r="Y290" s="36"/>
      <c r="Z290" s="36"/>
    </row>
    <row r="291" spans="1:26" ht="15.75" customHeight="1" x14ac:dyDescent="0.2">
      <c r="A291" s="108">
        <v>287</v>
      </c>
      <c r="B291" s="108" t="s">
        <v>1473</v>
      </c>
      <c r="C291" s="14">
        <v>60496104</v>
      </c>
      <c r="D291" s="108" t="s">
        <v>750</v>
      </c>
      <c r="E291" s="108"/>
      <c r="F291" s="108" t="s">
        <v>1474</v>
      </c>
      <c r="G291" s="108" t="s">
        <v>572</v>
      </c>
      <c r="H291" s="79"/>
    </row>
    <row r="292" spans="1:26" ht="15.75" customHeight="1" x14ac:dyDescent="0.2">
      <c r="A292" s="108">
        <v>288</v>
      </c>
      <c r="B292" s="108" t="s">
        <v>707</v>
      </c>
      <c r="C292" s="14">
        <v>24889103</v>
      </c>
      <c r="D292" s="108" t="s">
        <v>750</v>
      </c>
      <c r="E292" s="108"/>
      <c r="F292" s="108" t="s">
        <v>1475</v>
      </c>
      <c r="G292" s="108" t="s">
        <v>1476</v>
      </c>
      <c r="H292" s="79"/>
    </row>
    <row r="293" spans="1:26" ht="15.75" customHeight="1" x14ac:dyDescent="0.2">
      <c r="A293" s="108">
        <v>289</v>
      </c>
      <c r="B293" s="108" t="s">
        <v>1477</v>
      </c>
      <c r="C293" s="14">
        <v>33166003</v>
      </c>
      <c r="D293" s="108" t="s">
        <v>587</v>
      </c>
      <c r="E293" s="108"/>
      <c r="F293" s="108" t="s">
        <v>1478</v>
      </c>
      <c r="G293" s="108" t="s">
        <v>524</v>
      </c>
      <c r="H293" s="79"/>
    </row>
    <row r="294" spans="1:26" ht="15.75" customHeight="1" x14ac:dyDescent="0.2">
      <c r="A294" s="121">
        <v>290</v>
      </c>
      <c r="B294" s="121" t="s">
        <v>707</v>
      </c>
      <c r="C294" s="121">
        <v>24969503</v>
      </c>
      <c r="D294" s="121" t="s">
        <v>587</v>
      </c>
      <c r="E294" s="121"/>
      <c r="F294" s="121" t="s">
        <v>1479</v>
      </c>
      <c r="G294" s="121" t="s">
        <v>846</v>
      </c>
      <c r="H294" s="79"/>
    </row>
    <row r="295" spans="1:26" ht="15.75" customHeight="1" x14ac:dyDescent="0.2">
      <c r="A295" s="121">
        <v>291</v>
      </c>
      <c r="B295" s="121" t="s">
        <v>1118</v>
      </c>
      <c r="C295" s="121">
        <v>18745504</v>
      </c>
      <c r="D295" s="121" t="s">
        <v>271</v>
      </c>
      <c r="E295" s="121"/>
      <c r="F295" s="121" t="s">
        <v>1480</v>
      </c>
      <c r="G295" s="121" t="s">
        <v>1481</v>
      </c>
      <c r="H295" s="79"/>
    </row>
    <row r="296" spans="1:26" ht="15.75" customHeight="1" x14ac:dyDescent="0.2">
      <c r="A296" s="324">
        <v>292</v>
      </c>
      <c r="B296" s="324" t="s">
        <v>1395</v>
      </c>
      <c r="C296" s="325">
        <v>43748303</v>
      </c>
      <c r="D296" s="324" t="s">
        <v>511</v>
      </c>
      <c r="E296" s="324"/>
      <c r="F296" s="324" t="s">
        <v>4101</v>
      </c>
      <c r="G296" s="324" t="s">
        <v>835</v>
      </c>
      <c r="H296" s="79"/>
    </row>
    <row r="297" spans="1:26" ht="15.75" customHeight="1" x14ac:dyDescent="0.2">
      <c r="A297" s="324">
        <v>293</v>
      </c>
      <c r="B297" s="324"/>
      <c r="C297" s="324">
        <v>24889303</v>
      </c>
      <c r="D297" s="324" t="s">
        <v>750</v>
      </c>
      <c r="E297" s="324"/>
      <c r="F297" s="324" t="s">
        <v>4110</v>
      </c>
      <c r="G297" s="324" t="s">
        <v>3667</v>
      </c>
      <c r="H297" s="79"/>
    </row>
    <row r="298" spans="1:26" ht="15.75" customHeight="1" x14ac:dyDescent="0.2">
      <c r="A298" s="324">
        <v>295</v>
      </c>
      <c r="B298" s="324" t="s">
        <v>707</v>
      </c>
      <c r="C298" s="325">
        <v>34002703</v>
      </c>
      <c r="D298" s="324" t="s">
        <v>587</v>
      </c>
      <c r="E298" s="324"/>
      <c r="F298" s="339" t="s">
        <v>4115</v>
      </c>
      <c r="G298" s="324" t="s">
        <v>4114</v>
      </c>
      <c r="H298" s="79"/>
    </row>
    <row r="299" spans="1:26" ht="15.75" customHeight="1" x14ac:dyDescent="0.2">
      <c r="A299" s="324">
        <v>296</v>
      </c>
      <c r="B299" s="339" t="s">
        <v>4121</v>
      </c>
      <c r="C299" s="340">
        <v>73445703</v>
      </c>
      <c r="D299" s="339" t="s">
        <v>511</v>
      </c>
      <c r="E299" s="324"/>
      <c r="F299" s="339" t="s">
        <v>4122</v>
      </c>
      <c r="G299" s="339" t="s">
        <v>4120</v>
      </c>
      <c r="H299" s="79"/>
    </row>
    <row r="300" spans="1:26" ht="15.75" customHeight="1" x14ac:dyDescent="0.2">
      <c r="A300" s="324">
        <v>297</v>
      </c>
      <c r="B300" s="339" t="s">
        <v>1422</v>
      </c>
      <c r="C300" s="325">
        <v>24889203</v>
      </c>
      <c r="D300" s="339" t="s">
        <v>587</v>
      </c>
      <c r="E300" s="324"/>
      <c r="F300" s="339" t="s">
        <v>4125</v>
      </c>
      <c r="G300" s="339" t="s">
        <v>3618</v>
      </c>
      <c r="H300" s="79"/>
    </row>
    <row r="301" spans="1:26" ht="15.75" customHeight="1" x14ac:dyDescent="0.2">
      <c r="A301" s="324">
        <v>298</v>
      </c>
      <c r="B301" s="339" t="s">
        <v>1395</v>
      </c>
      <c r="C301" s="325">
        <v>54818003</v>
      </c>
      <c r="D301" s="339" t="s">
        <v>587</v>
      </c>
      <c r="E301" s="324"/>
      <c r="F301" s="339" t="s">
        <v>4127</v>
      </c>
      <c r="G301" s="339" t="s">
        <v>860</v>
      </c>
      <c r="H301" s="79"/>
    </row>
    <row r="302" spans="1:26" ht="15.75" customHeight="1" x14ac:dyDescent="0.2">
      <c r="A302" s="324">
        <v>299</v>
      </c>
      <c r="B302" s="339" t="s">
        <v>1395</v>
      </c>
      <c r="C302" s="325">
        <v>17053003</v>
      </c>
      <c r="D302" s="339" t="s">
        <v>35</v>
      </c>
      <c r="E302" s="324"/>
      <c r="F302" s="339" t="s">
        <v>4129</v>
      </c>
      <c r="G302" s="339" t="s">
        <v>666</v>
      </c>
      <c r="H302" s="79"/>
    </row>
    <row r="303" spans="1:26" ht="15.75" customHeight="1" x14ac:dyDescent="0.2">
      <c r="A303" s="76"/>
      <c r="B303" s="76"/>
      <c r="C303" s="76"/>
      <c r="D303" s="76"/>
      <c r="E303" s="76"/>
      <c r="F303" s="76"/>
      <c r="G303" s="76"/>
      <c r="H303" s="79"/>
    </row>
    <row r="304" spans="1:26" ht="15.75" customHeight="1" x14ac:dyDescent="0.2">
      <c r="A304" s="76"/>
      <c r="B304" s="76"/>
      <c r="C304" s="76"/>
      <c r="D304" s="76"/>
      <c r="E304" s="76"/>
      <c r="F304" s="76"/>
      <c r="G304" s="76"/>
      <c r="H304" s="79"/>
    </row>
    <row r="305" spans="1:8" ht="15.75" customHeight="1" x14ac:dyDescent="0.2">
      <c r="A305" s="76"/>
      <c r="B305" s="76"/>
      <c r="C305" s="76"/>
      <c r="D305" s="76"/>
      <c r="E305" s="76"/>
      <c r="F305" s="76"/>
      <c r="G305" s="76"/>
      <c r="H305" s="79"/>
    </row>
    <row r="306" spans="1:8" ht="15.75" customHeight="1" x14ac:dyDescent="0.2">
      <c r="A306" s="76"/>
      <c r="B306" s="76"/>
      <c r="C306" s="76"/>
      <c r="D306" s="76"/>
      <c r="E306" s="76"/>
      <c r="F306" s="76"/>
      <c r="G306" s="76"/>
      <c r="H306" s="79"/>
    </row>
    <row r="307" spans="1:8" ht="15.75" customHeight="1" x14ac:dyDescent="0.2">
      <c r="A307" s="76"/>
      <c r="B307" s="76"/>
      <c r="C307" s="76"/>
      <c r="D307" s="76"/>
      <c r="E307" s="76"/>
      <c r="F307" s="76"/>
      <c r="G307" s="76"/>
      <c r="H307" s="79"/>
    </row>
    <row r="308" spans="1:8" ht="15.75" customHeight="1" x14ac:dyDescent="0.2">
      <c r="A308" s="76"/>
      <c r="B308" s="76"/>
      <c r="C308" s="76"/>
      <c r="D308" s="76"/>
      <c r="E308" s="76"/>
      <c r="F308" s="76"/>
      <c r="G308" s="76"/>
      <c r="H308" s="79"/>
    </row>
    <row r="309" spans="1:8" ht="15.75" customHeight="1" x14ac:dyDescent="0.2">
      <c r="A309" s="76"/>
      <c r="B309" s="76"/>
      <c r="C309" s="76"/>
      <c r="D309" s="76"/>
      <c r="E309" s="76"/>
      <c r="F309" s="76"/>
      <c r="G309" s="76"/>
      <c r="H309" s="79"/>
    </row>
    <row r="310" spans="1:8" ht="15.75" customHeight="1" x14ac:dyDescent="0.2">
      <c r="A310" s="76"/>
      <c r="B310" s="76"/>
      <c r="C310" s="76"/>
      <c r="D310" s="76"/>
      <c r="E310" s="76"/>
      <c r="F310" s="76"/>
      <c r="G310" s="76"/>
      <c r="H310" s="79"/>
    </row>
    <row r="311" spans="1:8" ht="15.75" customHeight="1" x14ac:dyDescent="0.2">
      <c r="A311" s="76"/>
      <c r="B311" s="76"/>
      <c r="C311" s="76"/>
      <c r="D311" s="76"/>
      <c r="E311" s="76"/>
      <c r="F311" s="76"/>
      <c r="G311" s="76"/>
      <c r="H311" s="79"/>
    </row>
    <row r="312" spans="1:8" ht="15.75" customHeight="1" x14ac:dyDescent="0.2">
      <c r="A312" s="76"/>
      <c r="B312" s="76"/>
      <c r="C312" s="76"/>
      <c r="D312" s="76"/>
      <c r="E312" s="76"/>
      <c r="F312" s="76"/>
      <c r="G312" s="76"/>
      <c r="H312" s="79"/>
    </row>
    <row r="313" spans="1:8" ht="15.75" customHeight="1" x14ac:dyDescent="0.2">
      <c r="A313" s="76"/>
      <c r="B313" s="76"/>
      <c r="C313" s="76"/>
      <c r="D313" s="76"/>
      <c r="E313" s="76"/>
      <c r="F313" s="76"/>
      <c r="G313" s="76"/>
      <c r="H313" s="79"/>
    </row>
    <row r="314" spans="1:8" ht="15.75" customHeight="1" x14ac:dyDescent="0.2">
      <c r="A314" s="76"/>
      <c r="B314" s="76"/>
      <c r="C314" s="76"/>
      <c r="D314" s="76"/>
      <c r="E314" s="76"/>
      <c r="F314" s="76"/>
      <c r="G314" s="76"/>
      <c r="H314" s="79"/>
    </row>
    <row r="315" spans="1:8" ht="15.75" customHeight="1" x14ac:dyDescent="0.2">
      <c r="A315" s="76"/>
      <c r="B315" s="76"/>
      <c r="C315" s="76"/>
      <c r="D315" s="76"/>
      <c r="E315" s="76"/>
      <c r="F315" s="76"/>
      <c r="G315" s="76"/>
      <c r="H315" s="79"/>
    </row>
    <row r="316" spans="1:8" ht="15.75" customHeight="1" x14ac:dyDescent="0.2">
      <c r="A316" s="76"/>
      <c r="B316" s="76"/>
      <c r="C316" s="76"/>
      <c r="D316" s="76"/>
      <c r="E316" s="76"/>
      <c r="F316" s="76"/>
      <c r="G316" s="76"/>
      <c r="H316" s="79"/>
    </row>
    <row r="317" spans="1:8" ht="15.75" customHeight="1" x14ac:dyDescent="0.2">
      <c r="A317" s="76"/>
      <c r="B317" s="76"/>
      <c r="C317" s="76"/>
      <c r="D317" s="76"/>
      <c r="E317" s="76"/>
      <c r="F317" s="76"/>
      <c r="G317" s="76"/>
      <c r="H317" s="79"/>
    </row>
    <row r="318" spans="1:8" ht="15.75" customHeight="1" x14ac:dyDescent="0.2">
      <c r="A318" s="76"/>
      <c r="B318" s="76"/>
      <c r="C318" s="76"/>
      <c r="D318" s="76"/>
      <c r="E318" s="76"/>
      <c r="F318" s="76"/>
      <c r="G318" s="76"/>
      <c r="H318" s="79"/>
    </row>
    <row r="319" spans="1:8" ht="15.75" customHeight="1" x14ac:dyDescent="0.2">
      <c r="A319" s="76"/>
      <c r="B319" s="76"/>
      <c r="C319" s="76"/>
      <c r="D319" s="76"/>
      <c r="E319" s="76"/>
      <c r="F319" s="76"/>
      <c r="G319" s="76"/>
      <c r="H319" s="79"/>
    </row>
    <row r="320" spans="1:8" ht="15.75" customHeight="1" x14ac:dyDescent="0.2">
      <c r="A320" s="76"/>
      <c r="B320" s="76"/>
      <c r="C320" s="76"/>
      <c r="D320" s="76"/>
      <c r="E320" s="76"/>
      <c r="F320" s="76"/>
      <c r="G320" s="76"/>
      <c r="H320" s="79"/>
    </row>
    <row r="321" spans="1:8" ht="15.75" customHeight="1" x14ac:dyDescent="0.2">
      <c r="A321" s="76"/>
      <c r="B321" s="76"/>
      <c r="C321" s="76"/>
      <c r="D321" s="76"/>
      <c r="E321" s="76"/>
      <c r="F321" s="76"/>
      <c r="G321" s="76"/>
      <c r="H321" s="79"/>
    </row>
    <row r="322" spans="1:8" ht="15.75" customHeight="1" x14ac:dyDescent="0.2">
      <c r="A322" s="76"/>
      <c r="B322" s="76"/>
      <c r="C322" s="76"/>
      <c r="D322" s="76"/>
      <c r="E322" s="76"/>
      <c r="F322" s="76"/>
      <c r="G322" s="76"/>
      <c r="H322" s="79"/>
    </row>
    <row r="323" spans="1:8" ht="15.75" customHeight="1" x14ac:dyDescent="0.2">
      <c r="A323" s="76"/>
      <c r="B323" s="76"/>
      <c r="C323" s="76"/>
      <c r="D323" s="76"/>
      <c r="E323" s="76"/>
      <c r="F323" s="76"/>
      <c r="G323" s="76"/>
      <c r="H323" s="79"/>
    </row>
    <row r="324" spans="1:8" ht="15.75" customHeight="1" x14ac:dyDescent="0.2">
      <c r="A324" s="76"/>
      <c r="B324" s="76"/>
      <c r="C324" s="76"/>
      <c r="D324" s="76"/>
      <c r="E324" s="76"/>
      <c r="F324" s="76"/>
      <c r="G324" s="76"/>
      <c r="H324" s="79"/>
    </row>
    <row r="325" spans="1:8" ht="15.75" customHeight="1" x14ac:dyDescent="0.2">
      <c r="A325" s="76"/>
      <c r="B325" s="76"/>
      <c r="C325" s="76"/>
      <c r="D325" s="76"/>
      <c r="E325" s="76"/>
      <c r="F325" s="76"/>
      <c r="G325" s="76"/>
      <c r="H325" s="79"/>
    </row>
    <row r="326" spans="1:8" ht="15.75" customHeight="1" x14ac:dyDescent="0.2">
      <c r="A326" s="76"/>
      <c r="B326" s="76"/>
      <c r="C326" s="76"/>
      <c r="D326" s="76"/>
      <c r="E326" s="76"/>
      <c r="F326" s="76"/>
      <c r="G326" s="76"/>
      <c r="H326" s="79"/>
    </row>
    <row r="327" spans="1:8" ht="15.75" customHeight="1" x14ac:dyDescent="0.2">
      <c r="A327" s="76"/>
      <c r="B327" s="76"/>
      <c r="C327" s="76"/>
      <c r="D327" s="76"/>
      <c r="E327" s="76"/>
      <c r="F327" s="76"/>
      <c r="G327" s="76"/>
      <c r="H327" s="79"/>
    </row>
    <row r="328" spans="1:8" ht="15.75" customHeight="1" x14ac:dyDescent="0.2">
      <c r="A328" s="76"/>
      <c r="B328" s="76"/>
      <c r="C328" s="76"/>
      <c r="D328" s="76"/>
      <c r="E328" s="76"/>
      <c r="F328" s="76"/>
      <c r="G328" s="76"/>
      <c r="H328" s="79"/>
    </row>
    <row r="329" spans="1:8" ht="15.75" customHeight="1" x14ac:dyDescent="0.2">
      <c r="A329" s="76"/>
      <c r="B329" s="76"/>
      <c r="C329" s="76"/>
      <c r="D329" s="76"/>
      <c r="E329" s="76"/>
      <c r="F329" s="76"/>
      <c r="G329" s="76"/>
      <c r="H329" s="79"/>
    </row>
    <row r="330" spans="1:8" ht="15.75" customHeight="1" x14ac:dyDescent="0.2">
      <c r="A330" s="76"/>
      <c r="B330" s="76"/>
      <c r="C330" s="76"/>
      <c r="D330" s="76"/>
      <c r="E330" s="76"/>
      <c r="F330" s="76"/>
      <c r="G330" s="76"/>
      <c r="H330" s="79"/>
    </row>
    <row r="331" spans="1:8" ht="15.75" customHeight="1" x14ac:dyDescent="0.2">
      <c r="A331" s="76"/>
      <c r="B331" s="76"/>
      <c r="C331" s="76"/>
      <c r="D331" s="76"/>
      <c r="E331" s="76"/>
      <c r="F331" s="76"/>
      <c r="G331" s="76"/>
      <c r="H331" s="79"/>
    </row>
    <row r="332" spans="1:8" ht="15.75" customHeight="1" x14ac:dyDescent="0.2">
      <c r="A332" s="76"/>
      <c r="B332" s="76"/>
      <c r="C332" s="76"/>
      <c r="D332" s="76"/>
      <c r="E332" s="76"/>
      <c r="F332" s="76"/>
      <c r="G332" s="76"/>
      <c r="H332" s="79"/>
    </row>
    <row r="333" spans="1:8" ht="15.75" customHeight="1" x14ac:dyDescent="0.2">
      <c r="A333" s="76"/>
      <c r="B333" s="76"/>
      <c r="C333" s="76"/>
      <c r="D333" s="76"/>
      <c r="E333" s="76"/>
      <c r="F333" s="76"/>
      <c r="G333" s="76"/>
      <c r="H333" s="79"/>
    </row>
    <row r="334" spans="1:8" ht="15.75" customHeight="1" x14ac:dyDescent="0.2">
      <c r="A334" s="76"/>
      <c r="B334" s="76"/>
      <c r="C334" s="76"/>
      <c r="D334" s="76"/>
      <c r="E334" s="76"/>
      <c r="F334" s="76"/>
      <c r="G334" s="76"/>
      <c r="H334" s="79"/>
    </row>
    <row r="335" spans="1:8" ht="15.75" customHeight="1" x14ac:dyDescent="0.2">
      <c r="A335" s="76"/>
      <c r="B335" s="76"/>
      <c r="C335" s="76"/>
      <c r="D335" s="76"/>
      <c r="E335" s="76"/>
      <c r="F335" s="76"/>
      <c r="G335" s="76"/>
      <c r="H335" s="79"/>
    </row>
    <row r="336" spans="1:8" ht="15.75" customHeight="1" x14ac:dyDescent="0.2">
      <c r="A336" s="76"/>
      <c r="B336" s="76"/>
      <c r="C336" s="76"/>
      <c r="D336" s="76"/>
      <c r="E336" s="76"/>
      <c r="F336" s="76"/>
      <c r="G336" s="76"/>
      <c r="H336" s="79"/>
    </row>
    <row r="337" spans="1:8" ht="15.75" customHeight="1" x14ac:dyDescent="0.2">
      <c r="A337" s="76"/>
      <c r="B337" s="76"/>
      <c r="C337" s="76"/>
      <c r="D337" s="76"/>
      <c r="E337" s="76"/>
      <c r="F337" s="76"/>
      <c r="G337" s="76"/>
      <c r="H337" s="79"/>
    </row>
    <row r="338" spans="1:8" ht="15.75" customHeight="1" x14ac:dyDescent="0.2"/>
    <row r="339" spans="1:8" ht="15.75" customHeight="1" x14ac:dyDescent="0.2"/>
    <row r="340" spans="1:8" ht="15.75" customHeight="1" x14ac:dyDescent="0.2"/>
    <row r="341" spans="1:8" ht="15.75" customHeight="1" x14ac:dyDescent="0.2"/>
    <row r="342" spans="1:8" ht="15.75" customHeight="1" x14ac:dyDescent="0.2"/>
    <row r="343" spans="1:8" ht="15.75" customHeight="1" x14ac:dyDescent="0.2"/>
    <row r="344" spans="1:8" ht="15.75" customHeight="1" x14ac:dyDescent="0.2"/>
    <row r="345" spans="1:8" ht="15.75" customHeight="1" x14ac:dyDescent="0.2"/>
    <row r="346" spans="1:8" ht="15.75" customHeight="1" x14ac:dyDescent="0.2"/>
    <row r="347" spans="1:8" ht="15.75" customHeight="1" x14ac:dyDescent="0.2"/>
    <row r="348" spans="1:8" ht="15.75" customHeight="1" x14ac:dyDescent="0.2"/>
    <row r="349" spans="1:8" ht="15.75" customHeight="1" x14ac:dyDescent="0.2"/>
    <row r="350" spans="1:8" ht="15.75" customHeight="1" x14ac:dyDescent="0.2"/>
    <row r="351" spans="1:8" ht="15.75" customHeight="1" x14ac:dyDescent="0.2"/>
    <row r="352" spans="1:8"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conditionalFormatting sqref="O24:P24">
    <cfRule type="cellIs" dxfId="1" priority="1" operator="lessThanOrEqual">
      <formula>TODAY()+30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884"/>
  <sheetViews>
    <sheetView rightToLeft="1" workbookViewId="0"/>
  </sheetViews>
  <sheetFormatPr defaultColWidth="12.625" defaultRowHeight="15" customHeight="1" x14ac:dyDescent="0.2"/>
  <cols>
    <col min="1" max="1" width="8.75" customWidth="1"/>
    <col min="2" max="2" width="15.375" customWidth="1"/>
    <col min="3" max="3" width="63.25" customWidth="1"/>
    <col min="4" max="4" width="41.375" customWidth="1"/>
    <col min="5" max="5" width="11.75" customWidth="1"/>
    <col min="6" max="6" width="19.25" customWidth="1"/>
    <col min="7" max="7" width="25.75" customWidth="1"/>
    <col min="8" max="8" width="18.25" customWidth="1"/>
    <col min="9" max="21" width="12.75" customWidth="1"/>
  </cols>
  <sheetData>
    <row r="1" spans="1:26" ht="14.25" customHeight="1" x14ac:dyDescent="0.25">
      <c r="A1" s="5" t="s">
        <v>470</v>
      </c>
      <c r="B1" s="5" t="s">
        <v>1482</v>
      </c>
      <c r="C1" s="29"/>
      <c r="D1" s="29"/>
    </row>
    <row r="2" spans="1:26" ht="14.25" customHeight="1" x14ac:dyDescent="0.2">
      <c r="A2" s="26">
        <v>1</v>
      </c>
      <c r="B2" s="29" t="s">
        <v>1483</v>
      </c>
      <c r="C2" s="29"/>
      <c r="D2" s="29"/>
    </row>
    <row r="3" spans="1:26" ht="14.25" customHeight="1" x14ac:dyDescent="0.2">
      <c r="A3" s="140">
        <v>2</v>
      </c>
      <c r="B3" s="140" t="s">
        <v>1484</v>
      </c>
      <c r="C3" s="140"/>
      <c r="D3" s="140"/>
      <c r="E3" s="141"/>
      <c r="F3" s="141"/>
      <c r="G3" s="141"/>
      <c r="H3" s="141"/>
      <c r="I3" s="141"/>
      <c r="J3" s="141"/>
      <c r="K3" s="141"/>
      <c r="L3" s="141"/>
      <c r="M3" s="141"/>
      <c r="N3" s="141"/>
      <c r="O3" s="141"/>
      <c r="P3" s="141"/>
      <c r="Q3" s="141"/>
      <c r="R3" s="141"/>
      <c r="S3" s="141"/>
      <c r="T3" s="141"/>
      <c r="U3" s="141"/>
      <c r="V3" s="141"/>
      <c r="W3" s="141"/>
      <c r="X3" s="141"/>
      <c r="Y3" s="141"/>
      <c r="Z3" s="141"/>
    </row>
    <row r="4" spans="1:26" ht="14.25" customHeight="1" x14ac:dyDescent="0.2">
      <c r="A4" s="26">
        <v>3</v>
      </c>
      <c r="B4" s="29" t="s">
        <v>1485</v>
      </c>
      <c r="C4" s="29"/>
      <c r="D4" s="29"/>
    </row>
    <row r="5" spans="1:26" ht="14.25" customHeight="1" x14ac:dyDescent="0.2">
      <c r="A5" s="140">
        <v>4</v>
      </c>
      <c r="B5" s="140" t="s">
        <v>1486</v>
      </c>
      <c r="C5" s="140"/>
      <c r="D5" s="140"/>
      <c r="E5" s="141"/>
      <c r="F5" s="141"/>
      <c r="G5" s="141"/>
      <c r="H5" s="141"/>
      <c r="I5" s="141"/>
      <c r="J5" s="141"/>
      <c r="K5" s="141"/>
      <c r="L5" s="141"/>
      <c r="M5" s="141"/>
      <c r="N5" s="141"/>
      <c r="O5" s="141"/>
      <c r="P5" s="141"/>
      <c r="Q5" s="141"/>
      <c r="R5" s="141"/>
      <c r="S5" s="141"/>
      <c r="T5" s="141"/>
      <c r="U5" s="141"/>
      <c r="V5" s="141"/>
      <c r="W5" s="141"/>
      <c r="X5" s="141"/>
      <c r="Y5" s="141"/>
      <c r="Z5" s="141"/>
    </row>
    <row r="6" spans="1:26" ht="14.25" customHeight="1" x14ac:dyDescent="0.2">
      <c r="A6" s="140">
        <v>5</v>
      </c>
      <c r="B6" s="140" t="s">
        <v>1487</v>
      </c>
      <c r="C6" s="140"/>
      <c r="D6" s="140"/>
      <c r="E6" s="141"/>
      <c r="F6" s="141"/>
      <c r="G6" s="141"/>
      <c r="H6" s="141"/>
      <c r="I6" s="141"/>
      <c r="J6" s="141"/>
      <c r="K6" s="141"/>
      <c r="L6" s="141"/>
      <c r="M6" s="141"/>
      <c r="N6" s="141"/>
      <c r="O6" s="141"/>
      <c r="P6" s="141"/>
      <c r="Q6" s="141"/>
      <c r="R6" s="141"/>
      <c r="S6" s="141"/>
      <c r="T6" s="141"/>
      <c r="U6" s="141"/>
      <c r="V6" s="141"/>
      <c r="W6" s="141"/>
      <c r="X6" s="141"/>
      <c r="Y6" s="141"/>
      <c r="Z6" s="141"/>
    </row>
    <row r="7" spans="1:26" ht="14.25" customHeight="1" x14ac:dyDescent="0.2">
      <c r="A7" s="140">
        <v>6</v>
      </c>
      <c r="B7" s="140" t="s">
        <v>1488</v>
      </c>
      <c r="C7" s="140"/>
      <c r="D7" s="140"/>
      <c r="E7" s="141"/>
      <c r="F7" s="141"/>
      <c r="G7" s="141"/>
      <c r="H7" s="141"/>
      <c r="I7" s="141"/>
      <c r="J7" s="141"/>
      <c r="K7" s="141"/>
      <c r="L7" s="141"/>
      <c r="M7" s="141"/>
      <c r="N7" s="141"/>
      <c r="O7" s="141"/>
      <c r="P7" s="141"/>
      <c r="Q7" s="141"/>
      <c r="R7" s="141"/>
      <c r="S7" s="141"/>
      <c r="T7" s="141"/>
      <c r="U7" s="141"/>
      <c r="V7" s="141"/>
      <c r="W7" s="141"/>
      <c r="X7" s="141"/>
      <c r="Y7" s="141"/>
      <c r="Z7" s="141"/>
    </row>
    <row r="8" spans="1:26" ht="14.25" customHeight="1" x14ac:dyDescent="0.2">
      <c r="A8" s="140">
        <v>7</v>
      </c>
      <c r="B8" s="140" t="s">
        <v>1489</v>
      </c>
      <c r="C8" s="140"/>
      <c r="D8" s="140"/>
      <c r="E8" s="141"/>
      <c r="F8" s="141"/>
      <c r="G8" s="141"/>
      <c r="H8" s="141"/>
      <c r="I8" s="141"/>
      <c r="J8" s="141"/>
      <c r="K8" s="141"/>
      <c r="L8" s="141"/>
      <c r="M8" s="141"/>
      <c r="N8" s="141"/>
      <c r="O8" s="141"/>
      <c r="P8" s="141"/>
      <c r="Q8" s="141"/>
      <c r="R8" s="141"/>
      <c r="S8" s="141"/>
      <c r="T8" s="141"/>
      <c r="U8" s="141"/>
      <c r="V8" s="141"/>
      <c r="W8" s="141"/>
      <c r="X8" s="141"/>
      <c r="Y8" s="141"/>
      <c r="Z8" s="141"/>
    </row>
    <row r="9" spans="1:26" ht="14.25" customHeight="1" x14ac:dyDescent="0.2">
      <c r="A9" s="140">
        <v>8</v>
      </c>
      <c r="B9" s="140" t="s">
        <v>1490</v>
      </c>
      <c r="C9" s="140"/>
      <c r="D9" s="140"/>
      <c r="E9" s="141"/>
      <c r="F9" s="141"/>
      <c r="G9" s="141"/>
      <c r="H9" s="141"/>
      <c r="I9" s="141"/>
      <c r="J9" s="141"/>
      <c r="K9" s="141"/>
      <c r="L9" s="141"/>
      <c r="M9" s="141"/>
      <c r="N9" s="141"/>
      <c r="O9" s="141"/>
      <c r="P9" s="141"/>
      <c r="Q9" s="141"/>
      <c r="R9" s="141"/>
      <c r="S9" s="141"/>
      <c r="T9" s="141"/>
      <c r="U9" s="141"/>
      <c r="V9" s="141"/>
      <c r="W9" s="141"/>
      <c r="X9" s="141"/>
      <c r="Y9" s="141"/>
      <c r="Z9" s="141"/>
    </row>
    <row r="10" spans="1:26" ht="14.25" customHeight="1" x14ac:dyDescent="0.2">
      <c r="A10" s="26">
        <v>9</v>
      </c>
      <c r="B10" s="29" t="s">
        <v>1491</v>
      </c>
      <c r="C10" s="29"/>
      <c r="D10" s="29"/>
    </row>
    <row r="11" spans="1:26" ht="14.25" customHeight="1" x14ac:dyDescent="0.2">
      <c r="A11" s="140">
        <v>10</v>
      </c>
      <c r="B11" s="140" t="s">
        <v>1492</v>
      </c>
      <c r="C11" s="140"/>
      <c r="D11" s="140" t="s">
        <v>1493</v>
      </c>
      <c r="E11" s="141"/>
      <c r="F11" s="141"/>
      <c r="G11" s="141"/>
      <c r="H11" s="141"/>
      <c r="I11" s="141"/>
      <c r="J11" s="141"/>
      <c r="K11" s="141"/>
      <c r="L11" s="141"/>
      <c r="M11" s="141"/>
      <c r="N11" s="141"/>
      <c r="O11" s="141"/>
      <c r="P11" s="141"/>
      <c r="Q11" s="141"/>
      <c r="R11" s="141"/>
      <c r="S11" s="141"/>
      <c r="T11" s="141"/>
      <c r="U11" s="141"/>
      <c r="V11" s="141"/>
      <c r="W11" s="141"/>
      <c r="X11" s="141"/>
      <c r="Y11" s="141"/>
      <c r="Z11" s="141"/>
    </row>
    <row r="12" spans="1:26" ht="14.25" customHeight="1" x14ac:dyDescent="0.2">
      <c r="A12" s="140">
        <v>11</v>
      </c>
      <c r="B12" s="140" t="s">
        <v>1494</v>
      </c>
      <c r="C12" s="140"/>
      <c r="D12" s="140"/>
      <c r="E12" s="141"/>
      <c r="F12" s="141"/>
      <c r="G12" s="141"/>
      <c r="H12" s="141"/>
      <c r="I12" s="141"/>
      <c r="J12" s="141"/>
      <c r="K12" s="141"/>
      <c r="L12" s="141"/>
      <c r="M12" s="141"/>
      <c r="N12" s="141"/>
      <c r="O12" s="141"/>
      <c r="P12" s="141"/>
      <c r="Q12" s="141"/>
      <c r="R12" s="141"/>
      <c r="S12" s="141"/>
      <c r="T12" s="141"/>
      <c r="U12" s="141"/>
      <c r="V12" s="141"/>
      <c r="W12" s="141"/>
      <c r="X12" s="141"/>
      <c r="Y12" s="141"/>
      <c r="Z12" s="141"/>
    </row>
    <row r="13" spans="1:26" ht="14.25" customHeight="1" x14ac:dyDescent="0.2">
      <c r="A13" s="140">
        <v>12</v>
      </c>
      <c r="B13" s="140" t="s">
        <v>1495</v>
      </c>
      <c r="C13" s="140"/>
      <c r="D13" s="140"/>
      <c r="E13" s="141"/>
      <c r="F13" s="141"/>
      <c r="G13" s="141"/>
      <c r="H13" s="141"/>
      <c r="I13" s="141"/>
      <c r="J13" s="141"/>
      <c r="K13" s="141"/>
      <c r="L13" s="141"/>
      <c r="M13" s="141"/>
      <c r="N13" s="141"/>
      <c r="O13" s="141"/>
      <c r="P13" s="141"/>
      <c r="Q13" s="141"/>
      <c r="R13" s="141"/>
      <c r="S13" s="141"/>
      <c r="T13" s="141"/>
      <c r="U13" s="141"/>
      <c r="V13" s="141"/>
      <c r="W13" s="141"/>
      <c r="X13" s="141"/>
      <c r="Y13" s="141"/>
      <c r="Z13" s="141"/>
    </row>
    <row r="14" spans="1:26" ht="14.25" customHeight="1" x14ac:dyDescent="0.2">
      <c r="A14" s="26">
        <v>13</v>
      </c>
      <c r="B14" s="29" t="s">
        <v>1496</v>
      </c>
      <c r="C14" s="29"/>
      <c r="D14" s="29"/>
    </row>
    <row r="15" spans="1:26" ht="14.25" customHeight="1" x14ac:dyDescent="0.2">
      <c r="A15" s="140">
        <v>14</v>
      </c>
      <c r="B15" s="140" t="s">
        <v>1497</v>
      </c>
      <c r="C15" s="140"/>
      <c r="D15" s="140"/>
      <c r="E15" s="141"/>
      <c r="F15" s="141"/>
      <c r="G15" s="141"/>
      <c r="H15" s="141"/>
      <c r="I15" s="141"/>
      <c r="J15" s="141"/>
      <c r="K15" s="141"/>
      <c r="L15" s="141"/>
      <c r="M15" s="141"/>
      <c r="N15" s="141"/>
      <c r="O15" s="141"/>
      <c r="P15" s="141"/>
      <c r="Q15" s="141"/>
      <c r="R15" s="141"/>
      <c r="S15" s="141"/>
      <c r="T15" s="141"/>
      <c r="U15" s="141"/>
      <c r="V15" s="141"/>
      <c r="W15" s="141"/>
      <c r="X15" s="141"/>
      <c r="Y15" s="141"/>
      <c r="Z15" s="141"/>
    </row>
    <row r="16" spans="1:26" ht="14.25" customHeight="1" x14ac:dyDescent="0.2">
      <c r="A16" s="26">
        <v>15</v>
      </c>
      <c r="B16" s="29" t="s">
        <v>1498</v>
      </c>
      <c r="C16" s="29"/>
      <c r="D16" s="29"/>
    </row>
    <row r="17" spans="1:26" ht="14.25" customHeight="1" x14ac:dyDescent="0.2">
      <c r="A17" s="26">
        <v>16</v>
      </c>
      <c r="B17" s="29" t="s">
        <v>1499</v>
      </c>
      <c r="C17" s="29"/>
      <c r="D17" s="29"/>
    </row>
    <row r="18" spans="1:26" ht="14.25" customHeight="1" x14ac:dyDescent="0.2">
      <c r="A18" s="142">
        <v>17</v>
      </c>
      <c r="B18" s="142" t="s">
        <v>1500</v>
      </c>
      <c r="C18" s="142"/>
      <c r="D18" s="142"/>
      <c r="E18" s="141"/>
      <c r="F18" s="141"/>
      <c r="G18" s="141"/>
      <c r="H18" s="141"/>
      <c r="I18" s="141"/>
      <c r="J18" s="141"/>
      <c r="K18" s="141"/>
      <c r="L18" s="141"/>
      <c r="M18" s="141"/>
      <c r="N18" s="141"/>
      <c r="O18" s="141"/>
      <c r="P18" s="141"/>
      <c r="Q18" s="141"/>
      <c r="R18" s="141"/>
      <c r="S18" s="141"/>
      <c r="T18" s="141"/>
      <c r="U18" s="141"/>
      <c r="V18" s="141"/>
      <c r="W18" s="141"/>
      <c r="X18" s="141"/>
      <c r="Y18" s="141"/>
      <c r="Z18" s="141"/>
    </row>
    <row r="19" spans="1:26" ht="14.25" customHeight="1" x14ac:dyDescent="0.2">
      <c r="A19" s="26">
        <v>18</v>
      </c>
      <c r="B19" s="26" t="s">
        <v>1501</v>
      </c>
      <c r="C19" s="26"/>
      <c r="D19" s="26"/>
      <c r="E19" s="36"/>
      <c r="F19" s="36"/>
      <c r="G19" s="36"/>
      <c r="H19" s="36"/>
      <c r="I19" s="36"/>
      <c r="J19" s="36"/>
      <c r="K19" s="36"/>
      <c r="L19" s="36"/>
      <c r="M19" s="36"/>
      <c r="N19" s="36"/>
      <c r="O19" s="36"/>
      <c r="P19" s="36"/>
      <c r="Q19" s="36"/>
      <c r="R19" s="36"/>
      <c r="S19" s="36"/>
      <c r="T19" s="36"/>
      <c r="U19" s="36"/>
      <c r="V19" s="36"/>
      <c r="W19" s="36"/>
      <c r="X19" s="36"/>
      <c r="Y19" s="36"/>
      <c r="Z19" s="36"/>
    </row>
    <row r="20" spans="1:26" ht="14.25" customHeight="1" x14ac:dyDescent="0.25">
      <c r="A20" s="143" t="s">
        <v>1502</v>
      </c>
      <c r="B20" s="143"/>
    </row>
    <row r="21" spans="1:26" ht="14.25" customHeight="1" x14ac:dyDescent="0.25">
      <c r="A21" s="144" t="s">
        <v>470</v>
      </c>
      <c r="B21" s="144" t="s">
        <v>1503</v>
      </c>
      <c r="C21" s="144" t="s">
        <v>1504</v>
      </c>
      <c r="D21" s="144" t="s">
        <v>1505</v>
      </c>
    </row>
    <row r="22" spans="1:26" ht="14.25" customHeight="1" x14ac:dyDescent="0.2">
      <c r="A22" s="140">
        <v>1</v>
      </c>
      <c r="B22" s="140" t="s">
        <v>1506</v>
      </c>
      <c r="C22" s="140" t="s">
        <v>1507</v>
      </c>
      <c r="D22" s="140" t="s">
        <v>1508</v>
      </c>
      <c r="E22" s="141"/>
      <c r="F22" s="141"/>
      <c r="G22" s="141"/>
      <c r="H22" s="141"/>
      <c r="I22" s="141"/>
      <c r="J22" s="141"/>
      <c r="K22" s="141"/>
      <c r="L22" s="141"/>
      <c r="M22" s="141"/>
      <c r="N22" s="141"/>
      <c r="O22" s="141"/>
      <c r="P22" s="141"/>
      <c r="Q22" s="141"/>
      <c r="R22" s="141"/>
      <c r="S22" s="141"/>
      <c r="T22" s="141"/>
      <c r="U22" s="141"/>
      <c r="V22" s="141"/>
      <c r="W22" s="141"/>
      <c r="X22" s="141"/>
      <c r="Y22" s="141"/>
      <c r="Z22" s="141"/>
    </row>
    <row r="23" spans="1:26" ht="14.25" customHeight="1" x14ac:dyDescent="0.2">
      <c r="A23" s="140">
        <v>2</v>
      </c>
      <c r="B23" s="140" t="s">
        <v>1509</v>
      </c>
      <c r="C23" s="140" t="s">
        <v>1510</v>
      </c>
      <c r="D23" s="140" t="s">
        <v>1508</v>
      </c>
      <c r="E23" s="141"/>
      <c r="F23" s="141"/>
      <c r="G23" s="141"/>
      <c r="H23" s="141"/>
      <c r="I23" s="141"/>
      <c r="J23" s="141"/>
      <c r="K23" s="141"/>
      <c r="L23" s="141"/>
      <c r="M23" s="141"/>
      <c r="N23" s="141"/>
      <c r="O23" s="141"/>
      <c r="P23" s="141"/>
      <c r="Q23" s="141"/>
      <c r="R23" s="141"/>
      <c r="S23" s="141"/>
      <c r="T23" s="141"/>
      <c r="U23" s="141"/>
      <c r="V23" s="141"/>
      <c r="W23" s="141"/>
      <c r="X23" s="141"/>
      <c r="Y23" s="141"/>
      <c r="Z23" s="141"/>
    </row>
    <row r="24" spans="1:26" ht="14.25" customHeight="1" x14ac:dyDescent="0.2">
      <c r="A24" s="140">
        <v>3</v>
      </c>
      <c r="B24" s="140" t="s">
        <v>1511</v>
      </c>
      <c r="C24" s="140" t="s">
        <v>1512</v>
      </c>
      <c r="D24" s="140" t="s">
        <v>1508</v>
      </c>
      <c r="E24" s="141"/>
      <c r="F24" s="141"/>
      <c r="G24" s="141"/>
      <c r="H24" s="141"/>
      <c r="I24" s="141"/>
      <c r="J24" s="141"/>
      <c r="K24" s="141"/>
      <c r="L24" s="141"/>
      <c r="M24" s="141"/>
      <c r="N24" s="141"/>
      <c r="O24" s="141"/>
      <c r="P24" s="141"/>
      <c r="Q24" s="141"/>
      <c r="R24" s="141"/>
      <c r="S24" s="141"/>
      <c r="T24" s="141"/>
      <c r="U24" s="141"/>
      <c r="V24" s="141"/>
      <c r="W24" s="141"/>
      <c r="X24" s="141"/>
      <c r="Y24" s="141"/>
      <c r="Z24" s="141"/>
    </row>
    <row r="25" spans="1:26" ht="14.25" customHeight="1" x14ac:dyDescent="0.2">
      <c r="A25" s="140">
        <v>4</v>
      </c>
      <c r="B25" s="140" t="s">
        <v>1513</v>
      </c>
      <c r="C25" s="140" t="s">
        <v>1514</v>
      </c>
      <c r="D25" s="140" t="s">
        <v>1514</v>
      </c>
      <c r="E25" s="141"/>
      <c r="F25" s="141"/>
      <c r="G25" s="141"/>
      <c r="H25" s="141"/>
      <c r="I25" s="141"/>
      <c r="J25" s="141"/>
      <c r="K25" s="141"/>
      <c r="L25" s="141"/>
      <c r="M25" s="141"/>
      <c r="N25" s="141"/>
      <c r="O25" s="141"/>
      <c r="P25" s="141"/>
      <c r="Q25" s="141"/>
      <c r="R25" s="141"/>
      <c r="S25" s="141"/>
      <c r="T25" s="141"/>
      <c r="U25" s="141"/>
      <c r="V25" s="141"/>
      <c r="W25" s="141"/>
      <c r="X25" s="141"/>
      <c r="Y25" s="141"/>
      <c r="Z25" s="141"/>
    </row>
    <row r="26" spans="1:26" ht="14.25" customHeight="1" x14ac:dyDescent="0.2">
      <c r="A26" s="140">
        <v>5</v>
      </c>
      <c r="B26" s="140" t="s">
        <v>1515</v>
      </c>
      <c r="C26" s="140"/>
      <c r="D26" s="140" t="s">
        <v>1516</v>
      </c>
      <c r="E26" s="141"/>
      <c r="F26" s="141"/>
      <c r="G26" s="141"/>
      <c r="H26" s="141"/>
      <c r="I26" s="141"/>
      <c r="J26" s="141"/>
      <c r="K26" s="141"/>
      <c r="L26" s="141"/>
      <c r="M26" s="141"/>
      <c r="N26" s="141"/>
      <c r="O26" s="141"/>
      <c r="P26" s="141"/>
      <c r="Q26" s="141"/>
      <c r="R26" s="141"/>
      <c r="S26" s="141"/>
      <c r="T26" s="141"/>
      <c r="U26" s="141"/>
      <c r="V26" s="141"/>
      <c r="W26" s="141"/>
      <c r="X26" s="141"/>
      <c r="Y26" s="141"/>
      <c r="Z26" s="141"/>
    </row>
    <row r="27" spans="1:26" ht="14.25" customHeight="1" x14ac:dyDescent="0.2">
      <c r="A27" s="140">
        <v>6</v>
      </c>
      <c r="B27" s="140" t="s">
        <v>587</v>
      </c>
      <c r="C27" s="140" t="s">
        <v>1517</v>
      </c>
      <c r="D27" s="140" t="s">
        <v>1518</v>
      </c>
      <c r="E27" s="141"/>
      <c r="F27" s="141"/>
      <c r="G27" s="141"/>
      <c r="H27" s="141"/>
      <c r="I27" s="141"/>
      <c r="J27" s="141"/>
      <c r="K27" s="141"/>
      <c r="L27" s="141"/>
      <c r="M27" s="141"/>
      <c r="N27" s="141"/>
      <c r="O27" s="141"/>
      <c r="P27" s="141"/>
      <c r="Q27" s="141"/>
      <c r="R27" s="141"/>
      <c r="S27" s="141"/>
      <c r="T27" s="141"/>
      <c r="U27" s="141"/>
      <c r="V27" s="141"/>
      <c r="W27" s="141"/>
      <c r="X27" s="141"/>
      <c r="Y27" s="141"/>
      <c r="Z27" s="141"/>
    </row>
    <row r="28" spans="1:26" ht="14.25" customHeight="1" x14ac:dyDescent="0.2">
      <c r="A28" s="140">
        <v>7</v>
      </c>
      <c r="B28" s="140" t="s">
        <v>35</v>
      </c>
      <c r="C28" s="140" t="s">
        <v>1519</v>
      </c>
      <c r="D28" s="140" t="s">
        <v>1514</v>
      </c>
      <c r="E28" s="141"/>
      <c r="F28" s="141"/>
      <c r="G28" s="141"/>
      <c r="H28" s="141"/>
      <c r="I28" s="141"/>
      <c r="J28" s="141"/>
      <c r="K28" s="141"/>
      <c r="L28" s="141"/>
      <c r="M28" s="141"/>
      <c r="N28" s="141"/>
      <c r="O28" s="141"/>
      <c r="P28" s="141"/>
      <c r="Q28" s="141"/>
      <c r="R28" s="141"/>
      <c r="S28" s="141"/>
      <c r="T28" s="141"/>
      <c r="U28" s="141"/>
      <c r="V28" s="141"/>
      <c r="W28" s="141"/>
      <c r="X28" s="141"/>
      <c r="Y28" s="141"/>
      <c r="Z28" s="141"/>
    </row>
    <row r="29" spans="1:26" ht="14.25" customHeight="1" x14ac:dyDescent="0.2">
      <c r="A29" s="140">
        <v>8</v>
      </c>
      <c r="B29" s="140" t="s">
        <v>1520</v>
      </c>
      <c r="C29" s="140" t="s">
        <v>1521</v>
      </c>
      <c r="D29" s="140" t="s">
        <v>1514</v>
      </c>
      <c r="E29" s="141"/>
      <c r="F29" s="141"/>
      <c r="G29" s="141"/>
      <c r="H29" s="141"/>
      <c r="I29" s="141"/>
      <c r="J29" s="141"/>
      <c r="K29" s="141"/>
      <c r="L29" s="141"/>
      <c r="M29" s="141"/>
      <c r="N29" s="141"/>
      <c r="O29" s="141"/>
      <c r="P29" s="141"/>
      <c r="Q29" s="141"/>
      <c r="R29" s="141"/>
      <c r="S29" s="141"/>
      <c r="T29" s="141"/>
      <c r="U29" s="141"/>
      <c r="V29" s="141"/>
      <c r="W29" s="141"/>
      <c r="X29" s="141"/>
      <c r="Y29" s="141"/>
      <c r="Z29" s="141"/>
    </row>
    <row r="30" spans="1:26" ht="14.25" customHeight="1" x14ac:dyDescent="0.2">
      <c r="A30" s="140">
        <v>9</v>
      </c>
      <c r="B30" s="140" t="s">
        <v>1522</v>
      </c>
      <c r="C30" s="140" t="s">
        <v>1523</v>
      </c>
      <c r="D30" s="140" t="s">
        <v>1514</v>
      </c>
      <c r="E30" s="141"/>
      <c r="F30" s="141"/>
      <c r="G30" s="141"/>
      <c r="H30" s="141"/>
      <c r="I30" s="141"/>
      <c r="J30" s="141"/>
      <c r="K30" s="141"/>
      <c r="L30" s="141"/>
      <c r="M30" s="141"/>
      <c r="N30" s="141"/>
      <c r="O30" s="141"/>
      <c r="P30" s="141"/>
      <c r="Q30" s="141"/>
      <c r="R30" s="141"/>
      <c r="S30" s="141"/>
      <c r="T30" s="141"/>
      <c r="U30" s="141"/>
      <c r="V30" s="141"/>
      <c r="W30" s="141"/>
      <c r="X30" s="141"/>
      <c r="Y30" s="141"/>
      <c r="Z30" s="141"/>
    </row>
    <row r="31" spans="1:26" ht="14.25" customHeight="1" x14ac:dyDescent="0.2">
      <c r="A31" s="140">
        <v>10</v>
      </c>
      <c r="B31" s="140" t="s">
        <v>1524</v>
      </c>
      <c r="C31" s="140" t="s">
        <v>1525</v>
      </c>
      <c r="D31" s="140" t="s">
        <v>1514</v>
      </c>
      <c r="E31" s="141"/>
      <c r="F31" s="141"/>
      <c r="G31" s="141"/>
      <c r="H31" s="141"/>
      <c r="I31" s="141"/>
      <c r="J31" s="141"/>
      <c r="K31" s="141"/>
      <c r="L31" s="141"/>
      <c r="M31" s="141"/>
      <c r="N31" s="141"/>
      <c r="O31" s="141"/>
      <c r="P31" s="141"/>
      <c r="Q31" s="141"/>
      <c r="R31" s="141"/>
      <c r="S31" s="141"/>
      <c r="T31" s="141"/>
      <c r="U31" s="141"/>
      <c r="V31" s="141"/>
      <c r="W31" s="141"/>
      <c r="X31" s="141"/>
      <c r="Y31" s="141"/>
      <c r="Z31" s="141"/>
    </row>
    <row r="32" spans="1:26" ht="14.25" customHeight="1" x14ac:dyDescent="0.2">
      <c r="A32" s="140">
        <v>11</v>
      </c>
      <c r="B32" s="140" t="s">
        <v>1526</v>
      </c>
      <c r="C32" s="140" t="s">
        <v>1527</v>
      </c>
      <c r="D32" s="140" t="s">
        <v>1508</v>
      </c>
      <c r="E32" s="141"/>
      <c r="F32" s="141"/>
      <c r="G32" s="141"/>
      <c r="H32" s="141"/>
      <c r="I32" s="141"/>
      <c r="J32" s="141"/>
      <c r="K32" s="141"/>
      <c r="L32" s="141"/>
      <c r="M32" s="141"/>
      <c r="N32" s="141"/>
      <c r="O32" s="141"/>
      <c r="P32" s="141"/>
      <c r="Q32" s="141"/>
      <c r="R32" s="141"/>
      <c r="S32" s="141"/>
      <c r="T32" s="141"/>
      <c r="U32" s="141"/>
      <c r="V32" s="141"/>
      <c r="W32" s="141"/>
      <c r="X32" s="141"/>
      <c r="Y32" s="141"/>
      <c r="Z32" s="141"/>
    </row>
    <row r="33" spans="1:26" ht="14.25" customHeight="1" x14ac:dyDescent="0.2">
      <c r="A33" s="140">
        <v>12</v>
      </c>
      <c r="B33" s="140" t="s">
        <v>1528</v>
      </c>
      <c r="C33" s="140" t="s">
        <v>1514</v>
      </c>
      <c r="D33" s="140" t="s">
        <v>1508</v>
      </c>
      <c r="E33" s="141"/>
      <c r="F33" s="141"/>
      <c r="G33" s="141"/>
      <c r="H33" s="141"/>
      <c r="I33" s="141"/>
      <c r="J33" s="141"/>
      <c r="K33" s="141"/>
      <c r="L33" s="141"/>
      <c r="M33" s="141"/>
      <c r="N33" s="141"/>
      <c r="O33" s="141"/>
      <c r="P33" s="141"/>
      <c r="Q33" s="141"/>
      <c r="R33" s="141"/>
      <c r="S33" s="141"/>
      <c r="T33" s="141"/>
      <c r="U33" s="141"/>
      <c r="V33" s="141"/>
      <c r="W33" s="141"/>
      <c r="X33" s="141"/>
      <c r="Y33" s="141"/>
      <c r="Z33" s="141"/>
    </row>
    <row r="34" spans="1:26" ht="14.25" customHeight="1" x14ac:dyDescent="0.2">
      <c r="A34" s="140">
        <v>13</v>
      </c>
      <c r="B34" s="140" t="s">
        <v>1529</v>
      </c>
      <c r="C34" s="140" t="s">
        <v>1514</v>
      </c>
      <c r="D34" s="140" t="s">
        <v>1508</v>
      </c>
      <c r="E34" s="141"/>
      <c r="F34" s="141"/>
      <c r="G34" s="141"/>
      <c r="H34" s="141"/>
      <c r="I34" s="141"/>
      <c r="J34" s="141"/>
      <c r="K34" s="141"/>
      <c r="L34" s="141"/>
      <c r="M34" s="141"/>
      <c r="N34" s="141"/>
      <c r="O34" s="141"/>
      <c r="P34" s="141"/>
      <c r="Q34" s="141"/>
      <c r="R34" s="141"/>
      <c r="S34" s="141"/>
      <c r="T34" s="141"/>
      <c r="U34" s="141"/>
      <c r="V34" s="141"/>
      <c r="W34" s="141"/>
      <c r="X34" s="141"/>
      <c r="Y34" s="141"/>
      <c r="Z34" s="141"/>
    </row>
    <row r="35" spans="1:26" ht="14.25" customHeight="1" x14ac:dyDescent="0.2">
      <c r="A35" s="140">
        <v>14</v>
      </c>
      <c r="B35" s="140" t="s">
        <v>1530</v>
      </c>
      <c r="C35" s="140" t="s">
        <v>1527</v>
      </c>
      <c r="D35" s="140" t="s">
        <v>1508</v>
      </c>
      <c r="E35" s="141"/>
      <c r="F35" s="141"/>
      <c r="G35" s="141"/>
      <c r="H35" s="141"/>
      <c r="I35" s="141"/>
      <c r="J35" s="141"/>
      <c r="K35" s="141"/>
      <c r="L35" s="141"/>
      <c r="M35" s="141"/>
      <c r="N35" s="141"/>
      <c r="O35" s="141"/>
      <c r="P35" s="141"/>
      <c r="Q35" s="141"/>
      <c r="R35" s="141"/>
      <c r="S35" s="141"/>
      <c r="T35" s="141"/>
      <c r="U35" s="141"/>
      <c r="V35" s="141"/>
      <c r="W35" s="141"/>
      <c r="X35" s="141"/>
      <c r="Y35" s="141"/>
      <c r="Z35" s="141"/>
    </row>
    <row r="36" spans="1:26" ht="14.25" customHeight="1" x14ac:dyDescent="0.2">
      <c r="A36" s="29">
        <v>15</v>
      </c>
      <c r="B36" s="29" t="s">
        <v>1531</v>
      </c>
      <c r="C36" s="29"/>
      <c r="D36" s="29"/>
    </row>
    <row r="37" spans="1:26" ht="14.25" customHeight="1" x14ac:dyDescent="0.2">
      <c r="A37" s="140">
        <v>16</v>
      </c>
      <c r="B37" s="140" t="s">
        <v>271</v>
      </c>
      <c r="C37" s="140" t="s">
        <v>1532</v>
      </c>
      <c r="D37" s="140" t="s">
        <v>1508</v>
      </c>
      <c r="E37" s="141"/>
      <c r="F37" s="141"/>
      <c r="G37" s="141"/>
      <c r="H37" s="141"/>
      <c r="I37" s="141"/>
      <c r="J37" s="141"/>
      <c r="K37" s="141"/>
      <c r="L37" s="141"/>
      <c r="M37" s="141"/>
      <c r="N37" s="141"/>
      <c r="O37" s="141"/>
      <c r="P37" s="141"/>
      <c r="Q37" s="141"/>
      <c r="R37" s="141"/>
      <c r="S37" s="141"/>
      <c r="T37" s="141"/>
      <c r="U37" s="141"/>
      <c r="V37" s="141"/>
      <c r="W37" s="141"/>
      <c r="X37" s="141"/>
      <c r="Y37" s="141"/>
      <c r="Z37" s="141"/>
    </row>
    <row r="38" spans="1:26" ht="14.25" customHeight="1" x14ac:dyDescent="0.2">
      <c r="A38" s="140">
        <v>17</v>
      </c>
      <c r="B38" s="140" t="s">
        <v>1533</v>
      </c>
      <c r="C38" s="140" t="s">
        <v>1534</v>
      </c>
      <c r="D38" s="140" t="s">
        <v>1514</v>
      </c>
      <c r="E38" s="141"/>
      <c r="F38" s="141"/>
      <c r="G38" s="141"/>
      <c r="H38" s="141"/>
      <c r="I38" s="141"/>
      <c r="J38" s="141"/>
      <c r="K38" s="141"/>
      <c r="L38" s="141"/>
      <c r="M38" s="141"/>
      <c r="N38" s="141"/>
      <c r="O38" s="141"/>
      <c r="P38" s="141"/>
      <c r="Q38" s="141"/>
      <c r="R38" s="141"/>
      <c r="S38" s="141"/>
      <c r="T38" s="141"/>
      <c r="U38" s="141"/>
      <c r="V38" s="141"/>
      <c r="W38" s="141"/>
      <c r="X38" s="141"/>
      <c r="Y38" s="141"/>
      <c r="Z38" s="141"/>
    </row>
    <row r="39" spans="1:26" ht="14.25" customHeight="1" x14ac:dyDescent="0.2">
      <c r="A39" s="140">
        <v>18</v>
      </c>
      <c r="B39" s="140" t="s">
        <v>1535</v>
      </c>
      <c r="C39" s="140" t="s">
        <v>1536</v>
      </c>
      <c r="D39" s="140" t="s">
        <v>1514</v>
      </c>
      <c r="E39" s="141"/>
      <c r="F39" s="141"/>
      <c r="G39" s="141"/>
      <c r="H39" s="141"/>
      <c r="I39" s="141"/>
      <c r="J39" s="141"/>
      <c r="K39" s="141"/>
      <c r="L39" s="141"/>
      <c r="M39" s="141"/>
      <c r="N39" s="141"/>
      <c r="O39" s="141"/>
      <c r="P39" s="141"/>
      <c r="Q39" s="141"/>
      <c r="R39" s="141"/>
      <c r="S39" s="141"/>
      <c r="T39" s="141"/>
      <c r="U39" s="141"/>
      <c r="V39" s="141"/>
      <c r="W39" s="141"/>
      <c r="X39" s="141"/>
      <c r="Y39" s="141"/>
      <c r="Z39" s="141"/>
    </row>
    <row r="40" spans="1:26" ht="14.25" customHeight="1" x14ac:dyDescent="0.2">
      <c r="A40" s="140">
        <v>19</v>
      </c>
      <c r="B40" s="140" t="s">
        <v>1537</v>
      </c>
      <c r="C40" s="140" t="s">
        <v>1538</v>
      </c>
      <c r="D40" s="140" t="s">
        <v>1514</v>
      </c>
      <c r="E40" s="141"/>
      <c r="F40" s="141"/>
      <c r="G40" s="141"/>
      <c r="H40" s="141"/>
      <c r="I40" s="141"/>
      <c r="J40" s="141"/>
      <c r="K40" s="141"/>
      <c r="L40" s="141"/>
      <c r="M40" s="141"/>
      <c r="N40" s="141"/>
      <c r="O40" s="141"/>
      <c r="P40" s="141"/>
      <c r="Q40" s="141"/>
      <c r="R40" s="141"/>
      <c r="S40" s="141"/>
      <c r="T40" s="141"/>
      <c r="U40" s="141"/>
      <c r="V40" s="141"/>
      <c r="W40" s="141"/>
      <c r="X40" s="141"/>
      <c r="Y40" s="141"/>
      <c r="Z40" s="141"/>
    </row>
    <row r="41" spans="1:26" ht="14.25" customHeight="1" x14ac:dyDescent="0.2"/>
    <row r="42" spans="1:26" ht="14.25" customHeight="1" x14ac:dyDescent="0.2"/>
    <row r="43" spans="1:26" ht="14.25" customHeight="1" x14ac:dyDescent="0.2"/>
    <row r="44" spans="1:26" ht="14.25" customHeight="1" x14ac:dyDescent="0.2"/>
    <row r="45" spans="1:26" ht="14.25" customHeight="1" x14ac:dyDescent="0.2"/>
    <row r="46" spans="1:26" ht="14.25" customHeight="1" x14ac:dyDescent="0.2"/>
    <row r="47" spans="1:26" ht="14.25" customHeight="1" x14ac:dyDescent="0.2"/>
    <row r="48" spans="1:2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Z1008"/>
  <sheetViews>
    <sheetView rightToLeft="1" workbookViewId="0">
      <pane ySplit="1" topLeftCell="A463" activePane="bottomLeft" state="frozen"/>
      <selection pane="bottomLeft" activeCell="A796" sqref="A796:XFD923"/>
    </sheetView>
  </sheetViews>
  <sheetFormatPr defaultColWidth="12.625" defaultRowHeight="15" customHeight="1" x14ac:dyDescent="0.2"/>
  <cols>
    <col min="1" max="1" width="6.25" customWidth="1"/>
    <col min="2" max="2" width="20.5" customWidth="1"/>
    <col min="3" max="3" width="20.75" customWidth="1"/>
    <col min="4" max="4" width="12.25" customWidth="1"/>
    <col min="5" max="5" width="47" customWidth="1"/>
    <col min="6" max="6" width="42.25" customWidth="1"/>
    <col min="7" max="26" width="8.75" customWidth="1"/>
  </cols>
  <sheetData>
    <row r="1" spans="1:26" ht="14.25" customHeight="1" x14ac:dyDescent="0.25">
      <c r="A1" s="145" t="s">
        <v>30</v>
      </c>
      <c r="B1" s="145" t="s">
        <v>473</v>
      </c>
      <c r="C1" s="145" t="s">
        <v>1539</v>
      </c>
      <c r="D1" s="145" t="s">
        <v>1540</v>
      </c>
      <c r="E1" s="145" t="s">
        <v>1541</v>
      </c>
      <c r="F1" s="145" t="s">
        <v>1542</v>
      </c>
    </row>
    <row r="2" spans="1:26" ht="14.25" hidden="1" customHeight="1" x14ac:dyDescent="0.2">
      <c r="A2" s="74">
        <v>1</v>
      </c>
      <c r="B2" s="29">
        <v>76376401</v>
      </c>
      <c r="C2" s="29" t="s">
        <v>1543</v>
      </c>
      <c r="D2" s="29" t="s">
        <v>118</v>
      </c>
      <c r="E2" s="29" t="s">
        <v>1544</v>
      </c>
      <c r="F2" s="29" t="s">
        <v>601</v>
      </c>
    </row>
    <row r="3" spans="1:26" ht="14.25" hidden="1" customHeight="1" x14ac:dyDescent="0.2">
      <c r="A3" s="29">
        <v>2</v>
      </c>
      <c r="B3" s="29">
        <v>42008802</v>
      </c>
      <c r="C3" s="29" t="s">
        <v>1543</v>
      </c>
      <c r="D3" s="29" t="s">
        <v>1545</v>
      </c>
      <c r="E3" s="29" t="s">
        <v>1546</v>
      </c>
      <c r="F3" s="29" t="s">
        <v>501</v>
      </c>
    </row>
    <row r="4" spans="1:26" ht="14.25" hidden="1" customHeight="1" x14ac:dyDescent="0.2">
      <c r="A4" s="74">
        <v>3</v>
      </c>
      <c r="B4" s="29">
        <v>42949202</v>
      </c>
      <c r="C4" s="29" t="s">
        <v>1543</v>
      </c>
      <c r="D4" s="29" t="s">
        <v>1547</v>
      </c>
      <c r="E4" s="29" t="s">
        <v>1548</v>
      </c>
      <c r="F4" s="29" t="s">
        <v>1549</v>
      </c>
    </row>
    <row r="5" spans="1:26" ht="14.25" hidden="1" customHeight="1" x14ac:dyDescent="0.2">
      <c r="A5" s="29">
        <v>4</v>
      </c>
      <c r="B5" s="29">
        <v>76644701</v>
      </c>
      <c r="C5" s="29" t="s">
        <v>1550</v>
      </c>
      <c r="D5" s="29" t="s">
        <v>1545</v>
      </c>
      <c r="E5" s="29" t="s">
        <v>1551</v>
      </c>
      <c r="F5" s="29" t="s">
        <v>806</v>
      </c>
    </row>
    <row r="6" spans="1:26" ht="14.25" hidden="1" customHeight="1" x14ac:dyDescent="0.2">
      <c r="A6" s="74">
        <v>5</v>
      </c>
      <c r="B6" s="29">
        <v>52150302</v>
      </c>
      <c r="C6" s="29" t="s">
        <v>1543</v>
      </c>
      <c r="D6" s="29" t="s">
        <v>214</v>
      </c>
      <c r="E6" s="29" t="s">
        <v>1552</v>
      </c>
      <c r="F6" s="29" t="s">
        <v>1406</v>
      </c>
    </row>
    <row r="7" spans="1:26" ht="14.25" hidden="1" customHeight="1" x14ac:dyDescent="0.2">
      <c r="A7" s="29">
        <v>6</v>
      </c>
      <c r="B7" s="29">
        <v>66723902</v>
      </c>
      <c r="C7" s="29" t="s">
        <v>1543</v>
      </c>
      <c r="D7" s="29" t="s">
        <v>1553</v>
      </c>
      <c r="E7" s="29" t="s">
        <v>1554</v>
      </c>
      <c r="F7" s="29" t="s">
        <v>671</v>
      </c>
    </row>
    <row r="8" spans="1:26" ht="14.25" hidden="1" customHeight="1" x14ac:dyDescent="0.2">
      <c r="A8" s="74">
        <v>7</v>
      </c>
      <c r="B8" s="29">
        <v>76644701</v>
      </c>
      <c r="C8" s="29" t="s">
        <v>1555</v>
      </c>
      <c r="D8" s="29" t="s">
        <v>205</v>
      </c>
      <c r="E8" s="29" t="s">
        <v>1556</v>
      </c>
      <c r="F8" s="29" t="s">
        <v>806</v>
      </c>
    </row>
    <row r="9" spans="1:26" ht="14.25" hidden="1" customHeight="1" x14ac:dyDescent="0.2">
      <c r="A9" s="29">
        <v>8</v>
      </c>
      <c r="B9" s="29">
        <v>76644301</v>
      </c>
      <c r="C9" s="29" t="s">
        <v>1557</v>
      </c>
      <c r="D9" s="29" t="s">
        <v>1558</v>
      </c>
      <c r="E9" s="29" t="s">
        <v>1559</v>
      </c>
      <c r="F9" s="29" t="s">
        <v>531</v>
      </c>
    </row>
    <row r="10" spans="1:26" ht="14.25" hidden="1" customHeight="1" x14ac:dyDescent="0.2">
      <c r="A10" s="74">
        <v>9</v>
      </c>
      <c r="B10" s="29">
        <v>76644701</v>
      </c>
      <c r="C10" s="29" t="s">
        <v>1555</v>
      </c>
      <c r="D10" s="29" t="s">
        <v>134</v>
      </c>
      <c r="E10" s="29" t="s">
        <v>1560</v>
      </c>
      <c r="F10" s="29" t="s">
        <v>806</v>
      </c>
    </row>
    <row r="11" spans="1:26" ht="14.25" hidden="1" customHeight="1" x14ac:dyDescent="0.2">
      <c r="A11" s="29">
        <v>10</v>
      </c>
      <c r="B11" s="29">
        <v>83327901</v>
      </c>
      <c r="C11" s="29" t="s">
        <v>1561</v>
      </c>
      <c r="D11" s="29" t="s">
        <v>1558</v>
      </c>
      <c r="E11" s="29" t="s">
        <v>1562</v>
      </c>
      <c r="F11" s="29" t="s">
        <v>1563</v>
      </c>
    </row>
    <row r="12" spans="1:26" ht="14.25" hidden="1" customHeight="1" x14ac:dyDescent="0.2">
      <c r="A12" s="74">
        <v>11</v>
      </c>
      <c r="B12" s="29">
        <v>21982201</v>
      </c>
      <c r="C12" s="29" t="s">
        <v>1564</v>
      </c>
      <c r="D12" s="29" t="s">
        <v>1565</v>
      </c>
      <c r="E12" s="29" t="s">
        <v>1566</v>
      </c>
      <c r="F12" s="29" t="s">
        <v>618</v>
      </c>
    </row>
    <row r="13" spans="1:26" ht="14.25" hidden="1" customHeight="1" x14ac:dyDescent="0.2">
      <c r="A13" s="29">
        <v>12</v>
      </c>
      <c r="B13" s="29">
        <v>20550601</v>
      </c>
      <c r="C13" s="29" t="s">
        <v>1567</v>
      </c>
      <c r="D13" s="29" t="s">
        <v>1565</v>
      </c>
      <c r="E13" s="29" t="s">
        <v>1568</v>
      </c>
      <c r="F13" s="29" t="s">
        <v>1569</v>
      </c>
    </row>
    <row r="14" spans="1:26" ht="14.25" hidden="1" customHeight="1" x14ac:dyDescent="0.2">
      <c r="A14" s="74">
        <v>13</v>
      </c>
      <c r="B14" s="12">
        <v>42948502</v>
      </c>
      <c r="C14" s="29" t="s">
        <v>1543</v>
      </c>
      <c r="D14" s="29" t="s">
        <v>141</v>
      </c>
      <c r="E14" s="29" t="s">
        <v>1570</v>
      </c>
      <c r="F14" s="29" t="s">
        <v>552</v>
      </c>
    </row>
    <row r="15" spans="1:26" ht="14.25" hidden="1" customHeight="1" x14ac:dyDescent="0.2">
      <c r="A15" s="29">
        <v>14</v>
      </c>
      <c r="B15" s="29">
        <v>85045802</v>
      </c>
      <c r="C15" s="29" t="s">
        <v>1571</v>
      </c>
      <c r="D15" s="29" t="s">
        <v>1572</v>
      </c>
      <c r="E15" s="29" t="s">
        <v>1573</v>
      </c>
      <c r="F15" s="29" t="s">
        <v>1574</v>
      </c>
    </row>
    <row r="16" spans="1:26" ht="14.25" hidden="1" customHeight="1" x14ac:dyDescent="0.2">
      <c r="A16" s="74">
        <v>15</v>
      </c>
      <c r="B16" s="29">
        <v>42948502</v>
      </c>
      <c r="C16" s="29" t="s">
        <v>1575</v>
      </c>
      <c r="D16" s="29" t="s">
        <v>1576</v>
      </c>
      <c r="E16" s="29" t="s">
        <v>1577</v>
      </c>
      <c r="F16" s="29" t="s">
        <v>552</v>
      </c>
      <c r="G16" s="74"/>
      <c r="H16" s="74"/>
      <c r="I16" s="74"/>
      <c r="J16" s="74"/>
      <c r="K16" s="74"/>
      <c r="L16" s="74"/>
      <c r="M16" s="74"/>
      <c r="N16" s="74"/>
      <c r="O16" s="74"/>
      <c r="P16" s="74"/>
      <c r="Q16" s="74"/>
      <c r="R16" s="74"/>
      <c r="S16" s="74"/>
      <c r="T16" s="74"/>
      <c r="U16" s="74"/>
      <c r="V16" s="74"/>
      <c r="W16" s="74"/>
      <c r="X16" s="74"/>
      <c r="Y16" s="74"/>
      <c r="Z16" s="74"/>
    </row>
    <row r="17" spans="1:26" ht="14.25" hidden="1" customHeight="1" x14ac:dyDescent="0.2">
      <c r="A17" s="29">
        <v>16</v>
      </c>
      <c r="B17" s="29">
        <v>64078901</v>
      </c>
      <c r="C17" s="29" t="s">
        <v>1543</v>
      </c>
      <c r="D17" s="29" t="s">
        <v>1576</v>
      </c>
      <c r="E17" s="29" t="s">
        <v>1578</v>
      </c>
      <c r="F17" s="29" t="s">
        <v>1033</v>
      </c>
    </row>
    <row r="18" spans="1:26" ht="14.25" hidden="1" customHeight="1" x14ac:dyDescent="0.2">
      <c r="A18" s="74">
        <v>17</v>
      </c>
      <c r="B18" s="29">
        <v>64078901</v>
      </c>
      <c r="C18" s="29" t="s">
        <v>1579</v>
      </c>
      <c r="D18" s="29" t="s">
        <v>1580</v>
      </c>
      <c r="E18" s="29" t="s">
        <v>1581</v>
      </c>
      <c r="F18" s="29" t="s">
        <v>1033</v>
      </c>
    </row>
    <row r="19" spans="1:26" ht="14.25" hidden="1" customHeight="1" x14ac:dyDescent="0.2">
      <c r="A19" s="29">
        <v>18</v>
      </c>
      <c r="B19" s="29">
        <v>21982201</v>
      </c>
      <c r="C19" s="29" t="s">
        <v>1543</v>
      </c>
      <c r="D19" s="29" t="s">
        <v>1582</v>
      </c>
      <c r="E19" s="29" t="s">
        <v>1583</v>
      </c>
      <c r="F19" s="29" t="s">
        <v>618</v>
      </c>
    </row>
    <row r="20" spans="1:26" ht="14.25" hidden="1" customHeight="1" x14ac:dyDescent="0.2">
      <c r="A20" s="74">
        <v>19</v>
      </c>
      <c r="B20" s="29">
        <v>75170102</v>
      </c>
      <c r="C20" s="29" t="s">
        <v>1543</v>
      </c>
      <c r="D20" s="29" t="s">
        <v>1582</v>
      </c>
      <c r="E20" s="29" t="s">
        <v>1584</v>
      </c>
      <c r="F20" s="29" t="s">
        <v>1307</v>
      </c>
    </row>
    <row r="21" spans="1:26" ht="14.25" hidden="1" customHeight="1" x14ac:dyDescent="0.2">
      <c r="A21" s="29">
        <v>20</v>
      </c>
      <c r="B21" s="29">
        <v>83327901</v>
      </c>
      <c r="C21" s="29" t="s">
        <v>1585</v>
      </c>
      <c r="D21" s="42" t="s">
        <v>1586</v>
      </c>
      <c r="E21" s="29" t="s">
        <v>1587</v>
      </c>
      <c r="F21" s="29" t="s">
        <v>1588</v>
      </c>
    </row>
    <row r="22" spans="1:26" ht="14.25" hidden="1" customHeight="1" x14ac:dyDescent="0.2">
      <c r="A22" s="74">
        <v>21</v>
      </c>
      <c r="B22" s="29">
        <v>83327901</v>
      </c>
      <c r="C22" s="29" t="s">
        <v>1589</v>
      </c>
      <c r="D22" s="42" t="s">
        <v>1586</v>
      </c>
      <c r="E22" s="29" t="s">
        <v>1590</v>
      </c>
      <c r="F22" s="29" t="s">
        <v>1588</v>
      </c>
      <c r="G22" s="74"/>
      <c r="H22" s="74"/>
      <c r="I22" s="74"/>
      <c r="J22" s="74"/>
      <c r="K22" s="74"/>
      <c r="L22" s="74"/>
      <c r="M22" s="74"/>
      <c r="N22" s="74"/>
      <c r="O22" s="74"/>
      <c r="P22" s="74"/>
      <c r="Q22" s="74"/>
      <c r="R22" s="74"/>
      <c r="S22" s="74"/>
      <c r="T22" s="74"/>
      <c r="U22" s="74"/>
      <c r="V22" s="74"/>
      <c r="W22" s="74"/>
      <c r="X22" s="74"/>
      <c r="Y22" s="74"/>
      <c r="Z22" s="74"/>
    </row>
    <row r="23" spans="1:26" ht="14.25" hidden="1" customHeight="1" x14ac:dyDescent="0.2">
      <c r="A23" s="29">
        <v>22</v>
      </c>
      <c r="B23" s="12">
        <v>30770102</v>
      </c>
      <c r="C23" s="29" t="s">
        <v>1575</v>
      </c>
      <c r="D23" s="29" t="s">
        <v>1591</v>
      </c>
      <c r="E23" s="29" t="s">
        <v>1587</v>
      </c>
      <c r="F23" s="29" t="s">
        <v>1027</v>
      </c>
    </row>
    <row r="24" spans="1:26" ht="14.25" hidden="1" customHeight="1" x14ac:dyDescent="0.2">
      <c r="A24" s="74">
        <v>23</v>
      </c>
      <c r="B24" s="146" t="s">
        <v>1592</v>
      </c>
      <c r="C24" s="29"/>
      <c r="D24" s="29"/>
      <c r="E24" s="29"/>
      <c r="F24" s="29">
        <v>1</v>
      </c>
      <c r="G24" s="74"/>
      <c r="H24" s="74"/>
      <c r="I24" s="74"/>
      <c r="J24" s="74"/>
      <c r="K24" s="74"/>
      <c r="L24" s="74"/>
      <c r="M24" s="74"/>
      <c r="N24" s="74"/>
      <c r="O24" s="74"/>
      <c r="P24" s="74"/>
      <c r="Q24" s="74"/>
      <c r="R24" s="74"/>
      <c r="S24" s="74"/>
      <c r="T24" s="74"/>
      <c r="U24" s="74"/>
      <c r="V24" s="74"/>
      <c r="W24" s="74"/>
      <c r="X24" s="74"/>
      <c r="Y24" s="74"/>
      <c r="Z24" s="74"/>
    </row>
    <row r="25" spans="1:26" ht="14.25" hidden="1" customHeight="1" x14ac:dyDescent="0.2">
      <c r="A25" s="29">
        <v>24</v>
      </c>
      <c r="B25" s="29">
        <v>52591002</v>
      </c>
      <c r="C25" s="29" t="s">
        <v>1550</v>
      </c>
      <c r="D25" s="29" t="s">
        <v>1593</v>
      </c>
      <c r="E25" s="29" t="s">
        <v>1594</v>
      </c>
      <c r="F25" s="29" t="s">
        <v>881</v>
      </c>
    </row>
    <row r="26" spans="1:26" ht="14.25" hidden="1" customHeight="1" x14ac:dyDescent="0.2">
      <c r="A26" s="74">
        <v>25</v>
      </c>
      <c r="B26" s="29">
        <v>83327901</v>
      </c>
      <c r="C26" s="29" t="s">
        <v>1595</v>
      </c>
      <c r="D26" s="29" t="s">
        <v>1593</v>
      </c>
      <c r="E26" s="29" t="s">
        <v>1596</v>
      </c>
      <c r="F26" s="29" t="s">
        <v>1588</v>
      </c>
    </row>
    <row r="27" spans="1:26" ht="14.25" hidden="1" customHeight="1" x14ac:dyDescent="0.2">
      <c r="A27" s="29">
        <v>26</v>
      </c>
      <c r="B27" s="29">
        <v>76376601</v>
      </c>
      <c r="C27" s="29" t="s">
        <v>1550</v>
      </c>
      <c r="D27" s="29" t="s">
        <v>1597</v>
      </c>
      <c r="E27" s="29" t="s">
        <v>1594</v>
      </c>
      <c r="F27" s="29" t="s">
        <v>1598</v>
      </c>
    </row>
    <row r="28" spans="1:26" ht="14.25" hidden="1" customHeight="1" x14ac:dyDescent="0.2">
      <c r="A28" s="74">
        <v>27</v>
      </c>
      <c r="B28" s="12">
        <v>76644301</v>
      </c>
      <c r="C28" s="29" t="s">
        <v>1599</v>
      </c>
      <c r="D28" s="29" t="s">
        <v>1600</v>
      </c>
      <c r="E28" s="29" t="s">
        <v>1601</v>
      </c>
      <c r="F28" s="29" t="s">
        <v>531</v>
      </c>
    </row>
    <row r="29" spans="1:26" ht="14.25" hidden="1" customHeight="1" x14ac:dyDescent="0.2">
      <c r="A29" s="29">
        <v>28</v>
      </c>
      <c r="B29" s="12">
        <v>63109602</v>
      </c>
      <c r="C29" s="29" t="s">
        <v>1543</v>
      </c>
      <c r="D29" s="29" t="s">
        <v>1602</v>
      </c>
      <c r="E29" s="29" t="s">
        <v>1603</v>
      </c>
      <c r="F29" s="29" t="s">
        <v>1604</v>
      </c>
    </row>
    <row r="30" spans="1:26" ht="14.25" hidden="1" customHeight="1" x14ac:dyDescent="0.2">
      <c r="A30" s="74">
        <v>29</v>
      </c>
      <c r="B30" s="12">
        <v>30327902</v>
      </c>
      <c r="C30" s="29" t="s">
        <v>1605</v>
      </c>
      <c r="D30" s="29" t="s">
        <v>1606</v>
      </c>
      <c r="E30" s="29" t="s">
        <v>1607</v>
      </c>
      <c r="F30" s="29" t="s">
        <v>1057</v>
      </c>
    </row>
    <row r="31" spans="1:26" ht="14.25" hidden="1" customHeight="1" x14ac:dyDescent="0.2">
      <c r="A31" s="29">
        <v>30</v>
      </c>
      <c r="B31" s="29">
        <v>42009002</v>
      </c>
      <c r="C31" s="29" t="s">
        <v>1543</v>
      </c>
      <c r="D31" s="29" t="s">
        <v>1608</v>
      </c>
      <c r="E31" s="29" t="s">
        <v>1609</v>
      </c>
      <c r="F31" s="29" t="s">
        <v>1610</v>
      </c>
    </row>
    <row r="32" spans="1:26" ht="14.25" hidden="1" customHeight="1" x14ac:dyDescent="0.2">
      <c r="A32" s="74">
        <v>31</v>
      </c>
      <c r="B32" s="12">
        <v>59321401</v>
      </c>
      <c r="C32" s="29" t="s">
        <v>1611</v>
      </c>
      <c r="D32" s="29" t="s">
        <v>1608</v>
      </c>
      <c r="E32" s="29" t="s">
        <v>1612</v>
      </c>
      <c r="F32" s="29" t="s">
        <v>1613</v>
      </c>
    </row>
    <row r="33" spans="1:6" ht="14.25" hidden="1" customHeight="1" x14ac:dyDescent="0.2">
      <c r="A33" s="29">
        <v>32</v>
      </c>
      <c r="B33" s="29">
        <v>85215901</v>
      </c>
      <c r="C33" s="29" t="s">
        <v>1543</v>
      </c>
      <c r="D33" s="29" t="s">
        <v>1614</v>
      </c>
      <c r="E33" s="29" t="s">
        <v>1615</v>
      </c>
      <c r="F33" s="29" t="s">
        <v>567</v>
      </c>
    </row>
    <row r="34" spans="1:6" ht="14.25" hidden="1" customHeight="1" x14ac:dyDescent="0.2">
      <c r="A34" s="74">
        <v>33</v>
      </c>
      <c r="B34" s="29">
        <v>41221502</v>
      </c>
      <c r="C34" s="29" t="s">
        <v>1543</v>
      </c>
      <c r="D34" s="42">
        <v>12.9</v>
      </c>
      <c r="E34" s="29" t="s">
        <v>1616</v>
      </c>
      <c r="F34" s="29" t="s">
        <v>1139</v>
      </c>
    </row>
    <row r="35" spans="1:6" ht="14.25" hidden="1" customHeight="1" x14ac:dyDescent="0.2">
      <c r="A35" s="29">
        <v>34</v>
      </c>
      <c r="B35" s="29">
        <v>52481402</v>
      </c>
      <c r="C35" s="29" t="s">
        <v>1543</v>
      </c>
      <c r="D35" s="42">
        <v>14.9</v>
      </c>
      <c r="E35" s="29" t="s">
        <v>1617</v>
      </c>
      <c r="F35" s="29" t="s">
        <v>1163</v>
      </c>
    </row>
    <row r="36" spans="1:6" ht="14.25" hidden="1" customHeight="1" x14ac:dyDescent="0.2">
      <c r="A36" s="74">
        <v>35</v>
      </c>
      <c r="B36" s="12">
        <v>42950702</v>
      </c>
      <c r="C36" s="29" t="s">
        <v>1618</v>
      </c>
      <c r="D36" s="29" t="s">
        <v>1619</v>
      </c>
      <c r="E36" s="29" t="s">
        <v>1620</v>
      </c>
      <c r="F36" s="29" t="s">
        <v>1621</v>
      </c>
    </row>
    <row r="37" spans="1:6" ht="14.25" hidden="1" customHeight="1" x14ac:dyDescent="0.2">
      <c r="A37" s="29">
        <v>36</v>
      </c>
      <c r="B37" s="63">
        <v>21982201</v>
      </c>
      <c r="C37" s="63" t="s">
        <v>1543</v>
      </c>
      <c r="D37" s="63" t="s">
        <v>1622</v>
      </c>
      <c r="E37" s="63" t="s">
        <v>1623</v>
      </c>
      <c r="F37" s="63" t="s">
        <v>618</v>
      </c>
    </row>
    <row r="38" spans="1:6" ht="14.25" hidden="1" customHeight="1" x14ac:dyDescent="0.2">
      <c r="A38" s="74">
        <v>37</v>
      </c>
      <c r="B38" s="29">
        <v>76644301</v>
      </c>
      <c r="C38" s="29" t="s">
        <v>1550</v>
      </c>
      <c r="D38" s="29" t="s">
        <v>1622</v>
      </c>
      <c r="E38" s="29" t="s">
        <v>1594</v>
      </c>
      <c r="F38" s="29" t="s">
        <v>531</v>
      </c>
    </row>
    <row r="39" spans="1:6" ht="14.25" hidden="1" customHeight="1" x14ac:dyDescent="0.2">
      <c r="A39" s="29">
        <v>38</v>
      </c>
      <c r="B39" s="12">
        <v>41222802</v>
      </c>
      <c r="C39" s="29" t="s">
        <v>1543</v>
      </c>
      <c r="D39" s="29" t="s">
        <v>1624</v>
      </c>
      <c r="E39" s="29" t="s">
        <v>1625</v>
      </c>
      <c r="F39" s="29" t="s">
        <v>599</v>
      </c>
    </row>
    <row r="40" spans="1:6" ht="14.25" hidden="1" customHeight="1" x14ac:dyDescent="0.2">
      <c r="A40" s="74">
        <v>39</v>
      </c>
      <c r="B40" s="29">
        <v>75169802</v>
      </c>
      <c r="C40" s="29" t="s">
        <v>1543</v>
      </c>
      <c r="D40" s="29" t="s">
        <v>1624</v>
      </c>
      <c r="E40" s="29" t="s">
        <v>1609</v>
      </c>
      <c r="F40" s="29" t="s">
        <v>1626</v>
      </c>
    </row>
    <row r="41" spans="1:6" ht="14.25" hidden="1" customHeight="1" x14ac:dyDescent="0.2">
      <c r="A41" s="29">
        <v>40</v>
      </c>
      <c r="B41" s="29">
        <v>41222702</v>
      </c>
      <c r="C41" s="29" t="s">
        <v>1627</v>
      </c>
      <c r="D41" s="29" t="s">
        <v>1628</v>
      </c>
      <c r="E41" s="29" t="s">
        <v>1581</v>
      </c>
      <c r="F41" s="29" t="s">
        <v>1075</v>
      </c>
    </row>
    <row r="42" spans="1:6" ht="14.25" hidden="1" customHeight="1" x14ac:dyDescent="0.2">
      <c r="A42" s="74">
        <v>41</v>
      </c>
      <c r="B42" s="29">
        <v>41222702</v>
      </c>
      <c r="C42" s="29" t="s">
        <v>1543</v>
      </c>
      <c r="D42" s="29" t="s">
        <v>1628</v>
      </c>
      <c r="E42" s="29" t="s">
        <v>1629</v>
      </c>
      <c r="F42" s="29" t="s">
        <v>1075</v>
      </c>
    </row>
    <row r="43" spans="1:6" ht="14.25" hidden="1" customHeight="1" x14ac:dyDescent="0.2">
      <c r="A43" s="29">
        <v>42</v>
      </c>
      <c r="B43" s="29">
        <v>76644701</v>
      </c>
      <c r="C43" s="29" t="s">
        <v>1630</v>
      </c>
      <c r="D43" s="29" t="s">
        <v>1628</v>
      </c>
      <c r="E43" s="29" t="s">
        <v>1631</v>
      </c>
      <c r="F43" s="29" t="s">
        <v>806</v>
      </c>
    </row>
    <row r="44" spans="1:6" ht="14.25" hidden="1" customHeight="1" x14ac:dyDescent="0.25">
      <c r="A44" s="74">
        <v>43</v>
      </c>
      <c r="B44" s="144" t="s">
        <v>1632</v>
      </c>
      <c r="C44" s="29"/>
      <c r="D44" s="29"/>
      <c r="E44" s="29"/>
      <c r="F44" s="29">
        <v>1</v>
      </c>
    </row>
    <row r="45" spans="1:6" ht="14.25" hidden="1" customHeight="1" x14ac:dyDescent="0.2">
      <c r="A45" s="29">
        <v>44</v>
      </c>
      <c r="B45" s="29">
        <v>42008802</v>
      </c>
      <c r="C45" s="29" t="s">
        <v>1528</v>
      </c>
      <c r="D45" s="29" t="s">
        <v>1633</v>
      </c>
      <c r="E45" s="29" t="s">
        <v>1634</v>
      </c>
      <c r="F45" s="29" t="s">
        <v>501</v>
      </c>
    </row>
    <row r="46" spans="1:6" ht="14.25" hidden="1" customHeight="1" x14ac:dyDescent="0.2">
      <c r="A46" s="74">
        <v>45</v>
      </c>
      <c r="B46" s="29">
        <v>30525602</v>
      </c>
      <c r="C46" s="29" t="s">
        <v>1635</v>
      </c>
      <c r="D46" s="29" t="s">
        <v>1636</v>
      </c>
      <c r="E46" s="29" t="s">
        <v>1594</v>
      </c>
      <c r="F46" s="29" t="s">
        <v>493</v>
      </c>
    </row>
    <row r="47" spans="1:6" ht="14.25" hidden="1" customHeight="1" x14ac:dyDescent="0.2">
      <c r="A47" s="29">
        <v>46</v>
      </c>
      <c r="B47" s="12">
        <v>76644701</v>
      </c>
      <c r="C47" s="63" t="s">
        <v>1637</v>
      </c>
      <c r="D47" s="63" t="s">
        <v>1638</v>
      </c>
      <c r="E47" s="63" t="s">
        <v>1623</v>
      </c>
      <c r="F47" s="63" t="s">
        <v>806</v>
      </c>
    </row>
    <row r="48" spans="1:6" ht="14.25" hidden="1" customHeight="1" x14ac:dyDescent="0.2">
      <c r="A48" s="74">
        <v>47</v>
      </c>
      <c r="B48" s="12">
        <v>58849301</v>
      </c>
      <c r="C48" s="29" t="s">
        <v>1543</v>
      </c>
      <c r="D48" s="29" t="s">
        <v>1639</v>
      </c>
      <c r="E48" s="29" t="s">
        <v>1594</v>
      </c>
      <c r="F48" s="29" t="s">
        <v>1640</v>
      </c>
    </row>
    <row r="49" spans="1:6" ht="14.25" hidden="1" customHeight="1" x14ac:dyDescent="0.2">
      <c r="A49" s="29">
        <v>48</v>
      </c>
      <c r="B49" s="29">
        <v>61872202</v>
      </c>
      <c r="C49" s="29" t="s">
        <v>1641</v>
      </c>
      <c r="D49" s="29" t="s">
        <v>1639</v>
      </c>
      <c r="E49" s="29" t="s">
        <v>1642</v>
      </c>
      <c r="F49" s="29" t="s">
        <v>1643</v>
      </c>
    </row>
    <row r="50" spans="1:6" ht="14.25" hidden="1" customHeight="1" x14ac:dyDescent="0.2">
      <c r="A50" s="74">
        <v>49</v>
      </c>
      <c r="B50" s="29">
        <v>21982201</v>
      </c>
      <c r="C50" s="29" t="s">
        <v>1543</v>
      </c>
      <c r="D50" s="29" t="s">
        <v>1644</v>
      </c>
      <c r="E50" s="29" t="s">
        <v>1645</v>
      </c>
      <c r="F50" s="29" t="s">
        <v>618</v>
      </c>
    </row>
    <row r="51" spans="1:6" ht="14.25" hidden="1" customHeight="1" x14ac:dyDescent="0.25">
      <c r="A51" s="29">
        <v>50</v>
      </c>
      <c r="B51" s="144" t="s">
        <v>1646</v>
      </c>
      <c r="C51" s="29"/>
      <c r="D51" s="29"/>
      <c r="E51" s="29"/>
      <c r="F51" s="29">
        <v>1</v>
      </c>
    </row>
    <row r="52" spans="1:6" ht="14.25" hidden="1" customHeight="1" x14ac:dyDescent="0.2">
      <c r="A52" s="74">
        <v>51</v>
      </c>
      <c r="B52" s="29">
        <v>76376401</v>
      </c>
      <c r="C52" s="29" t="s">
        <v>1543</v>
      </c>
      <c r="D52" s="29" t="s">
        <v>1647</v>
      </c>
      <c r="E52" s="29" t="s">
        <v>1648</v>
      </c>
      <c r="F52" s="29" t="s">
        <v>601</v>
      </c>
    </row>
    <row r="53" spans="1:6" ht="14.25" hidden="1" customHeight="1" x14ac:dyDescent="0.2">
      <c r="A53" s="29">
        <v>52</v>
      </c>
      <c r="B53" s="29">
        <v>76644701</v>
      </c>
      <c r="C53" s="29" t="s">
        <v>1649</v>
      </c>
      <c r="D53" s="29" t="s">
        <v>1650</v>
      </c>
      <c r="E53" s="29" t="s">
        <v>1651</v>
      </c>
      <c r="F53" s="29" t="s">
        <v>806</v>
      </c>
    </row>
    <row r="54" spans="1:6" ht="14.25" hidden="1" customHeight="1" x14ac:dyDescent="0.2">
      <c r="A54" s="74">
        <v>53</v>
      </c>
      <c r="B54" s="29">
        <v>12198203</v>
      </c>
      <c r="C54" s="29" t="s">
        <v>1652</v>
      </c>
      <c r="D54" s="29" t="s">
        <v>1650</v>
      </c>
      <c r="E54" s="29" t="s">
        <v>1653</v>
      </c>
      <c r="F54" s="29" t="s">
        <v>1588</v>
      </c>
    </row>
    <row r="55" spans="1:6" ht="14.25" hidden="1" customHeight="1" x14ac:dyDescent="0.2">
      <c r="A55" s="29">
        <v>54</v>
      </c>
      <c r="B55" s="29">
        <v>83027002</v>
      </c>
      <c r="C55" s="29" t="s">
        <v>1654</v>
      </c>
      <c r="D55" s="29" t="s">
        <v>1655</v>
      </c>
      <c r="E55" s="29" t="s">
        <v>1656</v>
      </c>
      <c r="F55" s="29" t="s">
        <v>1657</v>
      </c>
    </row>
    <row r="56" spans="1:6" ht="14.25" hidden="1" customHeight="1" x14ac:dyDescent="0.2">
      <c r="A56" s="74">
        <v>55</v>
      </c>
      <c r="B56" s="29">
        <v>20425302</v>
      </c>
      <c r="C56" s="29" t="s">
        <v>1543</v>
      </c>
      <c r="D56" s="29" t="s">
        <v>1658</v>
      </c>
      <c r="E56" s="29" t="s">
        <v>1659</v>
      </c>
      <c r="F56" s="29" t="s">
        <v>1014</v>
      </c>
    </row>
    <row r="57" spans="1:6" ht="14.25" hidden="1" customHeight="1" x14ac:dyDescent="0.2">
      <c r="A57" s="29">
        <v>56</v>
      </c>
      <c r="B57" s="63">
        <v>61872202</v>
      </c>
      <c r="C57" s="63" t="s">
        <v>1543</v>
      </c>
      <c r="D57" s="63" t="s">
        <v>1658</v>
      </c>
      <c r="E57" s="63" t="s">
        <v>1660</v>
      </c>
      <c r="F57" s="63" t="s">
        <v>897</v>
      </c>
    </row>
    <row r="58" spans="1:6" ht="14.25" hidden="1" customHeight="1" x14ac:dyDescent="0.2">
      <c r="A58" s="74">
        <v>57</v>
      </c>
      <c r="B58" s="29">
        <v>30770102</v>
      </c>
      <c r="C58" s="29" t="s">
        <v>1543</v>
      </c>
      <c r="D58" s="29" t="s">
        <v>1661</v>
      </c>
      <c r="E58" s="29" t="s">
        <v>1662</v>
      </c>
      <c r="F58" s="29" t="s">
        <v>1027</v>
      </c>
    </row>
    <row r="59" spans="1:6" ht="14.25" hidden="1" customHeight="1" x14ac:dyDescent="0.2">
      <c r="A59" s="29">
        <v>58</v>
      </c>
      <c r="B59" s="29">
        <v>61872202</v>
      </c>
      <c r="C59" s="29" t="s">
        <v>1543</v>
      </c>
      <c r="D59" s="29" t="s">
        <v>1663</v>
      </c>
      <c r="E59" s="29" t="s">
        <v>1664</v>
      </c>
      <c r="F59" s="29" t="s">
        <v>897</v>
      </c>
    </row>
    <row r="60" spans="1:6" ht="14.25" hidden="1" customHeight="1" x14ac:dyDescent="0.2">
      <c r="A60" s="74">
        <v>59</v>
      </c>
      <c r="B60" s="29">
        <v>42950702</v>
      </c>
      <c r="C60" s="29" t="s">
        <v>1654</v>
      </c>
      <c r="D60" s="29" t="s">
        <v>1665</v>
      </c>
      <c r="E60" s="29" t="s">
        <v>1666</v>
      </c>
      <c r="F60" s="29" t="s">
        <v>1667</v>
      </c>
    </row>
    <row r="61" spans="1:6" ht="14.25" hidden="1" customHeight="1" x14ac:dyDescent="0.2">
      <c r="A61" s="29">
        <v>60</v>
      </c>
      <c r="B61" s="29">
        <v>42008802</v>
      </c>
      <c r="C61" s="29" t="s">
        <v>1543</v>
      </c>
      <c r="D61" s="29" t="s">
        <v>1665</v>
      </c>
      <c r="E61" s="29" t="s">
        <v>1668</v>
      </c>
      <c r="F61" s="29" t="s">
        <v>501</v>
      </c>
    </row>
    <row r="62" spans="1:6" ht="14.25" hidden="1" customHeight="1" x14ac:dyDescent="0.2">
      <c r="A62" s="74">
        <v>61</v>
      </c>
      <c r="B62" s="29">
        <v>42008902</v>
      </c>
      <c r="C62" s="29" t="s">
        <v>1543</v>
      </c>
      <c r="D62" s="29" t="s">
        <v>1669</v>
      </c>
      <c r="E62" s="29" t="s">
        <v>1594</v>
      </c>
      <c r="F62" s="29" t="s">
        <v>1039</v>
      </c>
    </row>
    <row r="63" spans="1:6" ht="14.25" hidden="1" customHeight="1" x14ac:dyDescent="0.2">
      <c r="A63" s="29">
        <v>62</v>
      </c>
      <c r="B63" s="29">
        <v>52591002</v>
      </c>
      <c r="C63" s="29" t="s">
        <v>1528</v>
      </c>
      <c r="D63" s="29" t="s">
        <v>1670</v>
      </c>
      <c r="E63" s="29" t="s">
        <v>1671</v>
      </c>
      <c r="F63" s="29" t="s">
        <v>881</v>
      </c>
    </row>
    <row r="64" spans="1:6" ht="14.25" hidden="1" customHeight="1" x14ac:dyDescent="0.2">
      <c r="A64" s="74">
        <v>63</v>
      </c>
      <c r="B64" s="29">
        <v>12198203</v>
      </c>
      <c r="C64" s="29" t="s">
        <v>1528</v>
      </c>
      <c r="D64" s="29" t="s">
        <v>1670</v>
      </c>
      <c r="E64" s="29" t="s">
        <v>1671</v>
      </c>
      <c r="F64" s="29" t="s">
        <v>1588</v>
      </c>
    </row>
    <row r="65" spans="1:6" ht="14.25" hidden="1" customHeight="1" x14ac:dyDescent="0.2">
      <c r="A65" s="29">
        <v>64</v>
      </c>
      <c r="B65" s="29">
        <v>20425302</v>
      </c>
      <c r="C65" s="29" t="s">
        <v>1528</v>
      </c>
      <c r="D65" s="29" t="s">
        <v>1672</v>
      </c>
      <c r="E65" s="29" t="s">
        <v>1673</v>
      </c>
      <c r="F65" s="29" t="s">
        <v>1014</v>
      </c>
    </row>
    <row r="66" spans="1:6" ht="14.25" hidden="1" customHeight="1" x14ac:dyDescent="0.2">
      <c r="A66" s="74">
        <v>65</v>
      </c>
      <c r="B66" s="29">
        <v>85045802</v>
      </c>
      <c r="C66" s="29" t="s">
        <v>1528</v>
      </c>
      <c r="D66" s="29" t="s">
        <v>1670</v>
      </c>
      <c r="E66" s="29" t="s">
        <v>1653</v>
      </c>
      <c r="F66" s="29" t="s">
        <v>1574</v>
      </c>
    </row>
    <row r="67" spans="1:6" ht="14.25" hidden="1" customHeight="1" x14ac:dyDescent="0.2">
      <c r="A67" s="29">
        <v>66</v>
      </c>
      <c r="B67" s="29">
        <v>79735202</v>
      </c>
      <c r="C67" s="29" t="s">
        <v>1528</v>
      </c>
      <c r="D67" s="29" t="s">
        <v>1674</v>
      </c>
      <c r="E67" s="29" t="s">
        <v>1675</v>
      </c>
      <c r="F67" s="29" t="s">
        <v>769</v>
      </c>
    </row>
    <row r="68" spans="1:6" ht="14.25" hidden="1" customHeight="1" x14ac:dyDescent="0.2">
      <c r="A68" s="74">
        <v>67</v>
      </c>
      <c r="B68" s="63">
        <v>42008802</v>
      </c>
      <c r="C68" s="63" t="s">
        <v>1543</v>
      </c>
      <c r="D68" s="63" t="s">
        <v>1676</v>
      </c>
      <c r="E68" s="63" t="s">
        <v>1677</v>
      </c>
      <c r="F68" s="63" t="s">
        <v>1678</v>
      </c>
    </row>
    <row r="69" spans="1:6" ht="14.25" hidden="1" customHeight="1" x14ac:dyDescent="0.2">
      <c r="A69" s="29">
        <v>68</v>
      </c>
      <c r="B69" s="63">
        <v>52481402</v>
      </c>
      <c r="C69" s="63" t="s">
        <v>1679</v>
      </c>
      <c r="D69" s="63" t="s">
        <v>1680</v>
      </c>
      <c r="E69" s="63" t="s">
        <v>1681</v>
      </c>
      <c r="F69" s="63" t="s">
        <v>1163</v>
      </c>
    </row>
    <row r="70" spans="1:6" ht="14.25" hidden="1" customHeight="1" x14ac:dyDescent="0.25">
      <c r="A70" s="74">
        <v>69</v>
      </c>
      <c r="B70" s="144" t="s">
        <v>1682</v>
      </c>
      <c r="C70" s="29"/>
      <c r="D70" s="29"/>
      <c r="E70" s="29"/>
      <c r="F70" s="29">
        <v>1</v>
      </c>
    </row>
    <row r="71" spans="1:6" ht="14.25" hidden="1" customHeight="1" x14ac:dyDescent="0.2">
      <c r="A71" s="29">
        <v>70</v>
      </c>
      <c r="B71" s="29">
        <v>41222802</v>
      </c>
      <c r="C71" s="29" t="s">
        <v>1543</v>
      </c>
      <c r="D71" s="29" t="s">
        <v>1683</v>
      </c>
      <c r="E71" s="29" t="s">
        <v>1662</v>
      </c>
      <c r="F71" s="29" t="s">
        <v>599</v>
      </c>
    </row>
    <row r="72" spans="1:6" ht="14.25" hidden="1" customHeight="1" x14ac:dyDescent="0.2">
      <c r="A72" s="74">
        <v>71</v>
      </c>
      <c r="B72" s="29">
        <v>66735302</v>
      </c>
      <c r="C72" s="29" t="s">
        <v>1543</v>
      </c>
      <c r="D72" s="29" t="s">
        <v>1683</v>
      </c>
      <c r="E72" s="29" t="s">
        <v>1629</v>
      </c>
      <c r="F72" s="29" t="s">
        <v>1108</v>
      </c>
    </row>
    <row r="73" spans="1:6" ht="14.25" hidden="1" customHeight="1" x14ac:dyDescent="0.2">
      <c r="A73" s="29">
        <v>72</v>
      </c>
      <c r="B73" s="29">
        <v>76644701</v>
      </c>
      <c r="C73" s="29" t="s">
        <v>1654</v>
      </c>
      <c r="D73" s="29" t="s">
        <v>1683</v>
      </c>
      <c r="E73" s="29" t="s">
        <v>1684</v>
      </c>
      <c r="F73" s="29" t="s">
        <v>806</v>
      </c>
    </row>
    <row r="74" spans="1:6" ht="14.25" hidden="1" customHeight="1" x14ac:dyDescent="0.2">
      <c r="A74" s="74">
        <v>73</v>
      </c>
      <c r="B74" s="29">
        <v>83327901</v>
      </c>
      <c r="C74" s="29" t="s">
        <v>1528</v>
      </c>
      <c r="D74" s="29" t="s">
        <v>1685</v>
      </c>
      <c r="E74" s="29" t="s">
        <v>1686</v>
      </c>
      <c r="F74" s="29" t="s">
        <v>723</v>
      </c>
    </row>
    <row r="75" spans="1:6" ht="14.25" hidden="1" customHeight="1" x14ac:dyDescent="0.2">
      <c r="A75" s="29">
        <v>74</v>
      </c>
      <c r="B75" s="63">
        <v>76644701</v>
      </c>
      <c r="C75" s="65" t="s">
        <v>1687</v>
      </c>
      <c r="D75" s="63" t="s">
        <v>1688</v>
      </c>
      <c r="E75" s="63" t="s">
        <v>1689</v>
      </c>
      <c r="F75" s="63" t="s">
        <v>806</v>
      </c>
    </row>
    <row r="76" spans="1:6" ht="14.25" hidden="1" customHeight="1" x14ac:dyDescent="0.2">
      <c r="A76" s="74">
        <v>75</v>
      </c>
      <c r="B76" s="29">
        <v>75170102</v>
      </c>
      <c r="C76" s="29" t="s">
        <v>1690</v>
      </c>
      <c r="D76" s="29" t="s">
        <v>1691</v>
      </c>
      <c r="E76" s="29" t="s">
        <v>1692</v>
      </c>
      <c r="F76" s="29" t="s">
        <v>1307</v>
      </c>
    </row>
    <row r="77" spans="1:6" ht="14.25" hidden="1" customHeight="1" x14ac:dyDescent="0.2">
      <c r="A77" s="29">
        <v>76</v>
      </c>
      <c r="B77" s="29">
        <v>42948502</v>
      </c>
      <c r="C77" s="29" t="s">
        <v>1693</v>
      </c>
      <c r="D77" s="29" t="s">
        <v>1694</v>
      </c>
      <c r="E77" s="29" t="s">
        <v>1653</v>
      </c>
      <c r="F77" s="29" t="s">
        <v>552</v>
      </c>
    </row>
    <row r="78" spans="1:6" ht="14.25" hidden="1" customHeight="1" x14ac:dyDescent="0.2">
      <c r="A78" s="74">
        <v>77</v>
      </c>
      <c r="B78" s="29">
        <v>76644701</v>
      </c>
      <c r="C78" s="29" t="s">
        <v>1695</v>
      </c>
      <c r="D78" s="29" t="s">
        <v>1694</v>
      </c>
      <c r="E78" s="29" t="s">
        <v>1696</v>
      </c>
      <c r="F78" s="29" t="s">
        <v>806</v>
      </c>
    </row>
    <row r="79" spans="1:6" ht="14.25" hidden="1" customHeight="1" x14ac:dyDescent="0.2">
      <c r="A79" s="29">
        <v>78</v>
      </c>
      <c r="B79" s="29">
        <v>66723902</v>
      </c>
      <c r="C79" s="29" t="s">
        <v>1530</v>
      </c>
      <c r="D79" s="29" t="s">
        <v>1697</v>
      </c>
      <c r="E79" s="29" t="s">
        <v>1698</v>
      </c>
      <c r="F79" s="29" t="s">
        <v>671</v>
      </c>
    </row>
    <row r="80" spans="1:6" ht="14.25" hidden="1" customHeight="1" x14ac:dyDescent="0.2">
      <c r="A80" s="74">
        <v>79</v>
      </c>
      <c r="B80" s="29">
        <v>12198203</v>
      </c>
      <c r="C80" s="29" t="s">
        <v>1699</v>
      </c>
      <c r="D80" s="29"/>
      <c r="E80" s="29" t="s">
        <v>1700</v>
      </c>
      <c r="F80" s="29" t="s">
        <v>1588</v>
      </c>
    </row>
    <row r="81" spans="1:6" ht="14.25" hidden="1" customHeight="1" x14ac:dyDescent="0.2">
      <c r="A81" s="29">
        <v>80</v>
      </c>
      <c r="B81" s="26">
        <v>76376601</v>
      </c>
      <c r="C81" s="29" t="s">
        <v>1654</v>
      </c>
      <c r="D81" s="29" t="s">
        <v>1691</v>
      </c>
      <c r="E81" s="29" t="s">
        <v>1701</v>
      </c>
      <c r="F81" s="29" t="s">
        <v>1598</v>
      </c>
    </row>
    <row r="82" spans="1:6" ht="14.25" hidden="1" customHeight="1" x14ac:dyDescent="0.2">
      <c r="A82" s="74">
        <v>81</v>
      </c>
      <c r="B82" s="29">
        <v>30327902</v>
      </c>
      <c r="C82" s="29" t="s">
        <v>1702</v>
      </c>
      <c r="D82" s="29" t="s">
        <v>1703</v>
      </c>
      <c r="E82" s="29" t="s">
        <v>1704</v>
      </c>
      <c r="F82" s="29" t="s">
        <v>1705</v>
      </c>
    </row>
    <row r="83" spans="1:6" ht="14.25" hidden="1" customHeight="1" x14ac:dyDescent="0.2">
      <c r="A83" s="29">
        <v>82</v>
      </c>
      <c r="B83" s="29">
        <v>52591002</v>
      </c>
      <c r="C83" s="29" t="s">
        <v>1637</v>
      </c>
      <c r="D83" s="29" t="s">
        <v>1706</v>
      </c>
      <c r="E83" s="29" t="s">
        <v>1707</v>
      </c>
      <c r="F83" s="29" t="s">
        <v>1708</v>
      </c>
    </row>
    <row r="84" spans="1:6" ht="18.75" hidden="1" customHeight="1" x14ac:dyDescent="0.2">
      <c r="A84" s="74">
        <v>83</v>
      </c>
      <c r="B84" s="29">
        <v>30525602</v>
      </c>
      <c r="C84" s="29" t="s">
        <v>1709</v>
      </c>
      <c r="D84" s="29" t="s">
        <v>1703</v>
      </c>
      <c r="E84" s="29" t="s">
        <v>1710</v>
      </c>
      <c r="F84" s="29" t="s">
        <v>723</v>
      </c>
    </row>
    <row r="85" spans="1:6" ht="14.25" hidden="1" customHeight="1" x14ac:dyDescent="0.2">
      <c r="A85" s="29">
        <v>84</v>
      </c>
      <c r="B85" s="29">
        <v>76376601</v>
      </c>
      <c r="C85" s="29" t="s">
        <v>1711</v>
      </c>
      <c r="D85" s="29" t="s">
        <v>1706</v>
      </c>
      <c r="E85" s="29" t="s">
        <v>1712</v>
      </c>
      <c r="F85" s="29" t="s">
        <v>1598</v>
      </c>
    </row>
    <row r="86" spans="1:6" ht="14.25" hidden="1" customHeight="1" x14ac:dyDescent="0.2">
      <c r="A86" s="74">
        <v>85</v>
      </c>
      <c r="B86" s="29">
        <v>58849301</v>
      </c>
      <c r="C86" s="29"/>
      <c r="D86" s="29" t="s">
        <v>1713</v>
      </c>
      <c r="E86" s="29" t="s">
        <v>1714</v>
      </c>
      <c r="F86" s="29" t="s">
        <v>539</v>
      </c>
    </row>
    <row r="87" spans="1:6" ht="14.25" hidden="1" customHeight="1" x14ac:dyDescent="0.2">
      <c r="A87" s="29">
        <v>86</v>
      </c>
      <c r="B87" s="63">
        <v>14070201</v>
      </c>
      <c r="C87" s="63" t="s">
        <v>1715</v>
      </c>
      <c r="D87" s="63" t="s">
        <v>1716</v>
      </c>
      <c r="E87" s="63" t="s">
        <v>1717</v>
      </c>
      <c r="F87" s="63" t="s">
        <v>766</v>
      </c>
    </row>
    <row r="88" spans="1:6" ht="14.25" hidden="1" customHeight="1" x14ac:dyDescent="0.2">
      <c r="A88" s="74">
        <v>87</v>
      </c>
      <c r="B88" s="29">
        <v>42949102</v>
      </c>
      <c r="C88" s="29" t="s">
        <v>1530</v>
      </c>
      <c r="D88" s="29" t="s">
        <v>1718</v>
      </c>
      <c r="E88" s="29" t="s">
        <v>1623</v>
      </c>
      <c r="F88" s="29" t="s">
        <v>709</v>
      </c>
    </row>
    <row r="89" spans="1:6" ht="14.25" hidden="1" customHeight="1" x14ac:dyDescent="0.2">
      <c r="A89" s="29">
        <v>88</v>
      </c>
      <c r="B89" s="29">
        <v>52481402</v>
      </c>
      <c r="C89" s="29" t="s">
        <v>1543</v>
      </c>
      <c r="D89" s="29" t="s">
        <v>1718</v>
      </c>
      <c r="E89" s="29" t="s">
        <v>1719</v>
      </c>
      <c r="F89" s="29" t="s">
        <v>1163</v>
      </c>
    </row>
    <row r="90" spans="1:6" ht="14.25" hidden="1" customHeight="1" x14ac:dyDescent="0.2">
      <c r="A90" s="74">
        <v>89</v>
      </c>
      <c r="B90" s="29">
        <v>30033901</v>
      </c>
      <c r="C90" s="29" t="s">
        <v>1720</v>
      </c>
      <c r="D90" s="29" t="s">
        <v>1582</v>
      </c>
      <c r="E90" s="29" t="s">
        <v>1721</v>
      </c>
      <c r="F90" s="29" t="s">
        <v>539</v>
      </c>
    </row>
    <row r="91" spans="1:6" ht="14.25" hidden="1" customHeight="1" x14ac:dyDescent="0.2">
      <c r="A91" s="29">
        <v>90</v>
      </c>
      <c r="B91" s="29">
        <v>76644701</v>
      </c>
      <c r="C91" s="29" t="s">
        <v>1637</v>
      </c>
      <c r="D91" s="29" t="s">
        <v>1722</v>
      </c>
      <c r="E91" s="29" t="s">
        <v>1723</v>
      </c>
      <c r="F91" s="29" t="s">
        <v>806</v>
      </c>
    </row>
    <row r="92" spans="1:6" ht="14.25" hidden="1" customHeight="1" x14ac:dyDescent="0.2">
      <c r="A92" s="29">
        <v>91</v>
      </c>
      <c r="B92" s="29">
        <v>31404502</v>
      </c>
      <c r="C92" s="29" t="s">
        <v>1530</v>
      </c>
      <c r="D92" s="29" t="s">
        <v>1724</v>
      </c>
      <c r="E92" s="29" t="s">
        <v>1725</v>
      </c>
      <c r="F92" s="29" t="s">
        <v>1043</v>
      </c>
    </row>
    <row r="93" spans="1:6" ht="14.25" hidden="1" customHeight="1" x14ac:dyDescent="0.2">
      <c r="A93" s="29">
        <v>92</v>
      </c>
      <c r="B93" s="29">
        <v>85215901</v>
      </c>
      <c r="C93" s="29" t="s">
        <v>1543</v>
      </c>
      <c r="D93" s="29" t="s">
        <v>1726</v>
      </c>
      <c r="E93" s="29" t="s">
        <v>1594</v>
      </c>
      <c r="F93" s="29" t="s">
        <v>567</v>
      </c>
    </row>
    <row r="94" spans="1:6" ht="14.25" hidden="1" customHeight="1" x14ac:dyDescent="0.2">
      <c r="A94" s="29">
        <v>93</v>
      </c>
      <c r="B94" s="29">
        <v>30525602</v>
      </c>
      <c r="C94" s="29" t="s">
        <v>1543</v>
      </c>
      <c r="D94" s="29" t="s">
        <v>1727</v>
      </c>
      <c r="E94" s="29" t="s">
        <v>1594</v>
      </c>
      <c r="F94" s="29" t="s">
        <v>723</v>
      </c>
    </row>
    <row r="95" spans="1:6" ht="14.25" hidden="1" customHeight="1" x14ac:dyDescent="0.2">
      <c r="A95" s="29">
        <v>94</v>
      </c>
      <c r="B95" s="29">
        <v>75169802</v>
      </c>
      <c r="C95" s="29" t="s">
        <v>1543</v>
      </c>
      <c r="D95" s="29" t="s">
        <v>1728</v>
      </c>
      <c r="E95" s="29" t="s">
        <v>1594</v>
      </c>
      <c r="F95" s="29" t="s">
        <v>1729</v>
      </c>
    </row>
    <row r="96" spans="1:6" ht="14.25" hidden="1" customHeight="1" x14ac:dyDescent="0.2">
      <c r="A96" s="29">
        <v>95</v>
      </c>
      <c r="B96" s="29">
        <v>85215901</v>
      </c>
      <c r="C96" s="29" t="s">
        <v>1730</v>
      </c>
      <c r="D96" s="29" t="s">
        <v>1694</v>
      </c>
      <c r="E96" s="29" t="s">
        <v>1731</v>
      </c>
      <c r="F96" s="29" t="s">
        <v>567</v>
      </c>
    </row>
    <row r="97" spans="1:6" ht="14.25" hidden="1" customHeight="1" x14ac:dyDescent="0.2">
      <c r="A97" s="29">
        <v>96</v>
      </c>
      <c r="B97" s="29">
        <v>41221502</v>
      </c>
      <c r="C97" s="29" t="s">
        <v>1732</v>
      </c>
      <c r="D97" s="29" t="s">
        <v>1718</v>
      </c>
      <c r="E97" s="29" t="s">
        <v>1673</v>
      </c>
      <c r="F97" s="29" t="s">
        <v>1139</v>
      </c>
    </row>
    <row r="98" spans="1:6" ht="14.25" hidden="1" customHeight="1" x14ac:dyDescent="0.25">
      <c r="A98" s="29"/>
      <c r="B98" s="144" t="s">
        <v>1733</v>
      </c>
      <c r="C98" s="29"/>
      <c r="D98" s="29"/>
      <c r="E98" s="29"/>
      <c r="F98" s="29">
        <v>1</v>
      </c>
    </row>
    <row r="99" spans="1:6" ht="14.25" hidden="1" customHeight="1" x14ac:dyDescent="0.2">
      <c r="A99" s="29">
        <v>97</v>
      </c>
      <c r="B99" s="29">
        <v>41222802</v>
      </c>
      <c r="C99" s="29" t="s">
        <v>1734</v>
      </c>
      <c r="D99" s="29" t="s">
        <v>304</v>
      </c>
      <c r="E99" s="29" t="s">
        <v>1653</v>
      </c>
      <c r="F99" s="29" t="s">
        <v>599</v>
      </c>
    </row>
    <row r="100" spans="1:6" ht="14.25" hidden="1" customHeight="1" x14ac:dyDescent="0.2">
      <c r="A100" s="29">
        <v>98</v>
      </c>
      <c r="B100" s="29">
        <v>52481402</v>
      </c>
      <c r="C100" s="29" t="s">
        <v>1543</v>
      </c>
      <c r="D100" s="29" t="s">
        <v>1735</v>
      </c>
      <c r="E100" s="29" t="s">
        <v>1594</v>
      </c>
      <c r="F100" s="29" t="s">
        <v>1163</v>
      </c>
    </row>
    <row r="101" spans="1:6" ht="14.25" hidden="1" customHeight="1" x14ac:dyDescent="0.2">
      <c r="A101" s="29">
        <v>99</v>
      </c>
      <c r="B101" s="29">
        <v>85215901</v>
      </c>
      <c r="C101" s="29" t="s">
        <v>1543</v>
      </c>
      <c r="D101" s="29" t="s">
        <v>1736</v>
      </c>
      <c r="E101" s="29" t="s">
        <v>1737</v>
      </c>
      <c r="F101" s="29" t="s">
        <v>567</v>
      </c>
    </row>
    <row r="102" spans="1:6" ht="14.25" hidden="1" customHeight="1" x14ac:dyDescent="0.2">
      <c r="A102" s="29">
        <v>100</v>
      </c>
      <c r="B102" s="29">
        <v>58849301</v>
      </c>
      <c r="C102" s="29" t="s">
        <v>1530</v>
      </c>
      <c r="D102" s="29" t="s">
        <v>1736</v>
      </c>
      <c r="E102" s="29" t="s">
        <v>1594</v>
      </c>
      <c r="F102" s="29" t="s">
        <v>539</v>
      </c>
    </row>
    <row r="103" spans="1:6" ht="14.25" hidden="1" customHeight="1" x14ac:dyDescent="0.2">
      <c r="A103" s="29">
        <v>101</v>
      </c>
      <c r="B103" s="29">
        <v>42008802</v>
      </c>
      <c r="C103" s="29" t="s">
        <v>1530</v>
      </c>
      <c r="D103" s="29" t="s">
        <v>1738</v>
      </c>
      <c r="E103" s="29" t="s">
        <v>1739</v>
      </c>
      <c r="F103" s="29" t="s">
        <v>501</v>
      </c>
    </row>
    <row r="104" spans="1:6" ht="14.25" hidden="1" customHeight="1" x14ac:dyDescent="0.2">
      <c r="A104" s="29">
        <v>102</v>
      </c>
      <c r="B104" s="29">
        <v>63109602</v>
      </c>
      <c r="C104" s="29" t="s">
        <v>1530</v>
      </c>
      <c r="D104" s="29" t="s">
        <v>1740</v>
      </c>
      <c r="E104" s="29" t="s">
        <v>1594</v>
      </c>
      <c r="F104" s="29" t="s">
        <v>1604</v>
      </c>
    </row>
    <row r="105" spans="1:6" ht="14.25" hidden="1" customHeight="1" x14ac:dyDescent="0.2">
      <c r="A105" s="29">
        <v>103</v>
      </c>
      <c r="B105" s="29">
        <v>64078501</v>
      </c>
      <c r="C105" s="29" t="s">
        <v>1543</v>
      </c>
      <c r="D105" s="29" t="s">
        <v>1741</v>
      </c>
      <c r="E105" s="29" t="s">
        <v>1742</v>
      </c>
      <c r="F105" s="29" t="s">
        <v>590</v>
      </c>
    </row>
    <row r="106" spans="1:6" ht="14.25" hidden="1" customHeight="1" x14ac:dyDescent="0.2">
      <c r="A106" s="29">
        <v>104</v>
      </c>
      <c r="B106" s="29">
        <v>30770102</v>
      </c>
      <c r="C106" s="29" t="s">
        <v>1543</v>
      </c>
      <c r="D106" s="29" t="s">
        <v>1741</v>
      </c>
      <c r="E106" s="29" t="s">
        <v>1743</v>
      </c>
      <c r="F106" s="29" t="s">
        <v>1027</v>
      </c>
    </row>
    <row r="107" spans="1:6" ht="14.25" hidden="1" customHeight="1" x14ac:dyDescent="0.2">
      <c r="A107" s="29">
        <v>105</v>
      </c>
      <c r="B107" s="29">
        <v>42948502</v>
      </c>
      <c r="C107" s="29" t="s">
        <v>1543</v>
      </c>
      <c r="D107" s="29" t="s">
        <v>1744</v>
      </c>
      <c r="E107" s="29" t="s">
        <v>1659</v>
      </c>
      <c r="F107" s="29" t="s">
        <v>552</v>
      </c>
    </row>
    <row r="108" spans="1:6" ht="14.25" hidden="1" customHeight="1" x14ac:dyDescent="0.2">
      <c r="A108" s="29">
        <v>106</v>
      </c>
      <c r="B108" s="29">
        <v>52150302</v>
      </c>
      <c r="C108" s="29" t="s">
        <v>1543</v>
      </c>
      <c r="D108" s="29" t="s">
        <v>1745</v>
      </c>
      <c r="E108" s="29" t="s">
        <v>1568</v>
      </c>
      <c r="F108" s="29" t="s">
        <v>1406</v>
      </c>
    </row>
    <row r="109" spans="1:6" ht="14.25" hidden="1" customHeight="1" x14ac:dyDescent="0.2">
      <c r="A109" s="29">
        <v>107</v>
      </c>
      <c r="B109" s="29">
        <v>79740702</v>
      </c>
      <c r="C109" s="29" t="s">
        <v>1746</v>
      </c>
      <c r="D109" s="29" t="s">
        <v>1745</v>
      </c>
      <c r="E109" s="29" t="s">
        <v>1717</v>
      </c>
      <c r="F109" s="29" t="s">
        <v>860</v>
      </c>
    </row>
    <row r="110" spans="1:6" ht="14.25" hidden="1" customHeight="1" x14ac:dyDescent="0.2">
      <c r="A110" s="29">
        <v>108</v>
      </c>
      <c r="B110" s="29">
        <v>75170102</v>
      </c>
      <c r="C110" s="29" t="s">
        <v>1543</v>
      </c>
      <c r="D110" s="29" t="s">
        <v>1745</v>
      </c>
      <c r="E110" s="29" t="s">
        <v>1609</v>
      </c>
      <c r="F110" s="29" t="s">
        <v>1307</v>
      </c>
    </row>
    <row r="111" spans="1:6" ht="14.25" hidden="1" customHeight="1" x14ac:dyDescent="0.2">
      <c r="A111" s="29">
        <v>109</v>
      </c>
      <c r="B111" s="29">
        <v>21982201</v>
      </c>
      <c r="C111" s="29" t="s">
        <v>1543</v>
      </c>
      <c r="D111" s="29" t="s">
        <v>1747</v>
      </c>
      <c r="E111" s="29" t="s">
        <v>1748</v>
      </c>
      <c r="F111" s="29" t="s">
        <v>618</v>
      </c>
    </row>
    <row r="112" spans="1:6" ht="14.25" hidden="1" customHeight="1" x14ac:dyDescent="0.2">
      <c r="A112" s="29">
        <v>110</v>
      </c>
      <c r="B112" s="29">
        <v>76644701</v>
      </c>
      <c r="C112" s="29" t="s">
        <v>1637</v>
      </c>
      <c r="D112" s="29" t="s">
        <v>1749</v>
      </c>
      <c r="E112" s="29" t="s">
        <v>1750</v>
      </c>
      <c r="F112" s="29" t="s">
        <v>774</v>
      </c>
    </row>
    <row r="113" spans="1:6" ht="14.25" hidden="1" customHeight="1" x14ac:dyDescent="0.2">
      <c r="A113" s="29">
        <v>111</v>
      </c>
      <c r="B113" s="29">
        <v>41222702</v>
      </c>
      <c r="C113" s="29" t="s">
        <v>1543</v>
      </c>
      <c r="D113" s="29" t="s">
        <v>1751</v>
      </c>
      <c r="E113" s="29" t="s">
        <v>1662</v>
      </c>
      <c r="F113" s="29" t="s">
        <v>1075</v>
      </c>
    </row>
    <row r="114" spans="1:6" ht="14.25" hidden="1" customHeight="1" x14ac:dyDescent="0.2">
      <c r="A114" s="29">
        <v>112</v>
      </c>
      <c r="B114" s="29">
        <v>41221502</v>
      </c>
      <c r="C114" s="29" t="s">
        <v>1543</v>
      </c>
      <c r="D114" s="29" t="s">
        <v>1752</v>
      </c>
      <c r="E114" s="29" t="s">
        <v>1629</v>
      </c>
      <c r="F114" s="29" t="s">
        <v>1139</v>
      </c>
    </row>
    <row r="115" spans="1:6" ht="14.25" hidden="1" customHeight="1" x14ac:dyDescent="0.2">
      <c r="A115" s="29">
        <v>113</v>
      </c>
      <c r="B115" s="29">
        <v>83027002</v>
      </c>
      <c r="C115" s="29" t="s">
        <v>1637</v>
      </c>
      <c r="D115" s="29" t="s">
        <v>1752</v>
      </c>
      <c r="E115" s="29" t="s">
        <v>1660</v>
      </c>
      <c r="F115" s="29" t="s">
        <v>1657</v>
      </c>
    </row>
    <row r="116" spans="1:6" ht="14.25" hidden="1" customHeight="1" x14ac:dyDescent="0.25">
      <c r="A116" s="29"/>
      <c r="B116" s="147">
        <v>44958</v>
      </c>
      <c r="C116" s="29"/>
      <c r="D116" s="29"/>
      <c r="E116" s="29"/>
      <c r="F116" s="29">
        <v>1</v>
      </c>
    </row>
    <row r="117" spans="1:6" ht="14.25" hidden="1" customHeight="1" x14ac:dyDescent="0.2">
      <c r="A117" s="63">
        <v>114</v>
      </c>
      <c r="B117" s="63">
        <v>21705703</v>
      </c>
      <c r="C117" s="63" t="s">
        <v>1753</v>
      </c>
      <c r="D117" s="63" t="s">
        <v>1752</v>
      </c>
      <c r="E117" s="63" t="s">
        <v>1754</v>
      </c>
      <c r="F117" s="63" t="s">
        <v>697</v>
      </c>
    </row>
    <row r="118" spans="1:6" ht="14.25" hidden="1" customHeight="1" x14ac:dyDescent="0.2">
      <c r="A118" s="29">
        <v>115</v>
      </c>
      <c r="B118" s="29">
        <v>30770102</v>
      </c>
      <c r="C118" s="29" t="s">
        <v>1755</v>
      </c>
      <c r="D118" s="29" t="s">
        <v>1756</v>
      </c>
      <c r="E118" s="29" t="s">
        <v>1757</v>
      </c>
      <c r="F118" s="29" t="s">
        <v>1027</v>
      </c>
    </row>
    <row r="119" spans="1:6" ht="14.25" hidden="1" customHeight="1" x14ac:dyDescent="0.2">
      <c r="A119" s="29">
        <v>116</v>
      </c>
      <c r="B119" s="29">
        <v>75019402</v>
      </c>
      <c r="C119" s="29" t="s">
        <v>1758</v>
      </c>
      <c r="D119" s="29" t="s">
        <v>1759</v>
      </c>
      <c r="E119" s="29" t="s">
        <v>1760</v>
      </c>
      <c r="F119" s="29" t="s">
        <v>813</v>
      </c>
    </row>
    <row r="120" spans="1:6" ht="14.25" hidden="1" customHeight="1" x14ac:dyDescent="0.2">
      <c r="A120" s="29">
        <v>117</v>
      </c>
      <c r="B120" s="29">
        <v>21982201</v>
      </c>
      <c r="C120" s="29" t="s">
        <v>1761</v>
      </c>
      <c r="D120" s="29" t="s">
        <v>1762</v>
      </c>
      <c r="E120" s="29" t="s">
        <v>1754</v>
      </c>
      <c r="F120" s="29" t="s">
        <v>618</v>
      </c>
    </row>
    <row r="121" spans="1:6" ht="14.25" hidden="1" customHeight="1" x14ac:dyDescent="0.2">
      <c r="A121" s="29">
        <v>118</v>
      </c>
      <c r="B121" s="29">
        <v>75169702</v>
      </c>
      <c r="C121" s="29" t="s">
        <v>1543</v>
      </c>
      <c r="D121" s="29" t="s">
        <v>1763</v>
      </c>
      <c r="E121" s="29" t="s">
        <v>1594</v>
      </c>
      <c r="F121" s="29" t="s">
        <v>381</v>
      </c>
    </row>
    <row r="122" spans="1:6" ht="14.25" hidden="1" customHeight="1" x14ac:dyDescent="0.2">
      <c r="A122" s="29">
        <v>119</v>
      </c>
      <c r="B122" s="29">
        <v>83303702</v>
      </c>
      <c r="C122" s="29" t="s">
        <v>1758</v>
      </c>
      <c r="D122" s="29" t="s">
        <v>1764</v>
      </c>
      <c r="E122" s="29" t="s">
        <v>1760</v>
      </c>
      <c r="F122" s="29" t="s">
        <v>877</v>
      </c>
    </row>
    <row r="123" spans="1:6" ht="14.25" hidden="1" customHeight="1" x14ac:dyDescent="0.2">
      <c r="A123" s="29">
        <v>120</v>
      </c>
      <c r="B123" s="29">
        <v>76376601</v>
      </c>
      <c r="C123" s="29" t="s">
        <v>1637</v>
      </c>
      <c r="D123" s="29" t="s">
        <v>1764</v>
      </c>
      <c r="E123" s="29" t="s">
        <v>1765</v>
      </c>
      <c r="F123" s="29" t="s">
        <v>749</v>
      </c>
    </row>
    <row r="124" spans="1:6" ht="14.25" hidden="1" customHeight="1" x14ac:dyDescent="0.2">
      <c r="A124" s="29">
        <v>121</v>
      </c>
      <c r="B124" s="29">
        <v>42008802</v>
      </c>
      <c r="C124" s="29" t="s">
        <v>1766</v>
      </c>
      <c r="D124" s="29" t="s">
        <v>1764</v>
      </c>
      <c r="E124" s="29" t="s">
        <v>1673</v>
      </c>
      <c r="F124" s="29" t="s">
        <v>501</v>
      </c>
    </row>
    <row r="125" spans="1:6" ht="14.25" hidden="1" customHeight="1" x14ac:dyDescent="0.2">
      <c r="A125" s="29">
        <v>122</v>
      </c>
      <c r="B125" s="29">
        <v>83027002</v>
      </c>
      <c r="C125" s="29" t="s">
        <v>1767</v>
      </c>
      <c r="D125" s="29" t="s">
        <v>1768</v>
      </c>
      <c r="E125" s="29" t="s">
        <v>1769</v>
      </c>
      <c r="F125" s="29" t="s">
        <v>1657</v>
      </c>
    </row>
    <row r="126" spans="1:6" ht="14.25" hidden="1" customHeight="1" x14ac:dyDescent="0.2">
      <c r="A126" s="29">
        <v>123</v>
      </c>
      <c r="B126" s="29">
        <v>76644701</v>
      </c>
      <c r="C126" s="29" t="s">
        <v>1770</v>
      </c>
      <c r="D126" s="29" t="s">
        <v>1771</v>
      </c>
      <c r="E126" s="29" t="s">
        <v>1772</v>
      </c>
      <c r="F126" s="29" t="s">
        <v>774</v>
      </c>
    </row>
    <row r="127" spans="1:6" ht="14.25" hidden="1" customHeight="1" x14ac:dyDescent="0.2">
      <c r="A127" s="29">
        <v>124</v>
      </c>
      <c r="B127" s="29">
        <v>30770102</v>
      </c>
      <c r="C127" s="29" t="s">
        <v>1773</v>
      </c>
      <c r="D127" s="29" t="s">
        <v>1771</v>
      </c>
      <c r="E127" s="29" t="s">
        <v>1774</v>
      </c>
      <c r="F127" s="29" t="s">
        <v>1027</v>
      </c>
    </row>
    <row r="128" spans="1:6" ht="14.25" hidden="1" customHeight="1" x14ac:dyDescent="0.2">
      <c r="A128" s="29">
        <v>125</v>
      </c>
      <c r="B128" s="29">
        <v>28548103</v>
      </c>
      <c r="C128" s="29" t="s">
        <v>1775</v>
      </c>
      <c r="D128" s="29" t="s">
        <v>1776</v>
      </c>
      <c r="E128" s="29" t="s">
        <v>1774</v>
      </c>
      <c r="F128" s="29" t="s">
        <v>493</v>
      </c>
    </row>
    <row r="129" spans="1:6" ht="14.25" hidden="1" customHeight="1" x14ac:dyDescent="0.2">
      <c r="A129" s="29">
        <v>126</v>
      </c>
      <c r="B129" s="29">
        <v>42949102</v>
      </c>
      <c r="C129" s="29" t="s">
        <v>1746</v>
      </c>
      <c r="D129" s="29" t="s">
        <v>1777</v>
      </c>
      <c r="E129" s="29" t="s">
        <v>1778</v>
      </c>
      <c r="F129" s="29" t="s">
        <v>709</v>
      </c>
    </row>
    <row r="130" spans="1:6" ht="14.25" hidden="1" customHeight="1" x14ac:dyDescent="0.2">
      <c r="A130" s="29">
        <v>127</v>
      </c>
      <c r="B130" s="29">
        <v>64078901</v>
      </c>
      <c r="C130" s="29" t="s">
        <v>1779</v>
      </c>
      <c r="D130" s="29" t="s">
        <v>1780</v>
      </c>
      <c r="E130" s="29" t="s">
        <v>1671</v>
      </c>
      <c r="F130" s="29" t="s">
        <v>1033</v>
      </c>
    </row>
    <row r="131" spans="1:6" ht="14.25" hidden="1" customHeight="1" x14ac:dyDescent="0.25">
      <c r="A131" s="29"/>
      <c r="B131" s="147">
        <v>44986</v>
      </c>
      <c r="C131" s="29"/>
      <c r="D131" s="29"/>
      <c r="E131" s="29"/>
      <c r="F131" s="29">
        <v>1</v>
      </c>
    </row>
    <row r="132" spans="1:6" ht="14.25" hidden="1" customHeight="1" x14ac:dyDescent="0.2">
      <c r="A132" s="29">
        <v>128</v>
      </c>
      <c r="B132" s="148">
        <v>58849301</v>
      </c>
      <c r="C132" s="29" t="s">
        <v>1781</v>
      </c>
      <c r="D132" s="29" t="s">
        <v>1782</v>
      </c>
      <c r="E132" s="29" t="s">
        <v>1783</v>
      </c>
      <c r="F132" s="29" t="s">
        <v>539</v>
      </c>
    </row>
    <row r="133" spans="1:6" ht="14.25" hidden="1" customHeight="1" x14ac:dyDescent="0.2">
      <c r="A133" s="29">
        <v>129</v>
      </c>
      <c r="B133" s="148">
        <v>66735302</v>
      </c>
      <c r="C133" s="29" t="s">
        <v>1784</v>
      </c>
      <c r="D133" s="29" t="s">
        <v>1785</v>
      </c>
      <c r="E133" s="29" t="s">
        <v>1786</v>
      </c>
      <c r="F133" s="29" t="s">
        <v>1108</v>
      </c>
    </row>
    <row r="134" spans="1:6" ht="14.25" hidden="1" customHeight="1" x14ac:dyDescent="0.2">
      <c r="A134" s="63">
        <v>130</v>
      </c>
      <c r="B134" s="142">
        <v>30770102</v>
      </c>
      <c r="C134" s="63" t="s">
        <v>1543</v>
      </c>
      <c r="D134" s="63" t="s">
        <v>195</v>
      </c>
      <c r="E134" s="63" t="s">
        <v>1594</v>
      </c>
      <c r="F134" s="63" t="s">
        <v>1027</v>
      </c>
    </row>
    <row r="135" spans="1:6" ht="14.25" hidden="1" customHeight="1" x14ac:dyDescent="0.2">
      <c r="A135" s="29">
        <v>131</v>
      </c>
      <c r="B135" s="148">
        <v>58849301</v>
      </c>
      <c r="C135" s="29" t="s">
        <v>1787</v>
      </c>
      <c r="D135" s="29" t="s">
        <v>1788</v>
      </c>
      <c r="E135" s="29" t="s">
        <v>1774</v>
      </c>
      <c r="F135" s="29" t="s">
        <v>539</v>
      </c>
    </row>
    <row r="136" spans="1:6" ht="14.25" hidden="1" customHeight="1" x14ac:dyDescent="0.2">
      <c r="A136" s="29">
        <v>132</v>
      </c>
      <c r="B136" s="140">
        <v>42009002</v>
      </c>
      <c r="C136" s="29" t="s">
        <v>1543</v>
      </c>
      <c r="D136" s="29" t="s">
        <v>1789</v>
      </c>
      <c r="E136" s="29" t="s">
        <v>1594</v>
      </c>
      <c r="F136" s="29" t="s">
        <v>1610</v>
      </c>
    </row>
    <row r="137" spans="1:6" ht="14.25" hidden="1" customHeight="1" x14ac:dyDescent="0.2">
      <c r="A137" s="29">
        <v>133</v>
      </c>
      <c r="B137" s="140">
        <v>89137102</v>
      </c>
      <c r="C137" s="29" t="s">
        <v>1543</v>
      </c>
      <c r="D137" s="29" t="s">
        <v>1789</v>
      </c>
      <c r="E137" s="29" t="s">
        <v>1594</v>
      </c>
      <c r="F137" s="29" t="s">
        <v>663</v>
      </c>
    </row>
    <row r="138" spans="1:6" ht="14.25" hidden="1" customHeight="1" x14ac:dyDescent="0.2">
      <c r="A138" s="29">
        <v>134</v>
      </c>
      <c r="B138" s="140">
        <v>75169802</v>
      </c>
      <c r="C138" s="29" t="s">
        <v>1543</v>
      </c>
      <c r="D138" s="29" t="s">
        <v>1790</v>
      </c>
      <c r="E138" s="29" t="s">
        <v>1629</v>
      </c>
      <c r="F138" s="29" t="s">
        <v>1626</v>
      </c>
    </row>
    <row r="139" spans="1:6" ht="14.25" hidden="1" customHeight="1" x14ac:dyDescent="0.2">
      <c r="A139" s="29">
        <v>135</v>
      </c>
      <c r="B139" s="148">
        <v>61872202</v>
      </c>
      <c r="C139" s="29" t="s">
        <v>1758</v>
      </c>
      <c r="D139" s="29" t="s">
        <v>1791</v>
      </c>
      <c r="E139" s="29" t="s">
        <v>1673</v>
      </c>
      <c r="F139" s="29" t="s">
        <v>897</v>
      </c>
    </row>
    <row r="140" spans="1:6" ht="14.25" hidden="1" customHeight="1" x14ac:dyDescent="0.2">
      <c r="A140" s="29">
        <v>36</v>
      </c>
      <c r="B140" s="140">
        <v>42949202</v>
      </c>
      <c r="C140" s="29" t="s">
        <v>1543</v>
      </c>
      <c r="D140" s="29" t="s">
        <v>1792</v>
      </c>
      <c r="E140" s="29" t="s">
        <v>1793</v>
      </c>
      <c r="F140" s="29" t="s">
        <v>1794</v>
      </c>
    </row>
    <row r="141" spans="1:6" ht="14.25" hidden="1" customHeight="1" x14ac:dyDescent="0.2">
      <c r="A141" s="29">
        <v>137</v>
      </c>
      <c r="B141" s="140">
        <v>41222802</v>
      </c>
      <c r="C141" s="29" t="s">
        <v>1543</v>
      </c>
      <c r="D141" s="29" t="s">
        <v>1795</v>
      </c>
      <c r="E141" s="29" t="s">
        <v>1594</v>
      </c>
      <c r="F141" s="29" t="s">
        <v>599</v>
      </c>
    </row>
    <row r="142" spans="1:6" ht="14.25" hidden="1" customHeight="1" x14ac:dyDescent="0.2">
      <c r="A142" s="29">
        <v>138</v>
      </c>
      <c r="B142" s="140">
        <v>52591002</v>
      </c>
      <c r="C142" s="29" t="s">
        <v>1637</v>
      </c>
      <c r="D142" s="29" t="s">
        <v>1796</v>
      </c>
      <c r="E142" s="29" t="s">
        <v>1594</v>
      </c>
      <c r="F142" s="29" t="s">
        <v>881</v>
      </c>
    </row>
    <row r="143" spans="1:6" ht="14.25" hidden="1" customHeight="1" x14ac:dyDescent="0.2">
      <c r="A143" s="29">
        <v>139</v>
      </c>
      <c r="B143" s="140">
        <v>83774102</v>
      </c>
      <c r="C143" s="29" t="s">
        <v>1702</v>
      </c>
      <c r="D143" s="29" t="s">
        <v>1759</v>
      </c>
      <c r="E143" s="29" t="s">
        <v>1797</v>
      </c>
      <c r="F143" s="29" t="s">
        <v>1798</v>
      </c>
    </row>
    <row r="144" spans="1:6" ht="14.25" hidden="1" customHeight="1" x14ac:dyDescent="0.2">
      <c r="A144" s="29">
        <v>140</v>
      </c>
      <c r="B144" s="148">
        <v>42009002</v>
      </c>
      <c r="C144" s="29" t="s">
        <v>1758</v>
      </c>
      <c r="D144" s="29" t="s">
        <v>1796</v>
      </c>
      <c r="E144" s="29" t="s">
        <v>1653</v>
      </c>
      <c r="F144" s="29" t="s">
        <v>1610</v>
      </c>
    </row>
    <row r="145" spans="1:6" ht="14.25" hidden="1" customHeight="1" x14ac:dyDescent="0.2">
      <c r="A145" s="29">
        <v>141</v>
      </c>
      <c r="B145" s="148">
        <v>83302602</v>
      </c>
      <c r="C145" s="29" t="s">
        <v>1799</v>
      </c>
      <c r="D145" s="29" t="s">
        <v>1800</v>
      </c>
      <c r="E145" s="29" t="s">
        <v>1653</v>
      </c>
      <c r="F145" s="29" t="s">
        <v>1130</v>
      </c>
    </row>
    <row r="146" spans="1:6" ht="14.25" hidden="1" customHeight="1" x14ac:dyDescent="0.2">
      <c r="A146" s="29">
        <v>142</v>
      </c>
      <c r="B146" s="140">
        <v>21982201</v>
      </c>
      <c r="C146" s="29" t="s">
        <v>1543</v>
      </c>
      <c r="D146" s="29" t="s">
        <v>1801</v>
      </c>
      <c r="E146" s="29" t="s">
        <v>1594</v>
      </c>
      <c r="F146" s="29" t="s">
        <v>618</v>
      </c>
    </row>
    <row r="147" spans="1:6" ht="14.25" hidden="1" customHeight="1" x14ac:dyDescent="0.2">
      <c r="A147" s="29">
        <v>143</v>
      </c>
      <c r="B147" s="148">
        <v>12198203</v>
      </c>
      <c r="C147" s="29" t="s">
        <v>1802</v>
      </c>
      <c r="D147" s="29" t="s">
        <v>1803</v>
      </c>
      <c r="E147" s="29" t="s">
        <v>1783</v>
      </c>
      <c r="F147" s="29" t="s">
        <v>1588</v>
      </c>
    </row>
    <row r="148" spans="1:6" ht="14.25" hidden="1" customHeight="1" x14ac:dyDescent="0.2">
      <c r="A148" s="29">
        <v>144</v>
      </c>
      <c r="B148" s="148">
        <v>21982201</v>
      </c>
      <c r="C148" s="29" t="s">
        <v>1528</v>
      </c>
      <c r="D148" s="29" t="s">
        <v>1803</v>
      </c>
      <c r="E148" s="29" t="s">
        <v>1774</v>
      </c>
      <c r="F148" s="29" t="s">
        <v>618</v>
      </c>
    </row>
    <row r="149" spans="1:6" ht="14.25" hidden="1" customHeight="1" x14ac:dyDescent="0.2">
      <c r="A149" s="29">
        <v>145</v>
      </c>
      <c r="B149" s="140">
        <v>28491903</v>
      </c>
      <c r="C149" s="29" t="s">
        <v>1702</v>
      </c>
      <c r="D149" s="29" t="s">
        <v>1804</v>
      </c>
      <c r="E149" s="29" t="s">
        <v>1594</v>
      </c>
      <c r="F149" s="29" t="s">
        <v>501</v>
      </c>
    </row>
    <row r="150" spans="1:6" ht="14.25" hidden="1" customHeight="1" x14ac:dyDescent="0.2">
      <c r="A150" s="29">
        <v>146</v>
      </c>
      <c r="B150" s="148">
        <v>85045702</v>
      </c>
      <c r="C150" s="29" t="s">
        <v>1758</v>
      </c>
      <c r="D150" s="29" t="s">
        <v>1805</v>
      </c>
      <c r="E150" s="29" t="s">
        <v>1774</v>
      </c>
      <c r="F150" s="29" t="s">
        <v>1806</v>
      </c>
    </row>
    <row r="151" spans="1:6" ht="14.25" hidden="1" customHeight="1" x14ac:dyDescent="0.25">
      <c r="A151" s="29"/>
      <c r="B151" s="144" t="s">
        <v>1807</v>
      </c>
      <c r="C151" s="29"/>
      <c r="D151" s="29"/>
      <c r="E151" s="29"/>
      <c r="F151" s="29">
        <v>1</v>
      </c>
    </row>
    <row r="152" spans="1:6" ht="14.25" hidden="1" customHeight="1" x14ac:dyDescent="0.2">
      <c r="A152" s="63">
        <v>147</v>
      </c>
      <c r="B152" s="63">
        <v>22187603</v>
      </c>
      <c r="C152" s="63" t="s">
        <v>1637</v>
      </c>
      <c r="D152" s="63" t="s">
        <v>178</v>
      </c>
      <c r="E152" s="63" t="s">
        <v>1584</v>
      </c>
      <c r="F152" s="63" t="s">
        <v>1598</v>
      </c>
    </row>
    <row r="153" spans="1:6" ht="14.25" hidden="1" customHeight="1" x14ac:dyDescent="0.2">
      <c r="A153" s="29">
        <v>148</v>
      </c>
      <c r="B153" s="29">
        <v>42008902</v>
      </c>
      <c r="C153" s="29" t="s">
        <v>1530</v>
      </c>
      <c r="D153" s="29" t="s">
        <v>178</v>
      </c>
      <c r="E153" s="29" t="s">
        <v>1808</v>
      </c>
      <c r="F153" s="29" t="s">
        <v>1039</v>
      </c>
    </row>
    <row r="154" spans="1:6" ht="14.25" hidden="1" customHeight="1" x14ac:dyDescent="0.2">
      <c r="A154" s="29">
        <v>149</v>
      </c>
      <c r="B154" s="29">
        <v>52591002</v>
      </c>
      <c r="C154" s="29" t="s">
        <v>1809</v>
      </c>
      <c r="D154" s="29" t="s">
        <v>1810</v>
      </c>
      <c r="E154" s="29" t="s">
        <v>1786</v>
      </c>
      <c r="F154" s="29" t="s">
        <v>881</v>
      </c>
    </row>
    <row r="155" spans="1:6" ht="14.25" hidden="1" customHeight="1" x14ac:dyDescent="0.2">
      <c r="A155" s="29">
        <v>150</v>
      </c>
      <c r="B155" s="29">
        <v>21897903</v>
      </c>
      <c r="C155" s="29" t="s">
        <v>1530</v>
      </c>
      <c r="D155" s="29" t="s">
        <v>1811</v>
      </c>
      <c r="E155" s="29" t="s">
        <v>1584</v>
      </c>
      <c r="F155" s="29" t="s">
        <v>727</v>
      </c>
    </row>
    <row r="156" spans="1:6" ht="14.25" hidden="1" customHeight="1" x14ac:dyDescent="0.2">
      <c r="A156" s="29">
        <v>151</v>
      </c>
      <c r="B156" s="29">
        <v>28548103</v>
      </c>
      <c r="C156" s="29" t="s">
        <v>1654</v>
      </c>
      <c r="D156" s="29" t="s">
        <v>1810</v>
      </c>
      <c r="E156" s="29" t="s">
        <v>1812</v>
      </c>
      <c r="F156" s="29" t="s">
        <v>1813</v>
      </c>
    </row>
    <row r="157" spans="1:6" ht="14.25" hidden="1" customHeight="1" x14ac:dyDescent="0.2">
      <c r="A157" s="29">
        <v>152</v>
      </c>
      <c r="B157" s="12">
        <v>30327902</v>
      </c>
      <c r="C157" s="29" t="s">
        <v>1814</v>
      </c>
      <c r="D157" s="29" t="s">
        <v>1815</v>
      </c>
      <c r="E157" s="29" t="s">
        <v>1816</v>
      </c>
      <c r="F157" s="29" t="s">
        <v>1705</v>
      </c>
    </row>
    <row r="158" spans="1:6" ht="14.25" hidden="1" customHeight="1" x14ac:dyDescent="0.2">
      <c r="A158" s="29">
        <v>153</v>
      </c>
      <c r="B158" s="29">
        <v>21705703</v>
      </c>
      <c r="C158" s="29" t="s">
        <v>1530</v>
      </c>
      <c r="D158" s="29" t="s">
        <v>230</v>
      </c>
      <c r="E158" s="29" t="s">
        <v>1584</v>
      </c>
      <c r="F158" s="29" t="s">
        <v>697</v>
      </c>
    </row>
    <row r="159" spans="1:6" ht="14.25" hidden="1" customHeight="1" x14ac:dyDescent="0.2">
      <c r="A159" s="29">
        <v>154</v>
      </c>
      <c r="B159" s="29">
        <v>21982201</v>
      </c>
      <c r="C159" s="29" t="s">
        <v>1543</v>
      </c>
      <c r="D159" s="29" t="s">
        <v>1817</v>
      </c>
      <c r="E159" s="29" t="s">
        <v>1818</v>
      </c>
      <c r="F159" s="29" t="s">
        <v>618</v>
      </c>
    </row>
    <row r="160" spans="1:6" ht="14.25" hidden="1" customHeight="1" x14ac:dyDescent="0.2">
      <c r="A160" s="29">
        <v>155</v>
      </c>
      <c r="B160" s="29">
        <v>20425302</v>
      </c>
      <c r="C160" s="29" t="s">
        <v>1543</v>
      </c>
      <c r="D160" s="29" t="s">
        <v>1819</v>
      </c>
      <c r="E160" s="29" t="s">
        <v>1594</v>
      </c>
      <c r="F160" s="29" t="s">
        <v>567</v>
      </c>
    </row>
    <row r="161" spans="1:6" ht="14.25" hidden="1" customHeight="1" x14ac:dyDescent="0.2">
      <c r="A161" s="29">
        <v>156</v>
      </c>
      <c r="B161" s="29">
        <v>83027002</v>
      </c>
      <c r="C161" s="29" t="s">
        <v>1820</v>
      </c>
      <c r="D161" s="29" t="s">
        <v>1819</v>
      </c>
      <c r="E161" s="29" t="s">
        <v>1816</v>
      </c>
      <c r="F161" s="29" t="s">
        <v>1657</v>
      </c>
    </row>
    <row r="162" spans="1:6" ht="14.25" hidden="1" customHeight="1" x14ac:dyDescent="0.2">
      <c r="A162" s="29">
        <v>157</v>
      </c>
      <c r="B162" s="29">
        <v>42008902</v>
      </c>
      <c r="C162" s="29" t="s">
        <v>1530</v>
      </c>
      <c r="D162" s="29" t="s">
        <v>1819</v>
      </c>
      <c r="E162" s="29" t="s">
        <v>1821</v>
      </c>
      <c r="F162" s="29" t="s">
        <v>1039</v>
      </c>
    </row>
    <row r="163" spans="1:6" ht="14.25" hidden="1" customHeight="1" x14ac:dyDescent="0.2">
      <c r="A163" s="29">
        <v>158</v>
      </c>
      <c r="B163" s="29">
        <v>76644701</v>
      </c>
      <c r="C163" s="29" t="s">
        <v>1654</v>
      </c>
      <c r="D163" s="29" t="s">
        <v>1819</v>
      </c>
      <c r="E163" s="29" t="s">
        <v>1822</v>
      </c>
      <c r="F163" s="29" t="s">
        <v>774</v>
      </c>
    </row>
    <row r="164" spans="1:6" ht="14.25" hidden="1" customHeight="1" x14ac:dyDescent="0.2">
      <c r="A164" s="29">
        <v>159</v>
      </c>
      <c r="B164" s="29">
        <v>76644701</v>
      </c>
      <c r="C164" s="29" t="s">
        <v>1654</v>
      </c>
      <c r="D164" s="29" t="s">
        <v>1823</v>
      </c>
      <c r="E164" s="29" t="s">
        <v>1824</v>
      </c>
      <c r="F164" s="29" t="s">
        <v>774</v>
      </c>
    </row>
    <row r="165" spans="1:6" ht="14.25" hidden="1" customHeight="1" x14ac:dyDescent="0.2">
      <c r="A165" s="63">
        <v>160</v>
      </c>
      <c r="B165" s="63">
        <v>52481402</v>
      </c>
      <c r="C165" s="63" t="s">
        <v>1543</v>
      </c>
      <c r="D165" s="63" t="s">
        <v>281</v>
      </c>
      <c r="E165" s="63" t="s">
        <v>1825</v>
      </c>
      <c r="F165" s="63" t="s">
        <v>1163</v>
      </c>
    </row>
    <row r="166" spans="1:6" ht="14.25" hidden="1" customHeight="1" x14ac:dyDescent="0.2">
      <c r="A166" s="29">
        <v>161</v>
      </c>
      <c r="B166" s="29">
        <v>41222802</v>
      </c>
      <c r="C166" s="29" t="s">
        <v>1826</v>
      </c>
      <c r="D166" s="29" t="s">
        <v>281</v>
      </c>
      <c r="E166" s="29" t="s">
        <v>1671</v>
      </c>
      <c r="F166" s="29" t="s">
        <v>599</v>
      </c>
    </row>
    <row r="167" spans="1:6" ht="14.25" hidden="1" customHeight="1" x14ac:dyDescent="0.25">
      <c r="A167" s="29"/>
      <c r="B167" s="144" t="s">
        <v>1827</v>
      </c>
      <c r="C167" s="29"/>
      <c r="D167" s="29"/>
      <c r="E167" s="29"/>
      <c r="F167" s="29">
        <v>1</v>
      </c>
    </row>
    <row r="168" spans="1:6" ht="14.25" hidden="1" customHeight="1" x14ac:dyDescent="0.2">
      <c r="A168" s="29">
        <v>162</v>
      </c>
      <c r="B168" s="29">
        <v>61872202</v>
      </c>
      <c r="C168" s="29" t="s">
        <v>1530</v>
      </c>
      <c r="D168" s="29" t="s">
        <v>1828</v>
      </c>
      <c r="E168" s="29" t="s">
        <v>1629</v>
      </c>
      <c r="F168" s="29" t="s">
        <v>892</v>
      </c>
    </row>
    <row r="169" spans="1:6" ht="14.25" hidden="1" customHeight="1" x14ac:dyDescent="0.2">
      <c r="A169" s="29">
        <v>163</v>
      </c>
      <c r="B169" s="29">
        <v>42949102</v>
      </c>
      <c r="C169" s="29" t="s">
        <v>1530</v>
      </c>
      <c r="D169" s="29" t="s">
        <v>1828</v>
      </c>
      <c r="E169" s="29" t="s">
        <v>1629</v>
      </c>
      <c r="F169" s="29" t="s">
        <v>709</v>
      </c>
    </row>
    <row r="170" spans="1:6" ht="14.25" hidden="1" customHeight="1" x14ac:dyDescent="0.2">
      <c r="A170" s="29">
        <v>164</v>
      </c>
      <c r="B170" s="29">
        <v>75019402</v>
      </c>
      <c r="C170" s="29" t="s">
        <v>1543</v>
      </c>
      <c r="D170" s="29" t="s">
        <v>1829</v>
      </c>
      <c r="E170" s="29" t="s">
        <v>1616</v>
      </c>
      <c r="F170" s="29" t="s">
        <v>813</v>
      </c>
    </row>
    <row r="171" spans="1:6" ht="14.25" hidden="1" customHeight="1" x14ac:dyDescent="0.2">
      <c r="A171" s="29">
        <v>165</v>
      </c>
      <c r="B171" s="29">
        <v>12198203</v>
      </c>
      <c r="C171" s="29" t="s">
        <v>1830</v>
      </c>
      <c r="D171" s="29" t="s">
        <v>1829</v>
      </c>
      <c r="E171" s="29" t="s">
        <v>1831</v>
      </c>
      <c r="F171" s="29" t="s">
        <v>1588</v>
      </c>
    </row>
    <row r="172" spans="1:6" ht="14.25" hidden="1" customHeight="1" x14ac:dyDescent="0.2">
      <c r="A172" s="29">
        <v>166</v>
      </c>
      <c r="B172" s="29">
        <v>30525602</v>
      </c>
      <c r="C172" s="29" t="s">
        <v>1543</v>
      </c>
      <c r="D172" s="29" t="s">
        <v>1832</v>
      </c>
      <c r="E172" s="29" t="s">
        <v>1594</v>
      </c>
      <c r="F172" s="29" t="s">
        <v>723</v>
      </c>
    </row>
    <row r="173" spans="1:6" ht="14.25" hidden="1" customHeight="1" x14ac:dyDescent="0.2">
      <c r="A173" s="29">
        <v>167</v>
      </c>
      <c r="B173" s="29">
        <v>85045702</v>
      </c>
      <c r="C173" s="29" t="s">
        <v>1627</v>
      </c>
      <c r="D173" s="29" t="s">
        <v>1833</v>
      </c>
      <c r="E173" s="29" t="s">
        <v>1653</v>
      </c>
      <c r="F173" s="29" t="s">
        <v>1806</v>
      </c>
    </row>
    <row r="174" spans="1:6" ht="14.25" hidden="1" customHeight="1" x14ac:dyDescent="0.2">
      <c r="A174" s="29">
        <v>168</v>
      </c>
      <c r="B174" s="29">
        <v>59321401</v>
      </c>
      <c r="C174" s="29" t="s">
        <v>1834</v>
      </c>
      <c r="D174" s="29" t="s">
        <v>1835</v>
      </c>
      <c r="E174" s="29" t="s">
        <v>1836</v>
      </c>
      <c r="F174" s="29" t="s">
        <v>844</v>
      </c>
    </row>
    <row r="175" spans="1:6" ht="14.25" hidden="1" customHeight="1" x14ac:dyDescent="0.2">
      <c r="A175" s="29">
        <v>169</v>
      </c>
      <c r="B175" s="29">
        <v>76644701</v>
      </c>
      <c r="C175" s="29" t="s">
        <v>1528</v>
      </c>
      <c r="D175" s="29" t="s">
        <v>302</v>
      </c>
      <c r="E175" s="29" t="s">
        <v>1837</v>
      </c>
      <c r="F175" s="29" t="s">
        <v>774</v>
      </c>
    </row>
    <row r="176" spans="1:6" ht="14.25" hidden="1" customHeight="1" x14ac:dyDescent="0.2">
      <c r="A176" s="29">
        <v>170</v>
      </c>
      <c r="B176" s="29">
        <v>21882201</v>
      </c>
      <c r="C176" s="29" t="s">
        <v>1543</v>
      </c>
      <c r="D176" s="29" t="s">
        <v>302</v>
      </c>
      <c r="E176" s="29" t="s">
        <v>1838</v>
      </c>
      <c r="F176" s="29" t="s">
        <v>618</v>
      </c>
    </row>
    <row r="177" spans="1:6" ht="14.25" hidden="1" customHeight="1" x14ac:dyDescent="0.2">
      <c r="A177" s="29">
        <v>171</v>
      </c>
      <c r="B177" s="29">
        <v>28548103</v>
      </c>
      <c r="C177" s="29" t="s">
        <v>1775</v>
      </c>
      <c r="D177" s="29" t="s">
        <v>1839</v>
      </c>
      <c r="E177" s="29" t="s">
        <v>1840</v>
      </c>
      <c r="F177" s="29" t="s">
        <v>493</v>
      </c>
    </row>
    <row r="178" spans="1:6" ht="14.25" hidden="1" customHeight="1" x14ac:dyDescent="0.2">
      <c r="A178" s="63">
        <v>172</v>
      </c>
      <c r="B178" s="63">
        <v>28491903</v>
      </c>
      <c r="C178" s="63" t="s">
        <v>1841</v>
      </c>
      <c r="D178" s="63" t="s">
        <v>302</v>
      </c>
      <c r="E178" s="63" t="s">
        <v>1842</v>
      </c>
      <c r="F178" s="63" t="s">
        <v>501</v>
      </c>
    </row>
    <row r="179" spans="1:6" ht="14.25" hidden="1" customHeight="1" x14ac:dyDescent="0.2">
      <c r="A179" s="29">
        <v>173</v>
      </c>
      <c r="B179" s="29">
        <v>64782302</v>
      </c>
      <c r="C179" s="29" t="s">
        <v>1543</v>
      </c>
      <c r="D179" s="29" t="s">
        <v>1833</v>
      </c>
      <c r="E179" s="29" t="s">
        <v>1843</v>
      </c>
      <c r="F179" s="29" t="s">
        <v>1844</v>
      </c>
    </row>
    <row r="180" spans="1:6" ht="14.25" hidden="1" customHeight="1" x14ac:dyDescent="0.2">
      <c r="A180" s="29">
        <v>174</v>
      </c>
      <c r="B180" s="29">
        <v>76376601</v>
      </c>
      <c r="C180" s="29" t="s">
        <v>1767</v>
      </c>
      <c r="D180" s="29" t="s">
        <v>1845</v>
      </c>
      <c r="E180" s="29" t="s">
        <v>1783</v>
      </c>
      <c r="F180" s="29" t="s">
        <v>1846</v>
      </c>
    </row>
    <row r="181" spans="1:6" ht="14.25" hidden="1" customHeight="1" x14ac:dyDescent="0.2">
      <c r="A181" s="29">
        <v>175</v>
      </c>
      <c r="B181" s="29">
        <v>21982201</v>
      </c>
      <c r="C181" s="29" t="s">
        <v>1543</v>
      </c>
      <c r="D181" s="29" t="s">
        <v>1845</v>
      </c>
      <c r="E181" s="29" t="s">
        <v>1847</v>
      </c>
      <c r="F181" s="29" t="s">
        <v>618</v>
      </c>
    </row>
    <row r="182" spans="1:6" ht="14.25" hidden="1" customHeight="1" x14ac:dyDescent="0.2">
      <c r="A182" s="29">
        <v>176</v>
      </c>
      <c r="B182" s="29">
        <v>75169802</v>
      </c>
      <c r="C182" s="29" t="s">
        <v>1528</v>
      </c>
      <c r="D182" s="29" t="s">
        <v>1848</v>
      </c>
      <c r="E182" s="29" t="s">
        <v>1786</v>
      </c>
      <c r="F182" s="29" t="s">
        <v>601</v>
      </c>
    </row>
    <row r="183" spans="1:6" ht="14.25" hidden="1" customHeight="1" x14ac:dyDescent="0.2">
      <c r="A183" s="29">
        <v>177</v>
      </c>
      <c r="B183" s="29">
        <v>3351539</v>
      </c>
      <c r="C183" s="29" t="s">
        <v>1528</v>
      </c>
      <c r="D183" s="29" t="s">
        <v>1849</v>
      </c>
      <c r="E183" s="29" t="s">
        <v>1850</v>
      </c>
      <c r="F183" s="29" t="s">
        <v>1180</v>
      </c>
    </row>
    <row r="184" spans="1:6" ht="14.25" hidden="1" customHeight="1" x14ac:dyDescent="0.2">
      <c r="A184" s="29">
        <v>178</v>
      </c>
      <c r="B184" s="29">
        <v>76644701</v>
      </c>
      <c r="C184" s="29" t="s">
        <v>1654</v>
      </c>
      <c r="D184" s="29" t="s">
        <v>1851</v>
      </c>
      <c r="E184" s="29" t="s">
        <v>1594</v>
      </c>
      <c r="F184" s="29" t="s">
        <v>774</v>
      </c>
    </row>
    <row r="185" spans="1:6" ht="14.25" hidden="1" customHeight="1" x14ac:dyDescent="0.2">
      <c r="A185" s="29">
        <v>179</v>
      </c>
      <c r="B185" s="29" t="s">
        <v>1039</v>
      </c>
      <c r="C185" s="29" t="s">
        <v>1528</v>
      </c>
      <c r="D185" s="29" t="s">
        <v>1852</v>
      </c>
      <c r="E185" s="29" t="s">
        <v>1673</v>
      </c>
      <c r="F185" s="29" t="s">
        <v>1039</v>
      </c>
    </row>
    <row r="186" spans="1:6" ht="14.25" hidden="1" customHeight="1" x14ac:dyDescent="0.25">
      <c r="A186" s="29"/>
      <c r="B186" s="144" t="s">
        <v>1853</v>
      </c>
      <c r="C186" s="29"/>
      <c r="D186" s="29"/>
      <c r="E186" s="29"/>
      <c r="F186" s="29">
        <v>1</v>
      </c>
    </row>
    <row r="187" spans="1:6" ht="14.25" hidden="1" customHeight="1" x14ac:dyDescent="0.2">
      <c r="A187" s="29">
        <v>180</v>
      </c>
      <c r="B187" s="29">
        <v>75169802</v>
      </c>
      <c r="C187" s="29" t="s">
        <v>1854</v>
      </c>
      <c r="D187" s="29" t="s">
        <v>1855</v>
      </c>
      <c r="E187" s="29" t="s">
        <v>1594</v>
      </c>
      <c r="F187" s="29" t="s">
        <v>601</v>
      </c>
    </row>
    <row r="188" spans="1:6" ht="14.25" hidden="1" customHeight="1" x14ac:dyDescent="0.2">
      <c r="A188" s="29">
        <v>181</v>
      </c>
      <c r="B188" s="29">
        <v>66723902</v>
      </c>
      <c r="C188" s="29" t="s">
        <v>1746</v>
      </c>
      <c r="D188" s="29" t="s">
        <v>1856</v>
      </c>
      <c r="E188" s="29" t="s">
        <v>1816</v>
      </c>
      <c r="F188" s="29" t="s">
        <v>671</v>
      </c>
    </row>
    <row r="189" spans="1:6" ht="14.25" hidden="1" customHeight="1" x14ac:dyDescent="0.2">
      <c r="A189" s="29">
        <v>182</v>
      </c>
      <c r="B189" s="29">
        <v>76649101</v>
      </c>
      <c r="C189" s="29" t="s">
        <v>1627</v>
      </c>
      <c r="D189" s="29" t="s">
        <v>1856</v>
      </c>
      <c r="E189" s="29" t="s">
        <v>1857</v>
      </c>
      <c r="F189" s="29" t="s">
        <v>1027</v>
      </c>
    </row>
    <row r="190" spans="1:6" ht="14.25" hidden="1" customHeight="1" x14ac:dyDescent="0.2">
      <c r="A190" s="63">
        <v>183</v>
      </c>
      <c r="B190" s="56">
        <v>41222702</v>
      </c>
      <c r="C190" s="63" t="s">
        <v>1528</v>
      </c>
      <c r="D190" s="63" t="s">
        <v>1858</v>
      </c>
      <c r="E190" s="63" t="s">
        <v>1673</v>
      </c>
      <c r="F190" s="63" t="s">
        <v>1075</v>
      </c>
    </row>
    <row r="191" spans="1:6" ht="14.25" hidden="1" customHeight="1" x14ac:dyDescent="0.2">
      <c r="A191" s="29">
        <v>189</v>
      </c>
      <c r="B191" s="29">
        <v>21898003</v>
      </c>
      <c r="C191" s="29" t="s">
        <v>1543</v>
      </c>
      <c r="D191" s="29" t="s">
        <v>1859</v>
      </c>
      <c r="E191" s="29" t="s">
        <v>1594</v>
      </c>
      <c r="F191" s="29" t="s">
        <v>1640</v>
      </c>
    </row>
    <row r="192" spans="1:6" ht="14.25" hidden="1" customHeight="1" x14ac:dyDescent="0.2">
      <c r="A192" s="29">
        <v>190</v>
      </c>
      <c r="B192" s="29">
        <v>30525602</v>
      </c>
      <c r="C192" s="29" t="s">
        <v>1528</v>
      </c>
      <c r="D192" s="29" t="s">
        <v>1860</v>
      </c>
      <c r="E192" s="29" t="s">
        <v>1653</v>
      </c>
      <c r="F192" s="29" t="s">
        <v>723</v>
      </c>
    </row>
    <row r="193" spans="1:6" ht="14.25" hidden="1" customHeight="1" x14ac:dyDescent="0.2">
      <c r="A193" s="29">
        <v>191</v>
      </c>
      <c r="B193" s="29">
        <v>76376601</v>
      </c>
      <c r="C193" s="29" t="s">
        <v>1654</v>
      </c>
      <c r="D193" s="29" t="s">
        <v>1861</v>
      </c>
      <c r="E193" s="29" t="s">
        <v>1862</v>
      </c>
      <c r="F193" s="29" t="s">
        <v>1846</v>
      </c>
    </row>
    <row r="194" spans="1:6" ht="14.25" hidden="1" customHeight="1" x14ac:dyDescent="0.2">
      <c r="A194" s="29">
        <v>192</v>
      </c>
      <c r="B194" s="12">
        <v>55423702</v>
      </c>
      <c r="C194" s="29" t="s">
        <v>1758</v>
      </c>
      <c r="D194" s="29" t="s">
        <v>1863</v>
      </c>
      <c r="E194" s="29" t="s">
        <v>1774</v>
      </c>
      <c r="F194" s="29" t="s">
        <v>897</v>
      </c>
    </row>
    <row r="195" spans="1:6" ht="14.25" hidden="1" customHeight="1" x14ac:dyDescent="0.2">
      <c r="A195" s="29">
        <v>193</v>
      </c>
      <c r="B195" s="29">
        <v>58849301</v>
      </c>
      <c r="C195" s="29" t="s">
        <v>1530</v>
      </c>
      <c r="D195" s="29" t="s">
        <v>1863</v>
      </c>
      <c r="E195" s="29" t="s">
        <v>1623</v>
      </c>
      <c r="F195" s="29" t="s">
        <v>539</v>
      </c>
    </row>
    <row r="196" spans="1:6" ht="14.25" hidden="1" customHeight="1" x14ac:dyDescent="0.2">
      <c r="A196" s="29">
        <v>194</v>
      </c>
      <c r="B196" s="12">
        <v>45366702</v>
      </c>
      <c r="C196" s="29" t="s">
        <v>1528</v>
      </c>
      <c r="D196" s="29" t="s">
        <v>1864</v>
      </c>
      <c r="E196" s="29" t="s">
        <v>1731</v>
      </c>
      <c r="F196" s="29" t="s">
        <v>1569</v>
      </c>
    </row>
    <row r="197" spans="1:6" ht="14.25" hidden="1" customHeight="1" x14ac:dyDescent="0.2">
      <c r="A197" s="29">
        <v>195</v>
      </c>
      <c r="B197" s="29">
        <v>28491903</v>
      </c>
      <c r="C197" s="29" t="s">
        <v>1530</v>
      </c>
      <c r="D197" s="29" t="s">
        <v>1865</v>
      </c>
      <c r="E197" s="29" t="s">
        <v>1866</v>
      </c>
      <c r="F197" s="29" t="s">
        <v>501</v>
      </c>
    </row>
    <row r="198" spans="1:6" ht="14.25" hidden="1" customHeight="1" x14ac:dyDescent="0.2">
      <c r="A198" s="63">
        <v>196</v>
      </c>
      <c r="B198" s="63">
        <v>66723902</v>
      </c>
      <c r="C198" s="63" t="s">
        <v>1530</v>
      </c>
      <c r="D198" s="63" t="s">
        <v>1865</v>
      </c>
      <c r="E198" s="63" t="s">
        <v>1866</v>
      </c>
      <c r="F198" s="63" t="s">
        <v>671</v>
      </c>
    </row>
    <row r="199" spans="1:6" ht="14.25" hidden="1" customHeight="1" x14ac:dyDescent="0.2">
      <c r="A199" s="29">
        <v>197</v>
      </c>
      <c r="B199" s="29">
        <v>30770102</v>
      </c>
      <c r="C199" s="29" t="s">
        <v>1543</v>
      </c>
      <c r="D199" s="29" t="s">
        <v>1867</v>
      </c>
      <c r="E199" s="29" t="s">
        <v>1868</v>
      </c>
      <c r="F199" s="29" t="s">
        <v>1027</v>
      </c>
    </row>
    <row r="200" spans="1:6" ht="14.25" hidden="1" customHeight="1" x14ac:dyDescent="0.2">
      <c r="A200" s="29">
        <v>198</v>
      </c>
      <c r="B200" s="29">
        <v>58849301</v>
      </c>
      <c r="C200" s="29" t="s">
        <v>1528</v>
      </c>
      <c r="D200" s="29" t="s">
        <v>1869</v>
      </c>
      <c r="E200" s="29" t="s">
        <v>1774</v>
      </c>
      <c r="F200" s="29" t="s">
        <v>539</v>
      </c>
    </row>
    <row r="201" spans="1:6" ht="14.25" hidden="1" customHeight="1" x14ac:dyDescent="0.2">
      <c r="A201" s="29">
        <v>199</v>
      </c>
      <c r="B201" s="29">
        <v>22187603</v>
      </c>
      <c r="C201" s="29" t="s">
        <v>1654</v>
      </c>
      <c r="D201" s="29" t="s">
        <v>1867</v>
      </c>
      <c r="E201" s="29" t="s">
        <v>1843</v>
      </c>
      <c r="F201" s="29" t="s">
        <v>1598</v>
      </c>
    </row>
    <row r="202" spans="1:6" ht="14.25" hidden="1" customHeight="1" x14ac:dyDescent="0.2">
      <c r="A202" s="29">
        <v>200</v>
      </c>
      <c r="B202" s="29">
        <v>42008902</v>
      </c>
      <c r="C202" s="29" t="s">
        <v>1530</v>
      </c>
      <c r="D202" s="29" t="s">
        <v>1867</v>
      </c>
      <c r="E202" s="29" t="s">
        <v>1793</v>
      </c>
      <c r="F202" s="29" t="s">
        <v>1039</v>
      </c>
    </row>
    <row r="203" spans="1:6" ht="14.25" hidden="1" customHeight="1" x14ac:dyDescent="0.2">
      <c r="A203" s="63">
        <v>201</v>
      </c>
      <c r="B203" s="29">
        <v>58849301</v>
      </c>
      <c r="C203" s="63" t="s">
        <v>1528</v>
      </c>
      <c r="D203" s="63" t="s">
        <v>1870</v>
      </c>
      <c r="E203" s="63" t="s">
        <v>1673</v>
      </c>
      <c r="F203" s="63" t="s">
        <v>539</v>
      </c>
    </row>
    <row r="204" spans="1:6" ht="14.25" hidden="1" customHeight="1" x14ac:dyDescent="0.2">
      <c r="A204" s="29">
        <v>202</v>
      </c>
      <c r="B204" s="29">
        <v>76376601</v>
      </c>
      <c r="C204" s="29" t="s">
        <v>1528</v>
      </c>
      <c r="D204" s="29" t="s">
        <v>1870</v>
      </c>
      <c r="E204" s="29" t="s">
        <v>1871</v>
      </c>
      <c r="F204" s="29" t="s">
        <v>1846</v>
      </c>
    </row>
    <row r="205" spans="1:6" ht="14.25" hidden="1" customHeight="1" x14ac:dyDescent="0.2">
      <c r="A205" s="29">
        <v>203</v>
      </c>
      <c r="B205" s="29">
        <v>41221502</v>
      </c>
      <c r="C205" s="29" t="s">
        <v>1528</v>
      </c>
      <c r="D205" s="29" t="s">
        <v>1872</v>
      </c>
      <c r="E205" s="29" t="s">
        <v>1873</v>
      </c>
      <c r="F205" s="29" t="s">
        <v>1139</v>
      </c>
    </row>
    <row r="206" spans="1:6" ht="14.25" hidden="1" customHeight="1" x14ac:dyDescent="0.2">
      <c r="A206" s="29">
        <v>204</v>
      </c>
      <c r="B206" s="29">
        <v>40399103</v>
      </c>
      <c r="C206" s="29" t="s">
        <v>1543</v>
      </c>
      <c r="D206" s="29" t="s">
        <v>1870</v>
      </c>
      <c r="E206" s="29" t="s">
        <v>1584</v>
      </c>
      <c r="F206" s="29" t="s">
        <v>1626</v>
      </c>
    </row>
    <row r="207" spans="1:6" ht="14.25" hidden="1" customHeight="1" x14ac:dyDescent="0.2">
      <c r="A207" s="29">
        <v>205</v>
      </c>
      <c r="B207" s="29">
        <v>41221502</v>
      </c>
      <c r="C207" s="29" t="s">
        <v>1543</v>
      </c>
      <c r="D207" s="29" t="s">
        <v>1869</v>
      </c>
      <c r="E207" s="29" t="s">
        <v>1594</v>
      </c>
      <c r="F207" s="29" t="s">
        <v>1139</v>
      </c>
    </row>
    <row r="208" spans="1:6" ht="14.25" hidden="1" customHeight="1" x14ac:dyDescent="0.2">
      <c r="A208" s="29">
        <v>206</v>
      </c>
      <c r="B208" s="29">
        <v>41222702</v>
      </c>
      <c r="C208" s="29" t="s">
        <v>1543</v>
      </c>
      <c r="D208" s="29" t="s">
        <v>1869</v>
      </c>
      <c r="E208" s="29" t="s">
        <v>1825</v>
      </c>
      <c r="F208" s="29" t="s">
        <v>1075</v>
      </c>
    </row>
    <row r="209" spans="1:6" ht="14.25" hidden="1" customHeight="1" x14ac:dyDescent="0.2">
      <c r="A209" s="29">
        <v>207</v>
      </c>
      <c r="B209" s="29">
        <v>66735302</v>
      </c>
      <c r="C209" s="29" t="s">
        <v>1543</v>
      </c>
      <c r="D209" s="29" t="s">
        <v>1869</v>
      </c>
      <c r="E209" s="29" t="s">
        <v>1793</v>
      </c>
      <c r="F209" s="29" t="s">
        <v>1108</v>
      </c>
    </row>
    <row r="210" spans="1:6" ht="14.25" hidden="1" customHeight="1" x14ac:dyDescent="0.2">
      <c r="A210" s="63">
        <v>208</v>
      </c>
      <c r="B210" s="63">
        <v>31404502</v>
      </c>
      <c r="C210" s="63" t="s">
        <v>1530</v>
      </c>
      <c r="D210" s="63" t="s">
        <v>1874</v>
      </c>
      <c r="E210" s="63" t="s">
        <v>1875</v>
      </c>
      <c r="F210" s="63" t="s">
        <v>1043</v>
      </c>
    </row>
    <row r="211" spans="1:6" ht="14.25" hidden="1" customHeight="1" x14ac:dyDescent="0.2">
      <c r="A211" s="29">
        <v>209</v>
      </c>
      <c r="B211" s="12">
        <v>44480903</v>
      </c>
      <c r="C211" s="29" t="s">
        <v>1528</v>
      </c>
      <c r="D211" s="29" t="s">
        <v>1874</v>
      </c>
      <c r="E211" s="29" t="s">
        <v>1783</v>
      </c>
      <c r="F211" s="29" t="s">
        <v>618</v>
      </c>
    </row>
    <row r="212" spans="1:6" ht="14.25" hidden="1" customHeight="1" x14ac:dyDescent="0.2">
      <c r="A212" s="29">
        <v>210</v>
      </c>
      <c r="B212" s="12">
        <v>30770102</v>
      </c>
      <c r="C212" s="29" t="s">
        <v>1543</v>
      </c>
      <c r="D212" s="29" t="s">
        <v>1876</v>
      </c>
      <c r="E212" s="29" t="s">
        <v>1877</v>
      </c>
      <c r="F212" s="29" t="s">
        <v>1027</v>
      </c>
    </row>
    <row r="213" spans="1:6" ht="14.25" hidden="1" customHeight="1" x14ac:dyDescent="0.25">
      <c r="A213" s="29"/>
      <c r="B213" s="147">
        <v>45108</v>
      </c>
      <c r="C213" s="29"/>
      <c r="D213" s="29"/>
      <c r="E213" s="29"/>
      <c r="F213" s="29">
        <v>1</v>
      </c>
    </row>
    <row r="214" spans="1:6" ht="14.25" hidden="1" customHeight="1" x14ac:dyDescent="0.2">
      <c r="A214" s="29">
        <v>211</v>
      </c>
      <c r="B214" s="29">
        <v>63109602</v>
      </c>
      <c r="C214" s="29" t="s">
        <v>1530</v>
      </c>
      <c r="D214" s="29" t="s">
        <v>1878</v>
      </c>
      <c r="E214" s="29" t="s">
        <v>1879</v>
      </c>
      <c r="F214" s="29" t="s">
        <v>1604</v>
      </c>
    </row>
    <row r="215" spans="1:6" ht="14.25" hidden="1" customHeight="1" x14ac:dyDescent="0.2">
      <c r="A215" s="29">
        <v>212</v>
      </c>
      <c r="B215" s="29">
        <v>31404802</v>
      </c>
      <c r="C215" s="29" t="s">
        <v>1530</v>
      </c>
      <c r="D215" s="29" t="s">
        <v>1880</v>
      </c>
      <c r="E215" s="29" t="s">
        <v>1594</v>
      </c>
      <c r="F215" s="29" t="s">
        <v>1881</v>
      </c>
    </row>
    <row r="216" spans="1:6" ht="14.25" hidden="1" customHeight="1" x14ac:dyDescent="0.2">
      <c r="A216" s="29">
        <v>213</v>
      </c>
      <c r="B216" s="29">
        <v>75170102</v>
      </c>
      <c r="C216" s="29" t="s">
        <v>1543</v>
      </c>
      <c r="D216" s="29" t="s">
        <v>1880</v>
      </c>
      <c r="E216" s="29" t="s">
        <v>1616</v>
      </c>
      <c r="F216" s="29" t="s">
        <v>1307</v>
      </c>
    </row>
    <row r="217" spans="1:6" ht="14.25" hidden="1" customHeight="1" x14ac:dyDescent="0.2">
      <c r="A217" s="29">
        <v>214</v>
      </c>
      <c r="B217" s="29">
        <v>83027002</v>
      </c>
      <c r="C217" s="29" t="s">
        <v>1654</v>
      </c>
      <c r="D217" s="29" t="s">
        <v>1882</v>
      </c>
      <c r="E217" s="29" t="s">
        <v>1629</v>
      </c>
      <c r="F217" s="29" t="s">
        <v>1883</v>
      </c>
    </row>
    <row r="218" spans="1:6" ht="14.25" hidden="1" customHeight="1" x14ac:dyDescent="0.2">
      <c r="A218" s="29">
        <v>215</v>
      </c>
      <c r="B218" s="29">
        <v>42008802</v>
      </c>
      <c r="C218" s="29" t="s">
        <v>1543</v>
      </c>
      <c r="D218" s="29" t="s">
        <v>1884</v>
      </c>
      <c r="E218" s="29" t="s">
        <v>1885</v>
      </c>
      <c r="F218" s="29" t="s">
        <v>994</v>
      </c>
    </row>
    <row r="219" spans="1:6" ht="14.25" hidden="1" customHeight="1" x14ac:dyDescent="0.2">
      <c r="A219" s="29">
        <v>216</v>
      </c>
      <c r="B219" s="29">
        <v>17053003</v>
      </c>
      <c r="C219" s="29" t="s">
        <v>1543</v>
      </c>
      <c r="D219" s="29" t="s">
        <v>1884</v>
      </c>
      <c r="E219" s="29" t="s">
        <v>1584</v>
      </c>
      <c r="F219" s="29" t="s">
        <v>666</v>
      </c>
    </row>
    <row r="220" spans="1:6" ht="14.25" hidden="1" customHeight="1" x14ac:dyDescent="0.2">
      <c r="A220" s="29">
        <v>217</v>
      </c>
      <c r="B220" s="29">
        <v>30525602</v>
      </c>
      <c r="C220" s="29" t="s">
        <v>1543</v>
      </c>
      <c r="D220" s="29" t="s">
        <v>1886</v>
      </c>
      <c r="E220" s="29" t="s">
        <v>1887</v>
      </c>
      <c r="F220" s="29" t="s">
        <v>723</v>
      </c>
    </row>
    <row r="221" spans="1:6" ht="14.25" hidden="1" customHeight="1" x14ac:dyDescent="0.2">
      <c r="A221" s="29">
        <v>218</v>
      </c>
      <c r="B221" s="29">
        <v>52591002</v>
      </c>
      <c r="C221" s="29" t="s">
        <v>1654</v>
      </c>
      <c r="D221" s="29" t="s">
        <v>1888</v>
      </c>
      <c r="E221" s="29" t="s">
        <v>1889</v>
      </c>
      <c r="F221" s="29" t="s">
        <v>963</v>
      </c>
    </row>
    <row r="222" spans="1:6" ht="14.25" hidden="1" customHeight="1" x14ac:dyDescent="0.2">
      <c r="A222" s="29">
        <v>219</v>
      </c>
      <c r="B222" s="29">
        <v>64078501</v>
      </c>
      <c r="C222" s="29" t="s">
        <v>1543</v>
      </c>
      <c r="D222" s="29" t="s">
        <v>1890</v>
      </c>
      <c r="E222" s="29" t="s">
        <v>1891</v>
      </c>
      <c r="F222" s="29" t="s">
        <v>1135</v>
      </c>
    </row>
    <row r="223" spans="1:6" ht="14.25" hidden="1" customHeight="1" x14ac:dyDescent="0.2">
      <c r="A223" s="29">
        <v>220</v>
      </c>
      <c r="B223" s="29">
        <v>22045903</v>
      </c>
      <c r="C223" s="29" t="s">
        <v>1530</v>
      </c>
      <c r="D223" s="29" t="s">
        <v>1892</v>
      </c>
      <c r="E223" s="29" t="s">
        <v>1584</v>
      </c>
      <c r="F223" s="29" t="s">
        <v>931</v>
      </c>
    </row>
    <row r="224" spans="1:6" ht="14.25" hidden="1" customHeight="1" x14ac:dyDescent="0.2">
      <c r="A224" s="63">
        <v>221</v>
      </c>
      <c r="B224" s="63">
        <v>41222802</v>
      </c>
      <c r="C224" s="63" t="s">
        <v>1693</v>
      </c>
      <c r="D224" s="63" t="s">
        <v>1893</v>
      </c>
      <c r="E224" s="63" t="s">
        <v>1894</v>
      </c>
      <c r="F224" s="63" t="s">
        <v>599</v>
      </c>
    </row>
    <row r="225" spans="1:6" ht="14.25" hidden="1" customHeight="1" x14ac:dyDescent="0.2">
      <c r="A225" s="29">
        <v>222</v>
      </c>
      <c r="B225" s="29">
        <v>20425302</v>
      </c>
      <c r="C225" s="29" t="s">
        <v>1543</v>
      </c>
      <c r="D225" s="29" t="s">
        <v>1895</v>
      </c>
      <c r="E225" s="29" t="s">
        <v>1896</v>
      </c>
      <c r="F225" s="29" t="s">
        <v>567</v>
      </c>
    </row>
    <row r="226" spans="1:6" ht="14.25" hidden="1" customHeight="1" x14ac:dyDescent="0.25">
      <c r="A226" s="29"/>
      <c r="B226" s="147">
        <v>45139</v>
      </c>
      <c r="C226" s="29"/>
      <c r="D226" s="29"/>
      <c r="E226" s="29"/>
      <c r="F226" s="29">
        <v>1</v>
      </c>
    </row>
    <row r="227" spans="1:6" ht="14.25" hidden="1" customHeight="1" x14ac:dyDescent="0.2">
      <c r="A227" s="29">
        <v>223</v>
      </c>
      <c r="B227" s="29">
        <v>52591002</v>
      </c>
      <c r="C227" s="29" t="s">
        <v>1897</v>
      </c>
      <c r="D227" s="29" t="s">
        <v>1898</v>
      </c>
      <c r="E227" s="29" t="s">
        <v>1857</v>
      </c>
      <c r="F227" s="29" t="s">
        <v>963</v>
      </c>
    </row>
    <row r="228" spans="1:6" ht="14.25" hidden="1" customHeight="1" x14ac:dyDescent="0.2">
      <c r="A228" s="29">
        <v>224</v>
      </c>
      <c r="B228" s="29">
        <v>52481402</v>
      </c>
      <c r="C228" s="29" t="s">
        <v>1543</v>
      </c>
      <c r="D228" s="29" t="s">
        <v>1899</v>
      </c>
      <c r="E228" s="29" t="s">
        <v>1868</v>
      </c>
      <c r="F228" s="29" t="s">
        <v>1163</v>
      </c>
    </row>
    <row r="229" spans="1:6" ht="14.25" hidden="1" customHeight="1" x14ac:dyDescent="0.2">
      <c r="A229" s="29">
        <v>225</v>
      </c>
      <c r="B229" s="29">
        <v>12198203</v>
      </c>
      <c r="C229" s="29" t="s">
        <v>1528</v>
      </c>
      <c r="D229" s="29" t="s">
        <v>1900</v>
      </c>
      <c r="E229" s="29" t="s">
        <v>1653</v>
      </c>
      <c r="F229" s="29" t="s">
        <v>1588</v>
      </c>
    </row>
    <row r="230" spans="1:6" ht="14.25" hidden="1" customHeight="1" x14ac:dyDescent="0.2">
      <c r="A230" s="29">
        <v>226</v>
      </c>
      <c r="B230" s="29">
        <v>63765702</v>
      </c>
      <c r="C230" s="29" t="s">
        <v>1530</v>
      </c>
      <c r="D230" s="29" t="s">
        <v>1898</v>
      </c>
      <c r="E230" s="29" t="s">
        <v>1843</v>
      </c>
      <c r="F230" s="29" t="s">
        <v>1351</v>
      </c>
    </row>
    <row r="231" spans="1:6" ht="14.25" hidden="1" customHeight="1" x14ac:dyDescent="0.2">
      <c r="A231" s="29">
        <v>227</v>
      </c>
      <c r="B231" s="29">
        <v>42950702</v>
      </c>
      <c r="C231" s="29" t="s">
        <v>1654</v>
      </c>
      <c r="D231" s="29" t="s">
        <v>1900</v>
      </c>
      <c r="E231" s="29" t="s">
        <v>1901</v>
      </c>
      <c r="F231" s="29" t="s">
        <v>1621</v>
      </c>
    </row>
    <row r="232" spans="1:6" ht="14.25" hidden="1" customHeight="1" x14ac:dyDescent="0.2">
      <c r="A232" s="29">
        <v>228</v>
      </c>
      <c r="B232" s="29">
        <v>59321401</v>
      </c>
      <c r="C232" s="29" t="s">
        <v>1528</v>
      </c>
      <c r="D232" s="29" t="s">
        <v>1902</v>
      </c>
      <c r="E232" s="29" t="s">
        <v>1903</v>
      </c>
      <c r="F232" s="29" t="s">
        <v>844</v>
      </c>
    </row>
    <row r="233" spans="1:6" ht="14.25" hidden="1" customHeight="1" x14ac:dyDescent="0.2">
      <c r="A233" s="29">
        <v>229</v>
      </c>
      <c r="B233" s="29">
        <v>52150302</v>
      </c>
      <c r="C233" s="29" t="s">
        <v>1543</v>
      </c>
      <c r="D233" s="29" t="s">
        <v>1902</v>
      </c>
      <c r="E233" s="29" t="s">
        <v>1901</v>
      </c>
      <c r="F233" s="29" t="s">
        <v>1406</v>
      </c>
    </row>
    <row r="234" spans="1:6" ht="14.25" hidden="1" customHeight="1" x14ac:dyDescent="0.2">
      <c r="A234" s="29">
        <v>230</v>
      </c>
      <c r="B234" s="29">
        <v>64782302</v>
      </c>
      <c r="C234" s="29" t="s">
        <v>1904</v>
      </c>
      <c r="D234" s="29" t="s">
        <v>1902</v>
      </c>
      <c r="E234" s="29" t="s">
        <v>1774</v>
      </c>
      <c r="F234" s="29" t="s">
        <v>1905</v>
      </c>
    </row>
    <row r="235" spans="1:6" ht="14.25" hidden="1" customHeight="1" x14ac:dyDescent="0.2">
      <c r="A235" s="29">
        <v>231</v>
      </c>
      <c r="B235" s="29">
        <v>28491903</v>
      </c>
      <c r="C235" s="29" t="s">
        <v>1528</v>
      </c>
      <c r="D235" s="29" t="s">
        <v>1906</v>
      </c>
      <c r="E235" s="29" t="s">
        <v>1836</v>
      </c>
      <c r="F235" s="29" t="s">
        <v>501</v>
      </c>
    </row>
    <row r="236" spans="1:6" ht="14.25" hidden="1" customHeight="1" x14ac:dyDescent="0.2">
      <c r="A236" s="29">
        <v>232</v>
      </c>
      <c r="B236" s="63">
        <v>52481402</v>
      </c>
      <c r="C236" s="29" t="s">
        <v>1528</v>
      </c>
      <c r="D236" s="29" t="s">
        <v>1906</v>
      </c>
      <c r="E236" s="29" t="s">
        <v>1774</v>
      </c>
      <c r="F236" s="29" t="s">
        <v>1163</v>
      </c>
    </row>
    <row r="237" spans="1:6" ht="14.25" hidden="1" customHeight="1" x14ac:dyDescent="0.2">
      <c r="A237" s="29">
        <v>233</v>
      </c>
      <c r="B237" s="29">
        <v>30327902</v>
      </c>
      <c r="C237" s="29" t="s">
        <v>1530</v>
      </c>
      <c r="D237" s="29" t="s">
        <v>1907</v>
      </c>
      <c r="E237" s="29" t="s">
        <v>1793</v>
      </c>
      <c r="F237" s="29" t="s">
        <v>1705</v>
      </c>
    </row>
    <row r="238" spans="1:6" ht="14.25" hidden="1" customHeight="1" x14ac:dyDescent="0.2">
      <c r="A238" s="29">
        <v>234</v>
      </c>
      <c r="B238" s="29">
        <v>42948502</v>
      </c>
      <c r="C238" s="29" t="s">
        <v>1543</v>
      </c>
      <c r="D238" s="29" t="s">
        <v>1908</v>
      </c>
      <c r="E238" s="29" t="s">
        <v>1891</v>
      </c>
      <c r="F238" s="29" t="s">
        <v>552</v>
      </c>
    </row>
    <row r="239" spans="1:6" ht="14.25" hidden="1" customHeight="1" x14ac:dyDescent="0.2">
      <c r="A239" s="29">
        <v>235</v>
      </c>
      <c r="B239" s="12">
        <v>76376601</v>
      </c>
      <c r="C239" s="29" t="s">
        <v>1528</v>
      </c>
      <c r="D239" s="29" t="s">
        <v>1908</v>
      </c>
      <c r="E239" s="29" t="s">
        <v>1857</v>
      </c>
      <c r="F239" s="29" t="s">
        <v>971</v>
      </c>
    </row>
    <row r="240" spans="1:6" ht="14.25" hidden="1" customHeight="1" x14ac:dyDescent="0.2">
      <c r="A240" s="29">
        <v>236</v>
      </c>
      <c r="B240" s="29">
        <v>75169802</v>
      </c>
      <c r="C240" s="29" t="s">
        <v>1530</v>
      </c>
      <c r="D240" s="29" t="s">
        <v>1908</v>
      </c>
      <c r="E240" s="29" t="s">
        <v>1909</v>
      </c>
      <c r="F240" s="29" t="s">
        <v>601</v>
      </c>
    </row>
    <row r="241" spans="1:6" ht="14.25" hidden="1" customHeight="1" x14ac:dyDescent="0.2">
      <c r="A241" s="29">
        <v>237</v>
      </c>
      <c r="B241" s="29">
        <v>75019402</v>
      </c>
      <c r="C241" s="29" t="s">
        <v>1904</v>
      </c>
      <c r="D241" s="29" t="s">
        <v>1910</v>
      </c>
      <c r="E241" s="29" t="s">
        <v>1816</v>
      </c>
      <c r="F241" s="29" t="s">
        <v>813</v>
      </c>
    </row>
    <row r="242" spans="1:6" ht="14.25" hidden="1" customHeight="1" x14ac:dyDescent="0.2">
      <c r="A242" s="29">
        <v>238</v>
      </c>
      <c r="B242" s="29">
        <v>30525602</v>
      </c>
      <c r="C242" s="29" t="s">
        <v>1911</v>
      </c>
      <c r="D242" s="29" t="s">
        <v>1910</v>
      </c>
      <c r="E242" s="29" t="s">
        <v>1786</v>
      </c>
      <c r="F242" s="29" t="s">
        <v>723</v>
      </c>
    </row>
    <row r="243" spans="1:6" ht="14.25" hidden="1" customHeight="1" x14ac:dyDescent="0.2">
      <c r="A243" s="63">
        <v>239</v>
      </c>
      <c r="B243" s="63">
        <v>76376601</v>
      </c>
      <c r="C243" s="63" t="s">
        <v>1654</v>
      </c>
      <c r="D243" s="63" t="s">
        <v>1910</v>
      </c>
      <c r="E243" s="63" t="s">
        <v>1912</v>
      </c>
      <c r="F243" s="63" t="s">
        <v>971</v>
      </c>
    </row>
    <row r="244" spans="1:6" ht="14.25" hidden="1" customHeight="1" x14ac:dyDescent="0.2">
      <c r="A244" s="29">
        <v>240</v>
      </c>
      <c r="B244" s="29">
        <v>75019402</v>
      </c>
      <c r="C244" s="29" t="s">
        <v>1543</v>
      </c>
      <c r="D244" s="29" t="s">
        <v>713</v>
      </c>
      <c r="E244" s="29" t="s">
        <v>1913</v>
      </c>
      <c r="F244" s="29" t="s">
        <v>813</v>
      </c>
    </row>
    <row r="245" spans="1:6" ht="14.25" hidden="1" customHeight="1" x14ac:dyDescent="0.2">
      <c r="A245" s="29">
        <v>241</v>
      </c>
      <c r="B245" s="29">
        <v>64078901</v>
      </c>
      <c r="C245" s="29" t="s">
        <v>1543</v>
      </c>
      <c r="D245" s="29" t="s">
        <v>713</v>
      </c>
      <c r="E245" s="29" t="s">
        <v>1914</v>
      </c>
      <c r="F245" s="29" t="s">
        <v>1033</v>
      </c>
    </row>
    <row r="246" spans="1:6" ht="14.25" hidden="1" customHeight="1" x14ac:dyDescent="0.2">
      <c r="A246" s="29">
        <v>242</v>
      </c>
      <c r="B246" s="29">
        <v>40399103</v>
      </c>
      <c r="C246" s="29" t="s">
        <v>1543</v>
      </c>
      <c r="D246" s="29" t="s">
        <v>1915</v>
      </c>
      <c r="E246" s="29" t="s">
        <v>1609</v>
      </c>
      <c r="F246" s="29" t="s">
        <v>1626</v>
      </c>
    </row>
    <row r="247" spans="1:6" ht="14.25" hidden="1" customHeight="1" x14ac:dyDescent="0.2">
      <c r="A247" s="29">
        <v>243</v>
      </c>
      <c r="B247" s="29">
        <v>21898003</v>
      </c>
      <c r="C247" s="29" t="s">
        <v>1528</v>
      </c>
      <c r="D247" s="29" t="s">
        <v>1915</v>
      </c>
      <c r="E247" s="29" t="s">
        <v>1916</v>
      </c>
      <c r="F247" s="29" t="s">
        <v>1640</v>
      </c>
    </row>
    <row r="248" spans="1:6" ht="14.25" hidden="1" customHeight="1" x14ac:dyDescent="0.2">
      <c r="A248" s="29">
        <v>244</v>
      </c>
      <c r="B248" s="29">
        <v>17053003</v>
      </c>
      <c r="C248" s="29" t="s">
        <v>1528</v>
      </c>
      <c r="D248" s="29" t="s">
        <v>1917</v>
      </c>
      <c r="E248" s="29" t="s">
        <v>1774</v>
      </c>
      <c r="F248" s="29" t="s">
        <v>666</v>
      </c>
    </row>
    <row r="249" spans="1:6" ht="14.25" hidden="1" customHeight="1" x14ac:dyDescent="0.25">
      <c r="A249" s="29"/>
      <c r="B249" s="147">
        <v>45170</v>
      </c>
      <c r="C249" s="29"/>
      <c r="D249" s="29"/>
      <c r="E249" s="29"/>
      <c r="F249" s="29">
        <v>1</v>
      </c>
    </row>
    <row r="250" spans="1:6" ht="14.25" hidden="1" customHeight="1" x14ac:dyDescent="0.2">
      <c r="A250" s="29">
        <v>246</v>
      </c>
      <c r="B250" s="29">
        <v>22187603</v>
      </c>
      <c r="C250" s="29" t="s">
        <v>1654</v>
      </c>
      <c r="D250" s="29" t="s">
        <v>1918</v>
      </c>
      <c r="E250" s="29" t="s">
        <v>1616</v>
      </c>
      <c r="F250" s="29" t="s">
        <v>1598</v>
      </c>
    </row>
    <row r="251" spans="1:6" ht="14.25" hidden="1" customHeight="1" x14ac:dyDescent="0.2">
      <c r="A251" s="29">
        <v>247</v>
      </c>
      <c r="B251" s="29">
        <v>20425302</v>
      </c>
      <c r="C251" s="29" t="s">
        <v>1528</v>
      </c>
      <c r="D251" s="29" t="s">
        <v>1919</v>
      </c>
      <c r="E251" s="29" t="s">
        <v>1692</v>
      </c>
      <c r="F251" s="49" t="s">
        <v>567</v>
      </c>
    </row>
    <row r="252" spans="1:6" ht="14.25" hidden="1" customHeight="1" x14ac:dyDescent="0.2">
      <c r="A252" s="29">
        <v>248</v>
      </c>
      <c r="B252" s="63">
        <v>52481402</v>
      </c>
      <c r="C252" s="29" t="s">
        <v>1528</v>
      </c>
      <c r="D252" s="29" t="s">
        <v>27</v>
      </c>
      <c r="E252" s="29" t="s">
        <v>1731</v>
      </c>
      <c r="F252" s="49" t="s">
        <v>1163</v>
      </c>
    </row>
    <row r="253" spans="1:6" ht="14.25" hidden="1" customHeight="1" x14ac:dyDescent="0.2">
      <c r="A253" s="29">
        <v>249</v>
      </c>
      <c r="B253" s="29">
        <v>63109602</v>
      </c>
      <c r="C253" s="29" t="s">
        <v>1530</v>
      </c>
      <c r="D253" s="29" t="s">
        <v>1920</v>
      </c>
      <c r="E253" s="29" t="s">
        <v>1616</v>
      </c>
      <c r="F253" s="29" t="s">
        <v>1604</v>
      </c>
    </row>
    <row r="254" spans="1:6" ht="14.25" hidden="1" customHeight="1" x14ac:dyDescent="0.2">
      <c r="A254" s="29">
        <v>250</v>
      </c>
      <c r="B254" s="29">
        <v>44080903</v>
      </c>
      <c r="C254" s="29" t="s">
        <v>1543</v>
      </c>
      <c r="D254" s="29" t="s">
        <v>27</v>
      </c>
      <c r="E254" s="29" t="s">
        <v>1584</v>
      </c>
      <c r="F254" s="29" t="s">
        <v>618</v>
      </c>
    </row>
    <row r="255" spans="1:6" ht="14.25" hidden="1" customHeight="1" x14ac:dyDescent="0.2">
      <c r="A255" s="29">
        <v>251</v>
      </c>
      <c r="B255" s="29">
        <v>42950702</v>
      </c>
      <c r="C255" s="29" t="s">
        <v>1528</v>
      </c>
      <c r="D255" s="29" t="s">
        <v>1921</v>
      </c>
      <c r="E255" s="29" t="s">
        <v>1922</v>
      </c>
      <c r="F255" s="49" t="s">
        <v>1923</v>
      </c>
    </row>
    <row r="256" spans="1:6" ht="14.25" hidden="1" customHeight="1" x14ac:dyDescent="0.2">
      <c r="A256" s="29">
        <v>252</v>
      </c>
      <c r="B256" s="12">
        <v>52150302</v>
      </c>
      <c r="C256" s="63" t="s">
        <v>1528</v>
      </c>
      <c r="D256" s="63" t="s">
        <v>1924</v>
      </c>
      <c r="E256" s="63" t="s">
        <v>1731</v>
      </c>
      <c r="F256" s="149" t="s">
        <v>1406</v>
      </c>
    </row>
    <row r="257" spans="1:6" ht="14.25" hidden="1" customHeight="1" x14ac:dyDescent="0.2">
      <c r="A257" s="29">
        <v>253</v>
      </c>
      <c r="B257" s="63">
        <v>76376601</v>
      </c>
      <c r="C257" s="29" t="s">
        <v>1528</v>
      </c>
      <c r="D257" s="29" t="s">
        <v>1924</v>
      </c>
      <c r="E257" s="29" t="s">
        <v>1925</v>
      </c>
      <c r="F257" s="49" t="s">
        <v>1926</v>
      </c>
    </row>
    <row r="258" spans="1:6" ht="14.25" hidden="1" customHeight="1" x14ac:dyDescent="0.2">
      <c r="A258" s="29">
        <v>254</v>
      </c>
      <c r="B258" s="29">
        <v>64078501</v>
      </c>
      <c r="C258" s="29" t="s">
        <v>1543</v>
      </c>
      <c r="D258" s="29" t="s">
        <v>1924</v>
      </c>
      <c r="E258" s="29" t="s">
        <v>1927</v>
      </c>
      <c r="F258" s="29" t="s">
        <v>590</v>
      </c>
    </row>
    <row r="259" spans="1:6" ht="14.25" hidden="1" customHeight="1" x14ac:dyDescent="0.2">
      <c r="A259" s="29">
        <v>255</v>
      </c>
      <c r="B259" s="29">
        <v>42949102</v>
      </c>
      <c r="C259" s="29" t="s">
        <v>1530</v>
      </c>
      <c r="D259" s="29" t="s">
        <v>1928</v>
      </c>
      <c r="E259" s="29" t="s">
        <v>1929</v>
      </c>
      <c r="F259" s="29" t="s">
        <v>709</v>
      </c>
    </row>
    <row r="260" spans="1:6" ht="14.25" hidden="1" customHeight="1" x14ac:dyDescent="0.2">
      <c r="A260" s="29">
        <v>256</v>
      </c>
      <c r="B260" s="29">
        <v>50258603</v>
      </c>
      <c r="C260" s="29" t="s">
        <v>1654</v>
      </c>
      <c r="D260" s="29" t="s">
        <v>1928</v>
      </c>
      <c r="E260" s="29" t="s">
        <v>1656</v>
      </c>
      <c r="F260" s="29" t="s">
        <v>881</v>
      </c>
    </row>
    <row r="261" spans="1:6" ht="14.25" hidden="1" customHeight="1" x14ac:dyDescent="0.2">
      <c r="A261" s="29">
        <v>257</v>
      </c>
      <c r="B261" s="12">
        <v>75169702</v>
      </c>
      <c r="C261" s="29" t="s">
        <v>1528</v>
      </c>
      <c r="D261" s="29" t="s">
        <v>1930</v>
      </c>
      <c r="E261" s="29" t="s">
        <v>1783</v>
      </c>
      <c r="F261" s="49" t="s">
        <v>381</v>
      </c>
    </row>
    <row r="262" spans="1:6" ht="14.25" hidden="1" customHeight="1" x14ac:dyDescent="0.2">
      <c r="A262" s="29">
        <v>258</v>
      </c>
      <c r="B262" s="12">
        <v>66735302</v>
      </c>
      <c r="C262" s="29" t="s">
        <v>1528</v>
      </c>
      <c r="D262" s="29" t="s">
        <v>1931</v>
      </c>
      <c r="E262" s="29" t="s">
        <v>1932</v>
      </c>
      <c r="F262" s="49" t="s">
        <v>1108</v>
      </c>
    </row>
    <row r="263" spans="1:6" ht="14.25" hidden="1" customHeight="1" x14ac:dyDescent="0.2">
      <c r="A263" s="29">
        <v>259</v>
      </c>
      <c r="B263" s="12">
        <v>76644701</v>
      </c>
      <c r="C263" s="29" t="s">
        <v>1528</v>
      </c>
      <c r="D263" s="29" t="s">
        <v>1931</v>
      </c>
      <c r="E263" s="29" t="s">
        <v>1774</v>
      </c>
      <c r="F263" s="49" t="s">
        <v>774</v>
      </c>
    </row>
    <row r="264" spans="1:6" ht="14.25" hidden="1" customHeight="1" x14ac:dyDescent="0.2">
      <c r="A264" s="29">
        <v>260</v>
      </c>
      <c r="B264" s="29">
        <v>28491903</v>
      </c>
      <c r="C264" s="29" t="s">
        <v>1530</v>
      </c>
      <c r="D264" s="29" t="s">
        <v>1933</v>
      </c>
      <c r="E264" s="29" t="s">
        <v>1629</v>
      </c>
      <c r="F264" s="29" t="s">
        <v>501</v>
      </c>
    </row>
    <row r="265" spans="1:6" ht="14.25" hidden="1" customHeight="1" x14ac:dyDescent="0.2">
      <c r="A265" s="29">
        <v>261</v>
      </c>
      <c r="B265" s="29">
        <v>30770102</v>
      </c>
      <c r="C265" s="29" t="s">
        <v>1543</v>
      </c>
      <c r="D265" s="29" t="s">
        <v>1933</v>
      </c>
      <c r="E265" s="29" t="s">
        <v>1934</v>
      </c>
      <c r="F265" s="29" t="s">
        <v>1027</v>
      </c>
    </row>
    <row r="266" spans="1:6" ht="14.25" hidden="1" customHeight="1" x14ac:dyDescent="0.2">
      <c r="A266" s="29">
        <v>262</v>
      </c>
      <c r="B266" s="29">
        <v>41222802</v>
      </c>
      <c r="C266" s="29" t="s">
        <v>1543</v>
      </c>
      <c r="D266" s="29" t="s">
        <v>1933</v>
      </c>
      <c r="E266" s="29" t="s">
        <v>1935</v>
      </c>
      <c r="F266" s="29" t="s">
        <v>599</v>
      </c>
    </row>
    <row r="267" spans="1:6" ht="14.25" hidden="1" customHeight="1" x14ac:dyDescent="0.2">
      <c r="A267" s="29">
        <v>263</v>
      </c>
      <c r="B267" s="29">
        <v>12198203</v>
      </c>
      <c r="C267" s="29" t="s">
        <v>1528</v>
      </c>
      <c r="D267" s="29" t="s">
        <v>1920</v>
      </c>
      <c r="E267" s="29" t="s">
        <v>1774</v>
      </c>
      <c r="F267" s="49" t="s">
        <v>1588</v>
      </c>
    </row>
    <row r="268" spans="1:6" ht="14.25" hidden="1" customHeight="1" x14ac:dyDescent="0.2">
      <c r="A268" s="29"/>
      <c r="B268" s="29">
        <v>50258603</v>
      </c>
      <c r="C268" s="29" t="s">
        <v>1528</v>
      </c>
      <c r="D268" s="29" t="s">
        <v>1928</v>
      </c>
      <c r="E268" s="29" t="s">
        <v>1936</v>
      </c>
      <c r="F268" s="49" t="s">
        <v>881</v>
      </c>
    </row>
    <row r="269" spans="1:6" ht="14.25" hidden="1" customHeight="1" x14ac:dyDescent="0.2">
      <c r="A269" s="29">
        <v>264</v>
      </c>
      <c r="B269" s="29">
        <v>42949202</v>
      </c>
      <c r="C269" s="29" t="s">
        <v>1543</v>
      </c>
      <c r="D269" s="29" t="s">
        <v>1933</v>
      </c>
      <c r="E269" s="29" t="s">
        <v>1659</v>
      </c>
      <c r="F269" s="29" t="s">
        <v>1794</v>
      </c>
    </row>
    <row r="270" spans="1:6" ht="14.25" hidden="1" customHeight="1" x14ac:dyDescent="0.25">
      <c r="A270" s="29"/>
      <c r="B270" s="147">
        <v>45200</v>
      </c>
      <c r="C270" s="29"/>
      <c r="D270" s="29"/>
      <c r="E270" s="29"/>
      <c r="F270" s="29">
        <v>1</v>
      </c>
    </row>
    <row r="271" spans="1:6" ht="14.25" hidden="1" customHeight="1" x14ac:dyDescent="0.2">
      <c r="A271" s="29">
        <v>264</v>
      </c>
      <c r="B271" s="29">
        <v>50574503</v>
      </c>
      <c r="C271" s="29" t="s">
        <v>1530</v>
      </c>
      <c r="D271" s="29" t="s">
        <v>1937</v>
      </c>
      <c r="E271" s="29" t="s">
        <v>1656</v>
      </c>
      <c r="F271" s="29" t="s">
        <v>937</v>
      </c>
    </row>
    <row r="272" spans="1:6" ht="14.25" hidden="1" customHeight="1" x14ac:dyDescent="0.2">
      <c r="A272" s="29">
        <v>265</v>
      </c>
      <c r="B272" s="29">
        <v>30525602</v>
      </c>
      <c r="C272" s="29" t="s">
        <v>1528</v>
      </c>
      <c r="D272" s="29" t="s">
        <v>1938</v>
      </c>
      <c r="E272" s="29" t="s">
        <v>1857</v>
      </c>
      <c r="F272" s="29" t="s">
        <v>723</v>
      </c>
    </row>
    <row r="273" spans="1:26" ht="14.25" hidden="1" customHeight="1" x14ac:dyDescent="0.2">
      <c r="A273" s="29">
        <v>266</v>
      </c>
      <c r="B273" s="29">
        <v>41222702</v>
      </c>
      <c r="C273" s="29" t="s">
        <v>1543</v>
      </c>
      <c r="D273" s="29" t="s">
        <v>1939</v>
      </c>
      <c r="E273" s="29" t="s">
        <v>1940</v>
      </c>
      <c r="F273" s="29" t="s">
        <v>1075</v>
      </c>
    </row>
    <row r="274" spans="1:26" ht="14.25" hidden="1" customHeight="1" x14ac:dyDescent="0.2">
      <c r="A274" s="29">
        <v>267</v>
      </c>
      <c r="B274" s="29">
        <v>41222802</v>
      </c>
      <c r="C274" s="29" t="s">
        <v>1654</v>
      </c>
      <c r="D274" s="29" t="s">
        <v>1941</v>
      </c>
      <c r="E274" s="29" t="s">
        <v>1934</v>
      </c>
      <c r="F274" s="29" t="s">
        <v>599</v>
      </c>
    </row>
    <row r="275" spans="1:26" ht="14.25" hidden="1" customHeight="1" x14ac:dyDescent="0.2">
      <c r="A275" s="21">
        <v>268</v>
      </c>
      <c r="B275" s="21">
        <v>76644701</v>
      </c>
      <c r="C275" s="21" t="s">
        <v>1528</v>
      </c>
      <c r="D275" s="42" t="s">
        <v>1942</v>
      </c>
      <c r="E275" s="21" t="s">
        <v>1714</v>
      </c>
      <c r="F275" s="21" t="s">
        <v>774</v>
      </c>
      <c r="G275" s="75"/>
      <c r="H275" s="75"/>
      <c r="I275" s="75"/>
      <c r="J275" s="75"/>
      <c r="K275" s="75"/>
      <c r="L275" s="75"/>
      <c r="M275" s="75"/>
      <c r="N275" s="75"/>
      <c r="O275" s="75"/>
      <c r="P275" s="75"/>
      <c r="Q275" s="75"/>
      <c r="R275" s="75"/>
      <c r="S275" s="75"/>
      <c r="T275" s="75"/>
      <c r="U275" s="75"/>
      <c r="V275" s="75"/>
      <c r="W275" s="75"/>
      <c r="X275" s="75"/>
      <c r="Y275" s="75"/>
      <c r="Z275" s="75"/>
    </row>
    <row r="276" spans="1:26" ht="14.25" hidden="1" customHeight="1" x14ac:dyDescent="0.2">
      <c r="A276" s="29">
        <v>269</v>
      </c>
      <c r="B276" s="29">
        <v>83774102</v>
      </c>
      <c r="C276" s="29" t="s">
        <v>1543</v>
      </c>
      <c r="D276" s="29" t="s">
        <v>1943</v>
      </c>
      <c r="E276" s="29" t="s">
        <v>1843</v>
      </c>
      <c r="F276" s="29" t="s">
        <v>1944</v>
      </c>
    </row>
    <row r="277" spans="1:26" ht="14.25" hidden="1" customHeight="1" x14ac:dyDescent="0.2">
      <c r="A277" s="29">
        <v>270</v>
      </c>
      <c r="B277" s="29">
        <v>41222802</v>
      </c>
      <c r="C277" s="29" t="s">
        <v>1528</v>
      </c>
      <c r="D277" s="29" t="s">
        <v>1941</v>
      </c>
      <c r="E277" s="29" t="s">
        <v>1774</v>
      </c>
      <c r="F277" s="29" t="s">
        <v>599</v>
      </c>
    </row>
    <row r="278" spans="1:26" ht="14.25" hidden="1" customHeight="1" x14ac:dyDescent="0.25">
      <c r="A278" s="29"/>
      <c r="B278" s="147">
        <v>45231</v>
      </c>
      <c r="C278" s="29"/>
      <c r="D278" s="29"/>
      <c r="E278" s="29"/>
      <c r="F278" s="29">
        <v>1</v>
      </c>
    </row>
    <row r="279" spans="1:26" ht="14.25" hidden="1" customHeight="1" x14ac:dyDescent="0.2">
      <c r="A279" s="29"/>
      <c r="B279" s="29">
        <v>21897903</v>
      </c>
      <c r="C279" s="29" t="s">
        <v>1530</v>
      </c>
      <c r="D279" s="29" t="s">
        <v>1945</v>
      </c>
      <c r="E279" s="29" t="s">
        <v>1843</v>
      </c>
      <c r="F279" s="29" t="s">
        <v>1946</v>
      </c>
    </row>
    <row r="280" spans="1:26" ht="14.25" hidden="1" customHeight="1" x14ac:dyDescent="0.2">
      <c r="A280" s="29"/>
      <c r="B280" s="29">
        <v>30327902</v>
      </c>
      <c r="C280" s="29" t="s">
        <v>1530</v>
      </c>
      <c r="D280" s="29" t="s">
        <v>1947</v>
      </c>
      <c r="E280" s="29" t="s">
        <v>1948</v>
      </c>
      <c r="F280" s="29" t="s">
        <v>1057</v>
      </c>
    </row>
    <row r="281" spans="1:26" ht="14.25" hidden="1" customHeight="1" x14ac:dyDescent="0.2">
      <c r="A281" s="29"/>
      <c r="B281" s="29">
        <v>12198203</v>
      </c>
      <c r="C281" s="29" t="s">
        <v>1654</v>
      </c>
      <c r="D281" s="29" t="s">
        <v>1949</v>
      </c>
      <c r="E281" s="29" t="s">
        <v>1629</v>
      </c>
      <c r="F281" s="29" t="s">
        <v>1950</v>
      </c>
    </row>
    <row r="282" spans="1:26" ht="14.25" hidden="1" customHeight="1" x14ac:dyDescent="0.2">
      <c r="A282" s="29"/>
      <c r="B282" s="29">
        <v>50258603</v>
      </c>
      <c r="C282" s="29" t="s">
        <v>1654</v>
      </c>
      <c r="D282" s="29" t="s">
        <v>1949</v>
      </c>
      <c r="E282" s="29" t="s">
        <v>1951</v>
      </c>
      <c r="F282" s="29" t="s">
        <v>881</v>
      </c>
    </row>
    <row r="283" spans="1:26" ht="14.25" hidden="1" customHeight="1" x14ac:dyDescent="0.2">
      <c r="A283" s="29"/>
      <c r="B283" s="12">
        <v>75170102</v>
      </c>
      <c r="C283" s="29" t="s">
        <v>1528</v>
      </c>
      <c r="D283" s="29" t="s">
        <v>1952</v>
      </c>
      <c r="E283" s="29" t="s">
        <v>1953</v>
      </c>
      <c r="F283" s="29" t="s">
        <v>1307</v>
      </c>
    </row>
    <row r="284" spans="1:26" ht="14.25" hidden="1" customHeight="1" x14ac:dyDescent="0.2">
      <c r="A284" s="29"/>
      <c r="B284" s="29">
        <v>30327902</v>
      </c>
      <c r="C284" s="29" t="s">
        <v>1528</v>
      </c>
      <c r="D284" s="29" t="s">
        <v>1952</v>
      </c>
      <c r="E284" s="29" t="s">
        <v>1954</v>
      </c>
      <c r="F284" s="29" t="s">
        <v>1057</v>
      </c>
    </row>
    <row r="285" spans="1:26" ht="14.25" hidden="1" customHeight="1" x14ac:dyDescent="0.2">
      <c r="A285" s="29"/>
      <c r="B285" s="12">
        <v>59032903</v>
      </c>
      <c r="C285" s="29" t="s">
        <v>1528</v>
      </c>
      <c r="D285" s="29" t="s">
        <v>1955</v>
      </c>
      <c r="E285" s="29" t="s">
        <v>1692</v>
      </c>
      <c r="F285" s="29" t="s">
        <v>539</v>
      </c>
    </row>
    <row r="286" spans="1:26" ht="14.25" hidden="1" customHeight="1" x14ac:dyDescent="0.2">
      <c r="A286" s="29"/>
      <c r="B286" s="29">
        <v>40399103</v>
      </c>
      <c r="C286" s="29" t="s">
        <v>1543</v>
      </c>
      <c r="D286" s="29" t="s">
        <v>1956</v>
      </c>
      <c r="E286" s="29" t="s">
        <v>1616</v>
      </c>
      <c r="F286" s="29" t="s">
        <v>1626</v>
      </c>
    </row>
    <row r="287" spans="1:26" ht="14.25" hidden="1" customHeight="1" x14ac:dyDescent="0.2">
      <c r="A287" s="29"/>
      <c r="B287" s="29">
        <v>22187603</v>
      </c>
      <c r="C287" s="29" t="s">
        <v>1654</v>
      </c>
      <c r="D287" s="29" t="s">
        <v>1956</v>
      </c>
      <c r="E287" s="29" t="s">
        <v>1629</v>
      </c>
      <c r="F287" s="29" t="s">
        <v>1598</v>
      </c>
    </row>
    <row r="288" spans="1:26" ht="14.25" hidden="1" customHeight="1" x14ac:dyDescent="0.2">
      <c r="A288" s="29"/>
      <c r="B288" s="12">
        <v>17053103</v>
      </c>
      <c r="C288" s="29" t="s">
        <v>1530</v>
      </c>
      <c r="D288" s="29" t="s">
        <v>1957</v>
      </c>
      <c r="E288" s="29" t="s">
        <v>1843</v>
      </c>
      <c r="F288" s="29" t="s">
        <v>919</v>
      </c>
    </row>
    <row r="289" spans="1:6" ht="14.25" hidden="1" customHeight="1" x14ac:dyDescent="0.2">
      <c r="A289" s="29"/>
      <c r="B289" s="12">
        <v>89137102</v>
      </c>
      <c r="C289" s="29" t="s">
        <v>1530</v>
      </c>
      <c r="D289" s="29" t="s">
        <v>1957</v>
      </c>
      <c r="E289" s="29" t="s">
        <v>1843</v>
      </c>
      <c r="F289" s="29" t="s">
        <v>663</v>
      </c>
    </row>
    <row r="290" spans="1:6" ht="14.25" hidden="1" customHeight="1" x14ac:dyDescent="0.2">
      <c r="A290" s="29"/>
      <c r="B290" s="29">
        <v>22187603</v>
      </c>
      <c r="C290" s="29" t="s">
        <v>1528</v>
      </c>
      <c r="D290" s="29" t="s">
        <v>1958</v>
      </c>
      <c r="E290" s="29" t="s">
        <v>1774</v>
      </c>
      <c r="F290" s="29" t="s">
        <v>1598</v>
      </c>
    </row>
    <row r="291" spans="1:6" ht="14.25" hidden="1" customHeight="1" x14ac:dyDescent="0.2">
      <c r="A291" s="29"/>
      <c r="B291" s="29">
        <v>28491903</v>
      </c>
      <c r="C291" s="29" t="s">
        <v>1528</v>
      </c>
      <c r="D291" s="29" t="s">
        <v>1958</v>
      </c>
      <c r="E291" s="29" t="s">
        <v>1774</v>
      </c>
      <c r="F291" s="29" t="s">
        <v>501</v>
      </c>
    </row>
    <row r="292" spans="1:6" ht="14.25" hidden="1" customHeight="1" x14ac:dyDescent="0.2">
      <c r="A292" s="29"/>
      <c r="B292" s="29">
        <v>21898003</v>
      </c>
      <c r="C292" s="29" t="s">
        <v>1543</v>
      </c>
      <c r="D292" s="29" t="s">
        <v>1958</v>
      </c>
      <c r="E292" s="29" t="s">
        <v>1843</v>
      </c>
      <c r="F292" s="29" t="s">
        <v>1640</v>
      </c>
    </row>
    <row r="293" spans="1:6" ht="14.25" hidden="1" customHeight="1" x14ac:dyDescent="0.2">
      <c r="A293" s="29"/>
      <c r="B293" s="29">
        <v>41222702</v>
      </c>
      <c r="C293" s="29" t="s">
        <v>1543</v>
      </c>
      <c r="D293" s="29" t="s">
        <v>1959</v>
      </c>
      <c r="E293" s="29" t="s">
        <v>1868</v>
      </c>
      <c r="F293" s="29" t="s">
        <v>1075</v>
      </c>
    </row>
    <row r="294" spans="1:6" ht="14.25" hidden="1" customHeight="1" x14ac:dyDescent="0.2">
      <c r="A294" s="29"/>
      <c r="B294" s="29">
        <v>55423702</v>
      </c>
      <c r="C294" s="29" t="s">
        <v>1528</v>
      </c>
      <c r="D294" s="29" t="s">
        <v>1960</v>
      </c>
      <c r="E294" s="29" t="s">
        <v>1774</v>
      </c>
      <c r="F294" s="29" t="s">
        <v>897</v>
      </c>
    </row>
    <row r="295" spans="1:6" ht="14.25" hidden="1" customHeight="1" x14ac:dyDescent="0.2">
      <c r="A295" s="29"/>
      <c r="B295" s="12">
        <v>42009002</v>
      </c>
      <c r="C295" s="29" t="s">
        <v>1528</v>
      </c>
      <c r="D295" s="29" t="s">
        <v>1960</v>
      </c>
      <c r="E295" s="29" t="s">
        <v>1673</v>
      </c>
      <c r="F295" s="29" t="s">
        <v>1610</v>
      </c>
    </row>
    <row r="296" spans="1:6" ht="14.25" hidden="1" customHeight="1" x14ac:dyDescent="0.2">
      <c r="A296" s="29"/>
      <c r="B296" s="29">
        <v>69782302</v>
      </c>
      <c r="C296" s="29" t="s">
        <v>1528</v>
      </c>
      <c r="D296" s="29" t="s">
        <v>1961</v>
      </c>
      <c r="E296" s="29" t="s">
        <v>1962</v>
      </c>
      <c r="F296" s="29" t="s">
        <v>680</v>
      </c>
    </row>
    <row r="297" spans="1:6" ht="14.25" hidden="1" customHeight="1" x14ac:dyDescent="0.25">
      <c r="A297" s="29"/>
      <c r="B297" s="147">
        <v>45261</v>
      </c>
      <c r="C297" s="29"/>
      <c r="D297" s="29"/>
      <c r="E297" s="29"/>
      <c r="F297" s="29">
        <v>1</v>
      </c>
    </row>
    <row r="298" spans="1:6" ht="14.25" hidden="1" customHeight="1" x14ac:dyDescent="0.2">
      <c r="A298" s="29"/>
      <c r="B298" s="29">
        <v>42949102</v>
      </c>
      <c r="C298" s="29" t="s">
        <v>1528</v>
      </c>
      <c r="D298" s="29" t="s">
        <v>1963</v>
      </c>
      <c r="E298" s="29" t="s">
        <v>1964</v>
      </c>
      <c r="F298" s="29" t="s">
        <v>709</v>
      </c>
    </row>
    <row r="299" spans="1:6" ht="14.25" hidden="1" customHeight="1" x14ac:dyDescent="0.2">
      <c r="A299" s="29"/>
      <c r="B299" s="29">
        <v>31404502</v>
      </c>
      <c r="C299" s="29" t="s">
        <v>1528</v>
      </c>
      <c r="D299" s="29" t="s">
        <v>1963</v>
      </c>
      <c r="E299" s="29" t="s">
        <v>1965</v>
      </c>
      <c r="F299" s="29" t="s">
        <v>1043</v>
      </c>
    </row>
    <row r="300" spans="1:6" ht="14.25" hidden="1" customHeight="1" x14ac:dyDescent="0.2">
      <c r="A300" s="29"/>
      <c r="B300" s="29">
        <v>22187603</v>
      </c>
      <c r="C300" s="29" t="s">
        <v>1528</v>
      </c>
      <c r="D300" s="29" t="s">
        <v>1966</v>
      </c>
      <c r="E300" s="29" t="s">
        <v>1774</v>
      </c>
      <c r="F300" s="29" t="s">
        <v>1598</v>
      </c>
    </row>
    <row r="301" spans="1:6" ht="14.25" hidden="1" customHeight="1" x14ac:dyDescent="0.2">
      <c r="A301" s="29"/>
      <c r="B301" s="29">
        <v>42008802</v>
      </c>
      <c r="C301" s="29" t="s">
        <v>1528</v>
      </c>
      <c r="D301" s="29" t="s">
        <v>1967</v>
      </c>
      <c r="E301" s="29" t="s">
        <v>1968</v>
      </c>
      <c r="F301" s="29" t="s">
        <v>994</v>
      </c>
    </row>
    <row r="302" spans="1:6" ht="14.25" hidden="1" customHeight="1" x14ac:dyDescent="0.2">
      <c r="A302" s="29"/>
      <c r="B302" s="29">
        <v>28491903</v>
      </c>
      <c r="C302" s="29" t="s">
        <v>1528</v>
      </c>
      <c r="D302" s="29" t="s">
        <v>1969</v>
      </c>
      <c r="E302" s="29" t="s">
        <v>1970</v>
      </c>
      <c r="F302" s="29" t="s">
        <v>501</v>
      </c>
    </row>
    <row r="303" spans="1:6" ht="14.25" hidden="1" customHeight="1" x14ac:dyDescent="0.2">
      <c r="A303" s="29"/>
      <c r="B303" s="29">
        <v>31404502</v>
      </c>
      <c r="C303" s="29" t="s">
        <v>1530</v>
      </c>
      <c r="D303" s="29" t="s">
        <v>1971</v>
      </c>
      <c r="E303" s="29" t="s">
        <v>1972</v>
      </c>
      <c r="F303" s="29" t="s">
        <v>1043</v>
      </c>
    </row>
    <row r="304" spans="1:6" ht="14.25" hidden="1" customHeight="1" x14ac:dyDescent="0.2">
      <c r="A304" s="29"/>
      <c r="B304" s="12">
        <v>66723902</v>
      </c>
      <c r="C304" s="29" t="s">
        <v>1528</v>
      </c>
      <c r="D304" s="29" t="s">
        <v>1973</v>
      </c>
      <c r="E304" s="29" t="s">
        <v>1974</v>
      </c>
      <c r="F304" s="29" t="s">
        <v>671</v>
      </c>
    </row>
    <row r="305" spans="1:6" ht="14.25" hidden="1" customHeight="1" x14ac:dyDescent="0.2">
      <c r="A305" s="29"/>
      <c r="B305" s="12">
        <v>41222802</v>
      </c>
      <c r="C305" s="29" t="s">
        <v>1528</v>
      </c>
      <c r="D305" s="29" t="s">
        <v>1973</v>
      </c>
      <c r="E305" s="29" t="s">
        <v>1774</v>
      </c>
      <c r="F305" s="29" t="s">
        <v>599</v>
      </c>
    </row>
    <row r="306" spans="1:6" ht="14.25" hidden="1" customHeight="1" x14ac:dyDescent="0.2">
      <c r="A306" s="29"/>
      <c r="B306" s="29">
        <v>41221502</v>
      </c>
      <c r="C306" s="29" t="s">
        <v>1528</v>
      </c>
      <c r="D306" s="29" t="s">
        <v>1975</v>
      </c>
      <c r="E306" s="29" t="s">
        <v>1816</v>
      </c>
      <c r="F306" s="29" t="s">
        <v>1139</v>
      </c>
    </row>
    <row r="307" spans="1:6" ht="14.25" hidden="1" customHeight="1" x14ac:dyDescent="0.2">
      <c r="A307" s="29"/>
      <c r="B307" s="29">
        <v>83774102</v>
      </c>
      <c r="C307" s="29" t="s">
        <v>1528</v>
      </c>
      <c r="D307" s="29" t="s">
        <v>1976</v>
      </c>
      <c r="E307" s="29" t="s">
        <v>1977</v>
      </c>
      <c r="F307" s="29" t="s">
        <v>1944</v>
      </c>
    </row>
    <row r="308" spans="1:6" ht="14.25" hidden="1" customHeight="1" x14ac:dyDescent="0.2">
      <c r="A308" s="29"/>
      <c r="B308" s="56">
        <v>61872202</v>
      </c>
      <c r="C308" s="29" t="s">
        <v>1528</v>
      </c>
      <c r="D308" s="29" t="s">
        <v>1978</v>
      </c>
      <c r="E308" s="29" t="s">
        <v>1974</v>
      </c>
      <c r="F308" s="29" t="s">
        <v>892</v>
      </c>
    </row>
    <row r="309" spans="1:6" ht="14.25" hidden="1" customHeight="1" x14ac:dyDescent="0.2">
      <c r="A309" s="29"/>
      <c r="B309" s="56">
        <v>31404802</v>
      </c>
      <c r="C309" s="29" t="s">
        <v>1528</v>
      </c>
      <c r="D309" s="29" t="s">
        <v>1979</v>
      </c>
      <c r="E309" s="29" t="s">
        <v>1980</v>
      </c>
      <c r="F309" s="29" t="s">
        <v>697</v>
      </c>
    </row>
    <row r="310" spans="1:6" ht="14.25" hidden="1" customHeight="1" x14ac:dyDescent="0.2">
      <c r="A310" s="29"/>
      <c r="B310" s="29">
        <v>59201203</v>
      </c>
      <c r="C310" s="29" t="s">
        <v>1528</v>
      </c>
      <c r="D310" s="29" t="s">
        <v>1981</v>
      </c>
      <c r="E310" s="29" t="s">
        <v>1754</v>
      </c>
      <c r="F310" s="29" t="s">
        <v>963</v>
      </c>
    </row>
    <row r="311" spans="1:6" ht="14.25" hidden="1" customHeight="1" x14ac:dyDescent="0.2">
      <c r="A311" s="29"/>
      <c r="B311" s="29">
        <v>75170102</v>
      </c>
      <c r="C311" s="29" t="s">
        <v>1543</v>
      </c>
      <c r="D311" s="29" t="s">
        <v>1982</v>
      </c>
      <c r="E311" s="29" t="s">
        <v>1629</v>
      </c>
      <c r="F311" s="29" t="s">
        <v>1307</v>
      </c>
    </row>
    <row r="312" spans="1:6" ht="14.25" hidden="1" customHeight="1" x14ac:dyDescent="0.2">
      <c r="A312" s="29"/>
      <c r="B312" s="29">
        <v>42949102</v>
      </c>
      <c r="C312" s="29" t="s">
        <v>1528</v>
      </c>
      <c r="D312" s="29" t="s">
        <v>1983</v>
      </c>
      <c r="E312" s="29" t="s">
        <v>1954</v>
      </c>
      <c r="F312" s="29" t="s">
        <v>709</v>
      </c>
    </row>
    <row r="313" spans="1:6" ht="14.25" hidden="1" customHeight="1" x14ac:dyDescent="0.2">
      <c r="A313" s="29"/>
      <c r="B313" s="29">
        <v>30525602</v>
      </c>
      <c r="C313" s="29" t="s">
        <v>1543</v>
      </c>
      <c r="D313" s="29" t="s">
        <v>1982</v>
      </c>
      <c r="E313" s="29" t="s">
        <v>1984</v>
      </c>
      <c r="F313" s="29" t="s">
        <v>723</v>
      </c>
    </row>
    <row r="314" spans="1:6" ht="14.25" hidden="1" customHeight="1" x14ac:dyDescent="0.2">
      <c r="A314" s="29"/>
      <c r="B314" s="29">
        <v>66735302</v>
      </c>
      <c r="C314" s="29" t="s">
        <v>1543</v>
      </c>
      <c r="D314" s="29" t="s">
        <v>1982</v>
      </c>
      <c r="E314" s="29" t="s">
        <v>1659</v>
      </c>
      <c r="F314" s="29" t="s">
        <v>1108</v>
      </c>
    </row>
    <row r="315" spans="1:6" ht="14.25" hidden="1" customHeight="1" x14ac:dyDescent="0.2">
      <c r="A315" s="29"/>
      <c r="B315" s="29">
        <v>75169702</v>
      </c>
      <c r="C315" s="29" t="s">
        <v>1543</v>
      </c>
      <c r="D315" s="29" t="s">
        <v>1983</v>
      </c>
      <c r="E315" s="29" t="s">
        <v>1843</v>
      </c>
      <c r="F315" s="29" t="s">
        <v>381</v>
      </c>
    </row>
    <row r="316" spans="1:6" ht="14.25" hidden="1" customHeight="1" x14ac:dyDescent="0.2">
      <c r="A316" s="29"/>
      <c r="B316" s="29">
        <v>75019402</v>
      </c>
      <c r="C316" s="29" t="s">
        <v>1543</v>
      </c>
      <c r="D316" s="29" t="s">
        <v>1985</v>
      </c>
      <c r="E316" s="29" t="s">
        <v>1901</v>
      </c>
      <c r="F316" s="29" t="s">
        <v>813</v>
      </c>
    </row>
    <row r="317" spans="1:6" ht="14.25" hidden="1" customHeight="1" x14ac:dyDescent="0.25">
      <c r="A317" s="29"/>
      <c r="B317" s="147">
        <v>44927</v>
      </c>
      <c r="C317" s="29"/>
      <c r="D317" s="29"/>
      <c r="E317" s="29"/>
      <c r="F317" s="29">
        <v>1</v>
      </c>
    </row>
    <row r="318" spans="1:6" ht="14.25" hidden="1" customHeight="1" x14ac:dyDescent="0.2">
      <c r="A318" s="29"/>
      <c r="B318" s="29">
        <v>21705703</v>
      </c>
      <c r="C318" s="29" t="s">
        <v>1543</v>
      </c>
      <c r="D318" s="29" t="s">
        <v>1986</v>
      </c>
      <c r="E318" s="29" t="s">
        <v>1843</v>
      </c>
      <c r="F318" s="29" t="s">
        <v>1225</v>
      </c>
    </row>
    <row r="319" spans="1:6" ht="14.25" hidden="1" customHeight="1" x14ac:dyDescent="0.2">
      <c r="A319" s="29"/>
      <c r="B319" s="29">
        <v>42008802</v>
      </c>
      <c r="C319" s="29" t="s">
        <v>1543</v>
      </c>
      <c r="D319" s="29" t="s">
        <v>1986</v>
      </c>
      <c r="E319" s="29" t="s">
        <v>1987</v>
      </c>
      <c r="F319" s="29" t="s">
        <v>994</v>
      </c>
    </row>
    <row r="320" spans="1:6" ht="14.25" hidden="1" customHeight="1" x14ac:dyDescent="0.2">
      <c r="A320" s="29"/>
      <c r="B320" s="29">
        <v>22187603</v>
      </c>
      <c r="C320" s="29" t="s">
        <v>1528</v>
      </c>
      <c r="D320" s="29" t="s">
        <v>1988</v>
      </c>
      <c r="E320" s="29" t="s">
        <v>1989</v>
      </c>
      <c r="F320" s="29" t="s">
        <v>1598</v>
      </c>
    </row>
    <row r="321" spans="1:6" ht="14.25" hidden="1" customHeight="1" x14ac:dyDescent="0.2">
      <c r="A321" s="29"/>
      <c r="B321" s="29">
        <v>20425302</v>
      </c>
      <c r="C321" s="29" t="s">
        <v>1528</v>
      </c>
      <c r="D321" s="29" t="s">
        <v>1988</v>
      </c>
      <c r="E321" s="29" t="s">
        <v>1990</v>
      </c>
      <c r="F321" s="29" t="s">
        <v>567</v>
      </c>
    </row>
    <row r="322" spans="1:6" ht="14.25" hidden="1" customHeight="1" x14ac:dyDescent="0.2">
      <c r="A322" s="29"/>
      <c r="B322" s="29">
        <v>42948502</v>
      </c>
      <c r="C322" s="29" t="s">
        <v>1528</v>
      </c>
      <c r="D322" s="29" t="s">
        <v>1986</v>
      </c>
      <c r="E322" s="29" t="s">
        <v>1816</v>
      </c>
      <c r="F322" s="29" t="s">
        <v>552</v>
      </c>
    </row>
    <row r="323" spans="1:6" ht="14.25" hidden="1" customHeight="1" x14ac:dyDescent="0.2">
      <c r="A323" s="29"/>
      <c r="B323" s="29">
        <v>42949102</v>
      </c>
      <c r="C323" s="29" t="s">
        <v>1528</v>
      </c>
      <c r="D323" s="29" t="s">
        <v>1986</v>
      </c>
      <c r="E323" s="29" t="s">
        <v>1991</v>
      </c>
      <c r="F323" s="29" t="s">
        <v>709</v>
      </c>
    </row>
    <row r="324" spans="1:6" ht="14.25" hidden="1" customHeight="1" x14ac:dyDescent="0.2">
      <c r="A324" s="29"/>
      <c r="B324" s="29">
        <v>42949202</v>
      </c>
      <c r="C324" s="29" t="s">
        <v>1528</v>
      </c>
      <c r="D324" s="29" t="s">
        <v>1986</v>
      </c>
      <c r="E324" s="29" t="s">
        <v>1816</v>
      </c>
      <c r="F324" s="29" t="s">
        <v>1549</v>
      </c>
    </row>
    <row r="325" spans="1:6" ht="14.25" hidden="1" customHeight="1" x14ac:dyDescent="0.2">
      <c r="A325" s="29"/>
      <c r="B325" s="29">
        <v>30327902</v>
      </c>
      <c r="C325" s="29" t="s">
        <v>1528</v>
      </c>
      <c r="D325" s="29" t="s">
        <v>1992</v>
      </c>
      <c r="E325" s="29" t="s">
        <v>1916</v>
      </c>
      <c r="F325" s="29" t="s">
        <v>1057</v>
      </c>
    </row>
    <row r="326" spans="1:6" ht="14.25" hidden="1" customHeight="1" x14ac:dyDescent="0.2">
      <c r="A326" s="29"/>
      <c r="B326" s="29">
        <v>28491903</v>
      </c>
      <c r="C326" s="29" t="s">
        <v>1530</v>
      </c>
      <c r="D326" s="29" t="s">
        <v>1993</v>
      </c>
      <c r="E326" s="29" t="s">
        <v>1994</v>
      </c>
      <c r="F326" s="29" t="s">
        <v>501</v>
      </c>
    </row>
    <row r="327" spans="1:6" ht="14.25" hidden="1" customHeight="1" x14ac:dyDescent="0.2">
      <c r="A327" s="29"/>
      <c r="B327" s="29">
        <v>59032903</v>
      </c>
      <c r="C327" s="29" t="s">
        <v>1530</v>
      </c>
      <c r="D327" s="29" t="s">
        <v>1995</v>
      </c>
      <c r="E327" s="29" t="s">
        <v>1656</v>
      </c>
      <c r="F327" s="29" t="s">
        <v>539</v>
      </c>
    </row>
    <row r="328" spans="1:6" ht="14.25" hidden="1" customHeight="1" x14ac:dyDescent="0.2">
      <c r="A328" s="29"/>
      <c r="B328" s="29">
        <v>50574503</v>
      </c>
      <c r="C328" s="29" t="s">
        <v>1530</v>
      </c>
      <c r="D328" s="29" t="s">
        <v>1995</v>
      </c>
      <c r="E328" s="29" t="s">
        <v>1660</v>
      </c>
      <c r="F328" s="29" t="s">
        <v>937</v>
      </c>
    </row>
    <row r="329" spans="1:6" ht="14.25" hidden="1" customHeight="1" x14ac:dyDescent="0.2">
      <c r="A329" s="29"/>
      <c r="B329" s="29">
        <v>75169802</v>
      </c>
      <c r="C329" s="29" t="s">
        <v>1530</v>
      </c>
      <c r="D329" s="29" t="s">
        <v>1996</v>
      </c>
      <c r="E329" s="29" t="s">
        <v>1707</v>
      </c>
      <c r="F329" s="29" t="s">
        <v>601</v>
      </c>
    </row>
    <row r="330" spans="1:6" ht="14.25" hidden="1" customHeight="1" x14ac:dyDescent="0.2">
      <c r="A330" s="29"/>
      <c r="B330" s="12">
        <v>21898003</v>
      </c>
      <c r="C330" s="29" t="s">
        <v>1543</v>
      </c>
      <c r="D330" s="29" t="s">
        <v>1997</v>
      </c>
      <c r="E330" s="29" t="s">
        <v>1934</v>
      </c>
      <c r="F330" s="29" t="s">
        <v>1163</v>
      </c>
    </row>
    <row r="331" spans="1:6" ht="14.25" hidden="1" customHeight="1" x14ac:dyDescent="0.2">
      <c r="A331" s="29"/>
      <c r="B331" s="29">
        <v>44480903</v>
      </c>
      <c r="C331" s="29" t="s">
        <v>1543</v>
      </c>
      <c r="D331" s="29" t="s">
        <v>1997</v>
      </c>
      <c r="E331" s="29" t="s">
        <v>1843</v>
      </c>
      <c r="F331" s="29" t="s">
        <v>618</v>
      </c>
    </row>
    <row r="332" spans="1:6" ht="14.25" hidden="1" customHeight="1" x14ac:dyDescent="0.2">
      <c r="A332" s="29"/>
      <c r="B332" s="29">
        <v>22187603</v>
      </c>
      <c r="C332" s="29" t="s">
        <v>1528</v>
      </c>
      <c r="D332" s="29" t="s">
        <v>1998</v>
      </c>
      <c r="E332" s="29" t="s">
        <v>1774</v>
      </c>
      <c r="F332" s="29" t="s">
        <v>1598</v>
      </c>
    </row>
    <row r="333" spans="1:6" ht="14.25" hidden="1" customHeight="1" x14ac:dyDescent="0.2">
      <c r="A333" s="29"/>
      <c r="B333" s="29">
        <v>58185503</v>
      </c>
      <c r="C333" s="29" t="s">
        <v>1528</v>
      </c>
      <c r="D333" s="29" t="s">
        <v>1998</v>
      </c>
      <c r="E333" s="29" t="s">
        <v>1774</v>
      </c>
      <c r="F333" s="29" t="s">
        <v>493</v>
      </c>
    </row>
    <row r="334" spans="1:6" ht="14.25" hidden="1" customHeight="1" x14ac:dyDescent="0.25">
      <c r="A334" s="29"/>
      <c r="B334" s="147">
        <v>45323</v>
      </c>
      <c r="C334" s="29"/>
      <c r="D334" s="29"/>
      <c r="E334" s="29"/>
      <c r="F334" s="29">
        <v>1</v>
      </c>
    </row>
    <row r="335" spans="1:6" ht="14.25" hidden="1" customHeight="1" x14ac:dyDescent="0.2">
      <c r="A335" s="29"/>
      <c r="B335" s="29">
        <v>21898003</v>
      </c>
      <c r="C335" s="29" t="s">
        <v>1528</v>
      </c>
      <c r="D335" s="29" t="s">
        <v>1999</v>
      </c>
      <c r="E335" s="29" t="s">
        <v>2000</v>
      </c>
      <c r="F335" s="29" t="s">
        <v>1640</v>
      </c>
    </row>
    <row r="336" spans="1:6" ht="14.25" hidden="1" customHeight="1" x14ac:dyDescent="0.2">
      <c r="A336" s="29"/>
      <c r="B336" s="29">
        <v>42948502</v>
      </c>
      <c r="C336" s="29" t="s">
        <v>1530</v>
      </c>
      <c r="D336" s="29" t="s">
        <v>2001</v>
      </c>
      <c r="E336" s="29" t="s">
        <v>2002</v>
      </c>
      <c r="F336" s="29" t="s">
        <v>552</v>
      </c>
    </row>
    <row r="337" spans="1:6" ht="14.25" hidden="1" customHeight="1" x14ac:dyDescent="0.2">
      <c r="A337" s="29"/>
      <c r="B337" s="29">
        <v>43747603</v>
      </c>
      <c r="C337" s="29" t="s">
        <v>1543</v>
      </c>
      <c r="D337" s="29" t="s">
        <v>2003</v>
      </c>
      <c r="E337" s="29" t="s">
        <v>1584</v>
      </c>
      <c r="F337" s="29" t="s">
        <v>1254</v>
      </c>
    </row>
    <row r="338" spans="1:6" ht="14.25" hidden="1" customHeight="1" x14ac:dyDescent="0.2">
      <c r="A338" s="29"/>
      <c r="B338" s="29">
        <v>55423702</v>
      </c>
      <c r="C338" s="29" t="s">
        <v>1543</v>
      </c>
      <c r="D338" s="29" t="s">
        <v>2003</v>
      </c>
      <c r="E338" s="29" t="s">
        <v>2004</v>
      </c>
      <c r="F338" s="29" t="s">
        <v>897</v>
      </c>
    </row>
    <row r="339" spans="1:6" ht="14.25" hidden="1" customHeight="1" x14ac:dyDescent="0.2">
      <c r="A339" s="29"/>
      <c r="B339" s="29">
        <v>30525602</v>
      </c>
      <c r="C339" s="29" t="s">
        <v>1528</v>
      </c>
      <c r="D339" s="29" t="s">
        <v>2003</v>
      </c>
      <c r="E339" s="29" t="s">
        <v>1774</v>
      </c>
      <c r="F339" s="29" t="s">
        <v>723</v>
      </c>
    </row>
    <row r="340" spans="1:6" ht="14.25" hidden="1" customHeight="1" x14ac:dyDescent="0.2">
      <c r="A340" s="29"/>
      <c r="B340" s="29">
        <v>41221502</v>
      </c>
      <c r="C340" s="29" t="s">
        <v>1543</v>
      </c>
      <c r="D340" s="29" t="s">
        <v>2005</v>
      </c>
      <c r="E340" s="29" t="s">
        <v>1868</v>
      </c>
      <c r="F340" s="29" t="s">
        <v>1139</v>
      </c>
    </row>
    <row r="341" spans="1:6" ht="14.25" hidden="1" customHeight="1" x14ac:dyDescent="0.2">
      <c r="A341" s="29"/>
      <c r="B341" s="29">
        <v>28491903</v>
      </c>
      <c r="C341" s="29" t="s">
        <v>1530</v>
      </c>
      <c r="D341" s="29" t="s">
        <v>2005</v>
      </c>
      <c r="E341" s="29" t="s">
        <v>1857</v>
      </c>
      <c r="F341" s="29" t="s">
        <v>501</v>
      </c>
    </row>
    <row r="342" spans="1:6" ht="14.25" hidden="1" customHeight="1" x14ac:dyDescent="0.2">
      <c r="A342" s="29"/>
      <c r="B342" s="29">
        <v>42949102</v>
      </c>
      <c r="C342" s="29" t="s">
        <v>1530</v>
      </c>
      <c r="D342" s="29" t="s">
        <v>2005</v>
      </c>
      <c r="E342" s="29" t="s">
        <v>2006</v>
      </c>
      <c r="F342" s="29" t="s">
        <v>709</v>
      </c>
    </row>
    <row r="343" spans="1:6" ht="14.25" hidden="1" customHeight="1" x14ac:dyDescent="0.2">
      <c r="A343" s="29"/>
      <c r="B343" s="29">
        <v>58185503</v>
      </c>
      <c r="C343" s="29" t="s">
        <v>1528</v>
      </c>
      <c r="D343" s="29" t="s">
        <v>2005</v>
      </c>
      <c r="E343" s="29" t="s">
        <v>1977</v>
      </c>
      <c r="F343" s="29" t="s">
        <v>493</v>
      </c>
    </row>
    <row r="344" spans="1:6" ht="14.25" hidden="1" customHeight="1" x14ac:dyDescent="0.2">
      <c r="A344" s="29"/>
      <c r="B344" s="29">
        <v>22187603</v>
      </c>
      <c r="C344" s="29" t="s">
        <v>1654</v>
      </c>
      <c r="D344" s="29" t="s">
        <v>2007</v>
      </c>
      <c r="E344" s="29" t="s">
        <v>1901</v>
      </c>
      <c r="F344" s="29" t="s">
        <v>1598</v>
      </c>
    </row>
    <row r="345" spans="1:6" ht="14.25" hidden="1" customHeight="1" x14ac:dyDescent="0.2">
      <c r="A345" s="29"/>
      <c r="B345" s="29">
        <v>22187603</v>
      </c>
      <c r="C345" s="29" t="s">
        <v>1528</v>
      </c>
      <c r="D345" s="29" t="s">
        <v>2008</v>
      </c>
      <c r="E345" s="29" t="s">
        <v>1774</v>
      </c>
      <c r="F345" s="29" t="s">
        <v>1598</v>
      </c>
    </row>
    <row r="346" spans="1:6" ht="14.25" hidden="1" customHeight="1" x14ac:dyDescent="0.2">
      <c r="A346" s="29"/>
      <c r="B346" s="29">
        <v>20425302</v>
      </c>
      <c r="C346" s="29" t="s">
        <v>1543</v>
      </c>
      <c r="D346" s="29" t="s">
        <v>2008</v>
      </c>
      <c r="E346" s="29" t="s">
        <v>2009</v>
      </c>
      <c r="F346" s="29" t="s">
        <v>567</v>
      </c>
    </row>
    <row r="347" spans="1:6" ht="14.25" hidden="1" customHeight="1" x14ac:dyDescent="0.2">
      <c r="A347" s="29"/>
      <c r="B347" s="29">
        <v>5150302</v>
      </c>
      <c r="C347" s="29" t="s">
        <v>1543</v>
      </c>
      <c r="D347" s="29" t="s">
        <v>2007</v>
      </c>
      <c r="E347" s="29" t="s">
        <v>2010</v>
      </c>
      <c r="F347" s="29" t="s">
        <v>1406</v>
      </c>
    </row>
    <row r="348" spans="1:6" ht="14.25" hidden="1" customHeight="1" x14ac:dyDescent="0.2">
      <c r="A348" s="29"/>
      <c r="B348" s="29">
        <v>40399103</v>
      </c>
      <c r="C348" s="29" t="s">
        <v>1543</v>
      </c>
      <c r="D348" s="29" t="s">
        <v>2007</v>
      </c>
      <c r="E348" s="29" t="s">
        <v>1568</v>
      </c>
      <c r="F348" s="29" t="s">
        <v>1626</v>
      </c>
    </row>
    <row r="349" spans="1:6" ht="14.25" hidden="1" customHeight="1" x14ac:dyDescent="0.2">
      <c r="A349" s="29"/>
      <c r="B349" s="29">
        <v>41222802</v>
      </c>
      <c r="C349" s="29" t="s">
        <v>1543</v>
      </c>
      <c r="D349" s="29" t="s">
        <v>2003</v>
      </c>
      <c r="E349" s="29" t="s">
        <v>1896</v>
      </c>
      <c r="F349" s="29" t="s">
        <v>599</v>
      </c>
    </row>
    <row r="350" spans="1:6" ht="14.25" hidden="1" customHeight="1" x14ac:dyDescent="0.2">
      <c r="A350" s="29"/>
      <c r="B350" s="29">
        <v>59201203</v>
      </c>
      <c r="C350" s="29" t="s">
        <v>1528</v>
      </c>
      <c r="D350" s="29" t="s">
        <v>2011</v>
      </c>
      <c r="E350" s="29" t="s">
        <v>1774</v>
      </c>
      <c r="F350" s="29" t="s">
        <v>963</v>
      </c>
    </row>
    <row r="351" spans="1:6" ht="14.25" hidden="1" customHeight="1" x14ac:dyDescent="0.2">
      <c r="A351" s="29"/>
      <c r="B351" s="29">
        <v>41222802</v>
      </c>
      <c r="C351" s="29" t="s">
        <v>1528</v>
      </c>
      <c r="D351" s="29" t="s">
        <v>2011</v>
      </c>
      <c r="E351" s="29" t="s">
        <v>1783</v>
      </c>
      <c r="F351" s="29" t="s">
        <v>599</v>
      </c>
    </row>
    <row r="352" spans="1:6" ht="14.25" hidden="1" customHeight="1" x14ac:dyDescent="0.2">
      <c r="A352" s="29"/>
      <c r="B352" s="29">
        <v>64078901</v>
      </c>
      <c r="C352" s="29" t="s">
        <v>1543</v>
      </c>
      <c r="D352" s="29" t="s">
        <v>2011</v>
      </c>
      <c r="E352" s="29" t="s">
        <v>2012</v>
      </c>
      <c r="F352" s="29" t="s">
        <v>1033</v>
      </c>
    </row>
    <row r="353" spans="1:6" ht="14.25" hidden="1" customHeight="1" x14ac:dyDescent="0.2">
      <c r="A353" s="29"/>
      <c r="B353" s="29">
        <v>75169802</v>
      </c>
      <c r="C353" s="29" t="s">
        <v>1528</v>
      </c>
      <c r="D353" s="29" t="s">
        <v>2013</v>
      </c>
      <c r="E353" s="29" t="s">
        <v>1774</v>
      </c>
      <c r="F353" s="29" t="s">
        <v>601</v>
      </c>
    </row>
    <row r="354" spans="1:6" ht="14.25" hidden="1" customHeight="1" x14ac:dyDescent="0.2">
      <c r="A354" s="29"/>
      <c r="B354" s="29">
        <v>66723902</v>
      </c>
      <c r="C354" s="29" t="s">
        <v>1530</v>
      </c>
      <c r="D354" s="29" t="s">
        <v>2013</v>
      </c>
      <c r="E354" s="29" t="s">
        <v>2014</v>
      </c>
      <c r="F354" s="29" t="s">
        <v>671</v>
      </c>
    </row>
    <row r="355" spans="1:6" ht="14.25" hidden="1" customHeight="1" x14ac:dyDescent="0.2">
      <c r="A355" s="29"/>
      <c r="B355" s="29">
        <v>42949102</v>
      </c>
      <c r="C355" s="29" t="s">
        <v>1528</v>
      </c>
      <c r="D355" s="29" t="s">
        <v>2015</v>
      </c>
      <c r="E355" s="29" t="s">
        <v>1774</v>
      </c>
      <c r="F355" s="29" t="s">
        <v>709</v>
      </c>
    </row>
    <row r="356" spans="1:6" ht="14.25" hidden="1" customHeight="1" x14ac:dyDescent="0.2">
      <c r="A356" s="29"/>
      <c r="B356" s="150" t="s">
        <v>2016</v>
      </c>
      <c r="C356" s="29" t="s">
        <v>1528</v>
      </c>
      <c r="D356" s="29" t="s">
        <v>2017</v>
      </c>
      <c r="E356" s="29" t="s">
        <v>1731</v>
      </c>
      <c r="F356" s="29" t="s">
        <v>1066</v>
      </c>
    </row>
    <row r="357" spans="1:6" ht="14.25" hidden="1" customHeight="1" x14ac:dyDescent="0.2">
      <c r="A357" s="29"/>
      <c r="B357" s="151" t="s">
        <v>2018</v>
      </c>
      <c r="C357" s="29" t="s">
        <v>1528</v>
      </c>
      <c r="D357" s="29" t="s">
        <v>2019</v>
      </c>
      <c r="E357" s="29" t="s">
        <v>1774</v>
      </c>
      <c r="F357" s="29" t="s">
        <v>552</v>
      </c>
    </row>
    <row r="358" spans="1:6" ht="14.25" hidden="1" customHeight="1" x14ac:dyDescent="0.2">
      <c r="A358" s="29"/>
      <c r="B358" s="151" t="s">
        <v>2020</v>
      </c>
      <c r="C358" s="29" t="s">
        <v>1654</v>
      </c>
      <c r="D358" s="29" t="s">
        <v>2021</v>
      </c>
      <c r="E358" s="29" t="s">
        <v>1866</v>
      </c>
      <c r="F358" s="29" t="s">
        <v>881</v>
      </c>
    </row>
    <row r="359" spans="1:6" ht="14.25" hidden="1" customHeight="1" x14ac:dyDescent="0.2">
      <c r="A359" s="29"/>
      <c r="B359" s="56">
        <v>28481903</v>
      </c>
      <c r="C359" s="29" t="s">
        <v>1528</v>
      </c>
      <c r="D359" s="29" t="s">
        <v>2015</v>
      </c>
      <c r="E359" s="29" t="s">
        <v>2022</v>
      </c>
      <c r="F359" s="29" t="s">
        <v>1004</v>
      </c>
    </row>
    <row r="360" spans="1:6" ht="14.25" hidden="1" customHeight="1" x14ac:dyDescent="0.25">
      <c r="A360" s="29"/>
      <c r="B360" s="147">
        <v>45352</v>
      </c>
      <c r="C360" s="29"/>
      <c r="D360" s="29"/>
      <c r="E360" s="29"/>
      <c r="F360" s="29">
        <v>1</v>
      </c>
    </row>
    <row r="361" spans="1:6" ht="14.25" hidden="1" customHeight="1" x14ac:dyDescent="0.2">
      <c r="A361" s="29"/>
      <c r="B361" s="29">
        <v>22045903</v>
      </c>
      <c r="C361" s="29" t="s">
        <v>1528</v>
      </c>
      <c r="D361" s="29" t="s">
        <v>2023</v>
      </c>
      <c r="E361" s="29" t="s">
        <v>1774</v>
      </c>
      <c r="F361" s="29" t="s">
        <v>1394</v>
      </c>
    </row>
    <row r="362" spans="1:6" ht="14.25" hidden="1" customHeight="1" x14ac:dyDescent="0.2">
      <c r="A362" s="29"/>
      <c r="B362" s="12">
        <v>64078501</v>
      </c>
      <c r="C362" s="29" t="s">
        <v>1528</v>
      </c>
      <c r="D362" s="29" t="s">
        <v>2023</v>
      </c>
      <c r="E362" s="29" t="s">
        <v>1816</v>
      </c>
      <c r="F362" s="29" t="s">
        <v>590</v>
      </c>
    </row>
    <row r="363" spans="1:6" ht="14.25" hidden="1" customHeight="1" x14ac:dyDescent="0.2">
      <c r="A363" s="29"/>
      <c r="B363" s="29">
        <v>43748303</v>
      </c>
      <c r="C363" s="29" t="s">
        <v>1543</v>
      </c>
      <c r="D363" s="29" t="s">
        <v>2023</v>
      </c>
      <c r="E363" s="29" t="s">
        <v>1584</v>
      </c>
      <c r="F363" s="29" t="s">
        <v>802</v>
      </c>
    </row>
    <row r="364" spans="1:6" ht="14.25" hidden="1" customHeight="1" x14ac:dyDescent="0.2">
      <c r="A364" s="29"/>
      <c r="B364" s="29">
        <v>83027002</v>
      </c>
      <c r="C364" s="29" t="s">
        <v>1528</v>
      </c>
      <c r="D364" s="29" t="s">
        <v>2024</v>
      </c>
      <c r="E364" s="29" t="s">
        <v>1712</v>
      </c>
      <c r="F364" s="29" t="s">
        <v>1657</v>
      </c>
    </row>
    <row r="365" spans="1:6" ht="14.25" hidden="1" customHeight="1" x14ac:dyDescent="0.2">
      <c r="A365" s="29"/>
      <c r="B365" s="29">
        <v>75019402</v>
      </c>
      <c r="C365" s="29" t="s">
        <v>1528</v>
      </c>
      <c r="D365" s="29" t="s">
        <v>2024</v>
      </c>
      <c r="E365" s="29" t="s">
        <v>1857</v>
      </c>
      <c r="F365" s="29" t="s">
        <v>813</v>
      </c>
    </row>
    <row r="366" spans="1:6" ht="14.25" hidden="1" customHeight="1" x14ac:dyDescent="0.2">
      <c r="A366" s="29"/>
      <c r="B366" s="29">
        <v>30525602</v>
      </c>
      <c r="C366" s="29" t="s">
        <v>1528</v>
      </c>
      <c r="D366" s="29" t="s">
        <v>2025</v>
      </c>
      <c r="E366" s="29" t="s">
        <v>1754</v>
      </c>
      <c r="F366" s="29" t="s">
        <v>723</v>
      </c>
    </row>
    <row r="367" spans="1:6" ht="14.25" hidden="1" customHeight="1" x14ac:dyDescent="0.2">
      <c r="A367" s="29"/>
      <c r="B367" s="29">
        <v>42008902</v>
      </c>
      <c r="C367" s="29" t="s">
        <v>1530</v>
      </c>
      <c r="D367" s="29" t="s">
        <v>2026</v>
      </c>
      <c r="E367" s="29" t="s">
        <v>2027</v>
      </c>
      <c r="F367" s="29" t="s">
        <v>1039</v>
      </c>
    </row>
    <row r="368" spans="1:6" ht="14.25" hidden="1" customHeight="1" x14ac:dyDescent="0.2">
      <c r="A368" s="29"/>
      <c r="B368" s="29">
        <v>30327902</v>
      </c>
      <c r="C368" s="29" t="s">
        <v>1530</v>
      </c>
      <c r="D368" s="29" t="s">
        <v>2028</v>
      </c>
      <c r="E368" s="29" t="s">
        <v>2029</v>
      </c>
      <c r="F368" s="29" t="s">
        <v>1057</v>
      </c>
    </row>
    <row r="369" spans="1:6" ht="14.25" hidden="1" customHeight="1" x14ac:dyDescent="0.2">
      <c r="A369" s="29"/>
      <c r="B369" s="29">
        <v>21705703</v>
      </c>
      <c r="C369" s="29" t="s">
        <v>1528</v>
      </c>
      <c r="D369" s="29" t="s">
        <v>2030</v>
      </c>
      <c r="E369" s="29" t="s">
        <v>1774</v>
      </c>
      <c r="F369" s="29" t="s">
        <v>1225</v>
      </c>
    </row>
    <row r="370" spans="1:6" ht="14.25" hidden="1" customHeight="1" x14ac:dyDescent="0.2">
      <c r="A370" s="29"/>
      <c r="B370" s="29">
        <v>66735302</v>
      </c>
      <c r="C370" s="29" t="s">
        <v>1543</v>
      </c>
      <c r="D370" s="29" t="s">
        <v>2031</v>
      </c>
      <c r="E370" s="29" t="s">
        <v>2032</v>
      </c>
      <c r="F370" s="29" t="s">
        <v>1108</v>
      </c>
    </row>
    <row r="371" spans="1:6" ht="14.25" hidden="1" customHeight="1" x14ac:dyDescent="0.2">
      <c r="A371" s="29"/>
      <c r="B371" s="29">
        <v>43748203</v>
      </c>
      <c r="C371" s="29" t="s">
        <v>1543</v>
      </c>
      <c r="D371" s="29" t="s">
        <v>2026</v>
      </c>
      <c r="E371" s="29" t="s">
        <v>1584</v>
      </c>
      <c r="F371" s="29" t="s">
        <v>877</v>
      </c>
    </row>
    <row r="372" spans="1:6" ht="14.25" hidden="1" customHeight="1" x14ac:dyDescent="0.2">
      <c r="A372" s="29"/>
      <c r="B372" s="29">
        <v>59285502</v>
      </c>
      <c r="C372" s="29" t="s">
        <v>1528</v>
      </c>
      <c r="D372" s="29" t="s">
        <v>307</v>
      </c>
      <c r="E372" s="29" t="s">
        <v>1774</v>
      </c>
      <c r="F372" s="29" t="s">
        <v>2033</v>
      </c>
    </row>
    <row r="373" spans="1:6" ht="14.25" hidden="1" customHeight="1" x14ac:dyDescent="0.2">
      <c r="A373" s="29"/>
      <c r="B373" s="29">
        <v>63109602</v>
      </c>
      <c r="C373" s="29" t="s">
        <v>1530</v>
      </c>
      <c r="D373" s="29" t="s">
        <v>2034</v>
      </c>
      <c r="E373" s="29" t="s">
        <v>1568</v>
      </c>
      <c r="F373" s="29" t="s">
        <v>1604</v>
      </c>
    </row>
    <row r="374" spans="1:6" ht="14.25" hidden="1" customHeight="1" x14ac:dyDescent="0.2">
      <c r="A374" s="29"/>
      <c r="B374" s="29">
        <v>58185503</v>
      </c>
      <c r="C374" s="29" t="s">
        <v>1528</v>
      </c>
      <c r="D374" s="29" t="s">
        <v>2035</v>
      </c>
      <c r="E374" s="29" t="s">
        <v>1774</v>
      </c>
      <c r="F374" s="29" t="s">
        <v>949</v>
      </c>
    </row>
    <row r="375" spans="1:6" ht="14.25" hidden="1" customHeight="1" x14ac:dyDescent="0.2">
      <c r="A375" s="29"/>
      <c r="B375" s="29">
        <v>31404802</v>
      </c>
      <c r="C375" s="29" t="s">
        <v>1528</v>
      </c>
      <c r="D375" s="29" t="s">
        <v>42</v>
      </c>
      <c r="E375" s="29" t="s">
        <v>1774</v>
      </c>
      <c r="F375" s="29" t="s">
        <v>697</v>
      </c>
    </row>
    <row r="376" spans="1:6" ht="14.25" hidden="1" customHeight="1" x14ac:dyDescent="0.2">
      <c r="A376" s="29"/>
      <c r="B376" s="29">
        <v>42008902</v>
      </c>
      <c r="C376" s="29" t="s">
        <v>1528</v>
      </c>
      <c r="D376" s="29" t="s">
        <v>2034</v>
      </c>
      <c r="E376" s="29" t="s">
        <v>1712</v>
      </c>
      <c r="F376" s="29" t="s">
        <v>1039</v>
      </c>
    </row>
    <row r="377" spans="1:6" ht="14.25" hidden="1" customHeight="1" x14ac:dyDescent="0.2">
      <c r="A377" s="29"/>
      <c r="B377" s="29">
        <v>63109602</v>
      </c>
      <c r="C377" s="29" t="s">
        <v>1528</v>
      </c>
      <c r="D377" s="29" t="s">
        <v>2036</v>
      </c>
      <c r="E377" s="29" t="s">
        <v>1712</v>
      </c>
      <c r="F377" s="29" t="s">
        <v>1604</v>
      </c>
    </row>
    <row r="378" spans="1:6" ht="14.25" hidden="1" customHeight="1" x14ac:dyDescent="0.2">
      <c r="A378" s="29"/>
      <c r="B378" s="29">
        <v>50574503</v>
      </c>
      <c r="C378" s="29" t="s">
        <v>1528</v>
      </c>
      <c r="D378" s="29" t="s">
        <v>2037</v>
      </c>
      <c r="E378" s="29" t="s">
        <v>1816</v>
      </c>
      <c r="F378" s="29" t="s">
        <v>937</v>
      </c>
    </row>
    <row r="379" spans="1:6" ht="14.25" hidden="1" customHeight="1" x14ac:dyDescent="0.25">
      <c r="A379" s="29"/>
      <c r="B379" s="147">
        <v>45383</v>
      </c>
      <c r="C379" s="29"/>
      <c r="D379" s="29"/>
      <c r="E379" s="29"/>
      <c r="F379" s="29">
        <v>1</v>
      </c>
    </row>
    <row r="380" spans="1:6" ht="14.25" hidden="1" customHeight="1" x14ac:dyDescent="0.2">
      <c r="A380" s="29"/>
      <c r="B380" s="29">
        <v>83774102</v>
      </c>
      <c r="C380" s="29" t="s">
        <v>1543</v>
      </c>
      <c r="D380" s="29" t="s">
        <v>2038</v>
      </c>
      <c r="E380" s="29" t="s">
        <v>1616</v>
      </c>
      <c r="F380" s="29" t="s">
        <v>1944</v>
      </c>
    </row>
    <row r="381" spans="1:6" ht="14.25" hidden="1" customHeight="1" x14ac:dyDescent="0.2">
      <c r="A381" s="29"/>
      <c r="B381" s="29">
        <v>12198203</v>
      </c>
      <c r="C381" s="29" t="s">
        <v>1528</v>
      </c>
      <c r="D381" s="29" t="s">
        <v>2039</v>
      </c>
      <c r="E381" s="29" t="s">
        <v>1774</v>
      </c>
      <c r="F381" s="29" t="s">
        <v>1588</v>
      </c>
    </row>
    <row r="382" spans="1:6" ht="14.25" hidden="1" customHeight="1" x14ac:dyDescent="0.2">
      <c r="A382" s="29"/>
      <c r="B382" s="29">
        <v>42009002</v>
      </c>
      <c r="C382" s="29" t="s">
        <v>1543</v>
      </c>
      <c r="D382" s="29" t="s">
        <v>2040</v>
      </c>
      <c r="E382" s="29" t="s">
        <v>1629</v>
      </c>
      <c r="F382" s="29" t="s">
        <v>1610</v>
      </c>
    </row>
    <row r="383" spans="1:6" ht="14.25" hidden="1" customHeight="1" x14ac:dyDescent="0.2">
      <c r="A383" s="29"/>
      <c r="B383" s="29">
        <v>83027002</v>
      </c>
      <c r="C383" s="29" t="s">
        <v>1528</v>
      </c>
      <c r="D383" s="29" t="s">
        <v>2040</v>
      </c>
      <c r="E383" s="29" t="s">
        <v>1857</v>
      </c>
      <c r="F383" s="29" t="s">
        <v>1657</v>
      </c>
    </row>
    <row r="384" spans="1:6" ht="14.25" hidden="1" customHeight="1" x14ac:dyDescent="0.2">
      <c r="A384" s="29"/>
      <c r="B384" s="29">
        <v>64078501</v>
      </c>
      <c r="C384" s="29" t="s">
        <v>1543</v>
      </c>
      <c r="D384" s="29" t="s">
        <v>2041</v>
      </c>
      <c r="E384" s="29" t="s">
        <v>2042</v>
      </c>
      <c r="F384" s="29" t="s">
        <v>590</v>
      </c>
    </row>
    <row r="385" spans="1:6" ht="14.25" hidden="1" customHeight="1" x14ac:dyDescent="0.2">
      <c r="A385" s="29"/>
      <c r="B385" s="29">
        <v>58185503</v>
      </c>
      <c r="C385" s="29" t="s">
        <v>1637</v>
      </c>
      <c r="D385" s="29" t="s">
        <v>2043</v>
      </c>
      <c r="E385" s="29" t="s">
        <v>2044</v>
      </c>
      <c r="F385" s="29" t="s">
        <v>949</v>
      </c>
    </row>
    <row r="386" spans="1:6" ht="14.25" hidden="1" customHeight="1" x14ac:dyDescent="0.2">
      <c r="A386" s="29"/>
      <c r="B386" s="29">
        <v>42009002</v>
      </c>
      <c r="C386" s="29" t="s">
        <v>1528</v>
      </c>
      <c r="D386" s="29" t="s">
        <v>2043</v>
      </c>
      <c r="E386" s="29" t="s">
        <v>1712</v>
      </c>
      <c r="F386" s="29" t="s">
        <v>1610</v>
      </c>
    </row>
    <row r="387" spans="1:6" ht="14.25" hidden="1" customHeight="1" x14ac:dyDescent="0.2">
      <c r="A387" s="29"/>
      <c r="B387" s="29">
        <v>12198203</v>
      </c>
      <c r="C387" s="29" t="s">
        <v>1528</v>
      </c>
      <c r="D387" s="29" t="s">
        <v>2045</v>
      </c>
      <c r="E387" s="29" t="s">
        <v>1712</v>
      </c>
      <c r="F387" s="29" t="s">
        <v>1588</v>
      </c>
    </row>
    <row r="388" spans="1:6" ht="14.25" hidden="1" customHeight="1" x14ac:dyDescent="0.2">
      <c r="A388" s="29"/>
      <c r="B388" s="29">
        <v>83027002</v>
      </c>
      <c r="C388" s="29" t="s">
        <v>1637</v>
      </c>
      <c r="D388" s="29" t="s">
        <v>2043</v>
      </c>
      <c r="E388" s="29" t="s">
        <v>1994</v>
      </c>
      <c r="F388" s="29" t="s">
        <v>1657</v>
      </c>
    </row>
    <row r="389" spans="1:6" ht="14.25" hidden="1" customHeight="1" x14ac:dyDescent="0.2">
      <c r="A389" s="29"/>
      <c r="B389" s="29">
        <v>40399103</v>
      </c>
      <c r="C389" s="29" t="s">
        <v>1528</v>
      </c>
      <c r="D389" s="41" t="s">
        <v>2046</v>
      </c>
      <c r="E389" s="29" t="s">
        <v>1816</v>
      </c>
      <c r="F389" s="29" t="s">
        <v>1626</v>
      </c>
    </row>
    <row r="390" spans="1:6" ht="14.25" hidden="1" customHeight="1" x14ac:dyDescent="0.2">
      <c r="A390" s="29"/>
      <c r="B390" s="29">
        <v>42948502</v>
      </c>
      <c r="C390" s="29" t="s">
        <v>1528</v>
      </c>
      <c r="D390" s="29" t="s">
        <v>2040</v>
      </c>
      <c r="E390" s="29" t="s">
        <v>1712</v>
      </c>
      <c r="F390" s="29" t="s">
        <v>552</v>
      </c>
    </row>
    <row r="391" spans="1:6" ht="14.25" hidden="1" customHeight="1" x14ac:dyDescent="0.2">
      <c r="A391" s="29"/>
      <c r="B391" s="29">
        <v>64782302</v>
      </c>
      <c r="C391" s="29" t="s">
        <v>1543</v>
      </c>
      <c r="D391" s="29" t="s">
        <v>2047</v>
      </c>
      <c r="E391" s="29" t="s">
        <v>1616</v>
      </c>
      <c r="F391" s="29" t="s">
        <v>1905</v>
      </c>
    </row>
    <row r="392" spans="1:6" ht="14.25" hidden="1" customHeight="1" x14ac:dyDescent="0.2">
      <c r="A392" s="29"/>
      <c r="B392" s="29">
        <v>45366802</v>
      </c>
      <c r="C392" s="29" t="s">
        <v>1530</v>
      </c>
      <c r="D392" s="29" t="s">
        <v>2048</v>
      </c>
      <c r="E392" s="29" t="s">
        <v>1948</v>
      </c>
      <c r="F392" s="29" t="s">
        <v>2049</v>
      </c>
    </row>
    <row r="393" spans="1:6" ht="14.25" hidden="1" customHeight="1" x14ac:dyDescent="0.25">
      <c r="A393" s="29"/>
      <c r="B393" s="147">
        <v>45413</v>
      </c>
      <c r="C393" s="29"/>
      <c r="D393" s="29"/>
      <c r="E393" s="29"/>
      <c r="F393" s="29">
        <v>1</v>
      </c>
    </row>
    <row r="394" spans="1:6" ht="14.25" hidden="1" customHeight="1" x14ac:dyDescent="0.2">
      <c r="A394" s="29"/>
      <c r="B394" s="29">
        <v>40399103</v>
      </c>
      <c r="C394" s="29" t="s">
        <v>1543</v>
      </c>
      <c r="D394" s="29" t="s">
        <v>2046</v>
      </c>
      <c r="E394" s="29" t="s">
        <v>1901</v>
      </c>
      <c r="F394" s="29" t="s">
        <v>1626</v>
      </c>
    </row>
    <row r="395" spans="1:6" ht="14.25" hidden="1" customHeight="1" x14ac:dyDescent="0.2">
      <c r="A395" s="29"/>
      <c r="B395" s="29">
        <v>45366502</v>
      </c>
      <c r="C395" s="29" t="s">
        <v>1543</v>
      </c>
      <c r="D395" s="29" t="s">
        <v>2046</v>
      </c>
      <c r="E395" s="29" t="s">
        <v>1948</v>
      </c>
      <c r="F395" s="29" t="s">
        <v>1066</v>
      </c>
    </row>
    <row r="396" spans="1:6" ht="14.25" hidden="1" customHeight="1" x14ac:dyDescent="0.2">
      <c r="A396" s="29"/>
      <c r="B396" s="29">
        <v>22187603</v>
      </c>
      <c r="C396" s="29" t="s">
        <v>1528</v>
      </c>
      <c r="D396" s="29" t="s">
        <v>2046</v>
      </c>
      <c r="E396" s="29" t="s">
        <v>1774</v>
      </c>
      <c r="F396" s="29" t="s">
        <v>1598</v>
      </c>
    </row>
    <row r="397" spans="1:6" ht="14.25" hidden="1" customHeight="1" x14ac:dyDescent="0.2">
      <c r="A397" s="29"/>
      <c r="B397" s="29">
        <v>59032903</v>
      </c>
      <c r="C397" s="29" t="s">
        <v>1530</v>
      </c>
      <c r="D397" s="29" t="s">
        <v>2046</v>
      </c>
      <c r="E397" s="29" t="s">
        <v>1660</v>
      </c>
      <c r="F397" s="29" t="s">
        <v>539</v>
      </c>
    </row>
    <row r="398" spans="1:6" ht="14.25" hidden="1" customHeight="1" x14ac:dyDescent="0.2">
      <c r="A398" s="29"/>
      <c r="B398" s="29">
        <v>59124103</v>
      </c>
      <c r="C398" s="29" t="s">
        <v>1637</v>
      </c>
      <c r="D398" s="29" t="s">
        <v>2050</v>
      </c>
      <c r="E398" s="29" t="s">
        <v>2044</v>
      </c>
      <c r="F398" s="29" t="s">
        <v>774</v>
      </c>
    </row>
    <row r="399" spans="1:6" ht="14.25" hidden="1" customHeight="1" x14ac:dyDescent="0.2">
      <c r="A399" s="29"/>
      <c r="B399" s="29">
        <v>75170102</v>
      </c>
      <c r="C399" s="29" t="s">
        <v>1528</v>
      </c>
      <c r="D399" s="29" t="s">
        <v>2051</v>
      </c>
      <c r="E399" s="29" t="s">
        <v>1816</v>
      </c>
      <c r="F399" s="29" t="s">
        <v>1307</v>
      </c>
    </row>
    <row r="400" spans="1:6" ht="14.25" hidden="1" customHeight="1" x14ac:dyDescent="0.2">
      <c r="A400" s="29"/>
      <c r="B400" s="29">
        <v>22187603</v>
      </c>
      <c r="C400" s="29" t="s">
        <v>1637</v>
      </c>
      <c r="D400" s="29" t="s">
        <v>2052</v>
      </c>
      <c r="E400" s="29" t="s">
        <v>2010</v>
      </c>
      <c r="F400" s="29" t="s">
        <v>1598</v>
      </c>
    </row>
    <row r="401" spans="1:6" ht="14.25" hidden="1" customHeight="1" x14ac:dyDescent="0.2">
      <c r="A401" s="29"/>
      <c r="B401" s="29">
        <v>59032903</v>
      </c>
      <c r="C401" s="29" t="s">
        <v>1528</v>
      </c>
      <c r="D401" s="29" t="s">
        <v>2053</v>
      </c>
      <c r="E401" s="29" t="s">
        <v>1774</v>
      </c>
      <c r="F401" s="29" t="s">
        <v>539</v>
      </c>
    </row>
    <row r="402" spans="1:6" ht="14.25" hidden="1" customHeight="1" x14ac:dyDescent="0.2">
      <c r="A402" s="29"/>
      <c r="B402" s="29">
        <v>21705703</v>
      </c>
      <c r="C402" s="29" t="s">
        <v>1528</v>
      </c>
      <c r="D402" s="29" t="s">
        <v>2053</v>
      </c>
      <c r="E402" s="29" t="s">
        <v>1774</v>
      </c>
      <c r="F402" s="29" t="s">
        <v>1225</v>
      </c>
    </row>
    <row r="403" spans="1:6" ht="14.25" hidden="1" customHeight="1" x14ac:dyDescent="0.2">
      <c r="A403" s="29"/>
      <c r="B403" s="29">
        <v>12198203</v>
      </c>
      <c r="C403" s="29" t="s">
        <v>1637</v>
      </c>
      <c r="D403" s="29" t="s">
        <v>2052</v>
      </c>
      <c r="E403" s="29" t="s">
        <v>1994</v>
      </c>
      <c r="F403" s="29" t="s">
        <v>1588</v>
      </c>
    </row>
    <row r="404" spans="1:6" ht="14.25" hidden="1" customHeight="1" x14ac:dyDescent="0.2">
      <c r="A404" s="29"/>
      <c r="B404" s="29">
        <v>21898003</v>
      </c>
      <c r="C404" s="29" t="s">
        <v>1543</v>
      </c>
      <c r="D404" s="29" t="s">
        <v>2052</v>
      </c>
      <c r="E404" s="29" t="s">
        <v>1616</v>
      </c>
      <c r="F404" s="29" t="s">
        <v>1640</v>
      </c>
    </row>
    <row r="405" spans="1:6" ht="14.25" hidden="1" customHeight="1" x14ac:dyDescent="0.2">
      <c r="A405" s="29"/>
      <c r="B405" s="29">
        <v>41222702</v>
      </c>
      <c r="C405" s="29" t="s">
        <v>1543</v>
      </c>
      <c r="D405" s="29" t="s">
        <v>2053</v>
      </c>
      <c r="E405" s="29" t="s">
        <v>1934</v>
      </c>
      <c r="F405" s="29" t="s">
        <v>1075</v>
      </c>
    </row>
    <row r="406" spans="1:6" ht="14.25" hidden="1" customHeight="1" x14ac:dyDescent="0.2">
      <c r="A406" s="29"/>
      <c r="B406" s="29">
        <v>59201203</v>
      </c>
      <c r="C406" s="29" t="s">
        <v>1543</v>
      </c>
      <c r="D406" s="29" t="s">
        <v>2051</v>
      </c>
      <c r="E406" s="29" t="s">
        <v>2044</v>
      </c>
      <c r="F406" s="29" t="s">
        <v>1017</v>
      </c>
    </row>
    <row r="407" spans="1:6" ht="14.25" hidden="1" customHeight="1" x14ac:dyDescent="0.2">
      <c r="A407" s="29"/>
      <c r="B407" s="29">
        <v>42948502</v>
      </c>
      <c r="C407" s="29" t="s">
        <v>1543</v>
      </c>
      <c r="D407" s="29" t="s">
        <v>2053</v>
      </c>
      <c r="E407" s="29" t="s">
        <v>2054</v>
      </c>
      <c r="F407" s="29" t="s">
        <v>552</v>
      </c>
    </row>
    <row r="408" spans="1:6" ht="14.25" hidden="1" customHeight="1" x14ac:dyDescent="0.2">
      <c r="A408" s="29"/>
      <c r="B408" s="29">
        <v>75019402</v>
      </c>
      <c r="C408" s="29" t="s">
        <v>1543</v>
      </c>
      <c r="D408" s="29" t="s">
        <v>2051</v>
      </c>
      <c r="E408" s="29" t="s">
        <v>1825</v>
      </c>
      <c r="F408" s="29" t="s">
        <v>813</v>
      </c>
    </row>
    <row r="409" spans="1:6" ht="14.25" hidden="1" customHeight="1" x14ac:dyDescent="0.2">
      <c r="A409" s="29"/>
      <c r="B409" s="29">
        <v>44480903</v>
      </c>
      <c r="C409" s="29" t="s">
        <v>1543</v>
      </c>
      <c r="D409" s="29" t="s">
        <v>2055</v>
      </c>
      <c r="E409" s="29" t="s">
        <v>1616</v>
      </c>
      <c r="F409" s="29" t="s">
        <v>618</v>
      </c>
    </row>
    <row r="410" spans="1:6" ht="14.25" hidden="1" customHeight="1" x14ac:dyDescent="0.2">
      <c r="A410" s="29"/>
      <c r="B410" s="29">
        <v>59321401</v>
      </c>
      <c r="C410" s="29" t="s">
        <v>1528</v>
      </c>
      <c r="D410" s="29" t="s">
        <v>2056</v>
      </c>
      <c r="E410" s="29" t="s">
        <v>2057</v>
      </c>
      <c r="F410" s="29" t="s">
        <v>844</v>
      </c>
    </row>
    <row r="411" spans="1:6" ht="14.25" hidden="1" customHeight="1" x14ac:dyDescent="0.2">
      <c r="A411" s="29"/>
      <c r="B411" s="29">
        <v>20425302</v>
      </c>
      <c r="C411" s="29" t="s">
        <v>1528</v>
      </c>
      <c r="D411" s="29" t="s">
        <v>2058</v>
      </c>
      <c r="E411" s="29" t="s">
        <v>2059</v>
      </c>
      <c r="F411" s="29" t="s">
        <v>567</v>
      </c>
    </row>
    <row r="412" spans="1:6" ht="14.25" hidden="1" customHeight="1" x14ac:dyDescent="0.2">
      <c r="A412" s="29"/>
      <c r="B412" s="29">
        <v>22045903</v>
      </c>
      <c r="C412" s="29" t="s">
        <v>1530</v>
      </c>
      <c r="D412" s="29" t="s">
        <v>2060</v>
      </c>
      <c r="E412" s="29" t="s">
        <v>1843</v>
      </c>
      <c r="F412" s="29" t="s">
        <v>1394</v>
      </c>
    </row>
    <row r="413" spans="1:6" ht="14.25" hidden="1" customHeight="1" x14ac:dyDescent="0.2">
      <c r="A413" s="29"/>
      <c r="B413" s="12">
        <v>66735302</v>
      </c>
      <c r="C413" s="29" t="s">
        <v>1528</v>
      </c>
      <c r="D413" s="29" t="s">
        <v>2060</v>
      </c>
      <c r="E413" s="29" t="s">
        <v>2061</v>
      </c>
      <c r="F413" s="29" t="s">
        <v>1108</v>
      </c>
    </row>
    <row r="414" spans="1:6" ht="14.25" hidden="1" customHeight="1" x14ac:dyDescent="0.2">
      <c r="A414" s="29"/>
      <c r="B414" s="29">
        <v>50574503</v>
      </c>
      <c r="C414" s="29" t="s">
        <v>1530</v>
      </c>
      <c r="D414" s="29" t="s">
        <v>2062</v>
      </c>
      <c r="E414" s="29" t="s">
        <v>1629</v>
      </c>
      <c r="F414" s="29" t="s">
        <v>937</v>
      </c>
    </row>
    <row r="415" spans="1:6" ht="14.25" hidden="1" customHeight="1" x14ac:dyDescent="0.2">
      <c r="A415" s="29"/>
      <c r="B415" s="29">
        <v>28491903</v>
      </c>
      <c r="C415" s="29" t="s">
        <v>1530</v>
      </c>
      <c r="D415" s="29" t="s">
        <v>2062</v>
      </c>
      <c r="E415" s="29" t="s">
        <v>2027</v>
      </c>
      <c r="F415" s="29" t="s">
        <v>501</v>
      </c>
    </row>
    <row r="416" spans="1:6" ht="14.25" hidden="1" customHeight="1" x14ac:dyDescent="0.2">
      <c r="A416" s="29"/>
      <c r="B416" s="29">
        <v>50258603</v>
      </c>
      <c r="C416" s="29" t="s">
        <v>1528</v>
      </c>
      <c r="D416" s="29" t="s">
        <v>2063</v>
      </c>
      <c r="E416" s="29" t="s">
        <v>1774</v>
      </c>
      <c r="F416" s="29" t="s">
        <v>881</v>
      </c>
    </row>
    <row r="417" spans="1:6" ht="14.25" hidden="1" customHeight="1" x14ac:dyDescent="0.2">
      <c r="A417" s="29"/>
      <c r="B417" s="29">
        <v>44480903</v>
      </c>
      <c r="C417" s="29" t="s">
        <v>1528</v>
      </c>
      <c r="D417" s="29" t="s">
        <v>2062</v>
      </c>
      <c r="E417" s="29" t="s">
        <v>1774</v>
      </c>
      <c r="F417" s="29" t="s">
        <v>618</v>
      </c>
    </row>
    <row r="418" spans="1:6" ht="14.25" hidden="1" customHeight="1" x14ac:dyDescent="0.2">
      <c r="A418" s="29"/>
      <c r="B418" s="29">
        <v>64078501</v>
      </c>
      <c r="C418" s="29" t="s">
        <v>1543</v>
      </c>
      <c r="D418" s="29" t="s">
        <v>2062</v>
      </c>
      <c r="E418" s="29" t="s">
        <v>2064</v>
      </c>
      <c r="F418" s="29" t="s">
        <v>2065</v>
      </c>
    </row>
    <row r="419" spans="1:6" ht="14.25" hidden="1" customHeight="1" x14ac:dyDescent="0.2">
      <c r="A419" s="29"/>
      <c r="B419" s="29">
        <v>50258603</v>
      </c>
      <c r="C419" s="29" t="s">
        <v>1528</v>
      </c>
      <c r="D419" s="29" t="s">
        <v>2063</v>
      </c>
      <c r="E419" s="29" t="s">
        <v>1774</v>
      </c>
      <c r="F419" s="29" t="s">
        <v>881</v>
      </c>
    </row>
    <row r="420" spans="1:6" ht="14.25" hidden="1" customHeight="1" x14ac:dyDescent="0.2">
      <c r="A420" s="29"/>
      <c r="B420" s="29">
        <v>30327902</v>
      </c>
      <c r="C420" s="29" t="s">
        <v>1530</v>
      </c>
      <c r="D420" s="29" t="s">
        <v>2066</v>
      </c>
      <c r="E420" s="29" t="s">
        <v>2067</v>
      </c>
      <c r="F420" s="29" t="s">
        <v>1705</v>
      </c>
    </row>
    <row r="421" spans="1:6" ht="14.25" hidden="1" customHeight="1" x14ac:dyDescent="0.2">
      <c r="A421" s="29"/>
      <c r="B421" s="29">
        <v>30327902</v>
      </c>
      <c r="C421" s="29" t="s">
        <v>1528</v>
      </c>
      <c r="D421" s="29" t="s">
        <v>2066</v>
      </c>
      <c r="E421" s="29" t="s">
        <v>1774</v>
      </c>
      <c r="F421" s="29" t="s">
        <v>1057</v>
      </c>
    </row>
    <row r="422" spans="1:6" ht="14.25" hidden="1" customHeight="1" x14ac:dyDescent="0.2">
      <c r="A422" s="29"/>
      <c r="B422" s="29">
        <v>59124103</v>
      </c>
      <c r="C422" s="29" t="s">
        <v>1528</v>
      </c>
      <c r="D422" s="29" t="s">
        <v>2066</v>
      </c>
      <c r="E422" s="29" t="s">
        <v>1774</v>
      </c>
      <c r="F422" s="29" t="s">
        <v>774</v>
      </c>
    </row>
    <row r="423" spans="1:6" ht="14.25" hidden="1" customHeight="1" x14ac:dyDescent="0.2">
      <c r="A423" s="29"/>
      <c r="B423" s="29">
        <v>75170102</v>
      </c>
      <c r="C423" s="29" t="s">
        <v>1543</v>
      </c>
      <c r="D423" s="29" t="s">
        <v>2068</v>
      </c>
      <c r="E423" s="29" t="s">
        <v>1901</v>
      </c>
      <c r="F423" s="29" t="s">
        <v>1307</v>
      </c>
    </row>
    <row r="424" spans="1:6" ht="14.25" hidden="1" customHeight="1" x14ac:dyDescent="0.2">
      <c r="A424" s="29"/>
      <c r="B424" s="29">
        <v>44480903</v>
      </c>
      <c r="C424" s="29" t="s">
        <v>1528</v>
      </c>
      <c r="D424" s="29" t="s">
        <v>2069</v>
      </c>
      <c r="E424" s="29" t="s">
        <v>1774</v>
      </c>
      <c r="F424" s="29" t="s">
        <v>618</v>
      </c>
    </row>
    <row r="425" spans="1:6" ht="14.25" hidden="1" customHeight="1" x14ac:dyDescent="0.2">
      <c r="A425" s="29"/>
      <c r="B425" s="29">
        <v>59201203</v>
      </c>
      <c r="C425" s="29" t="s">
        <v>1543</v>
      </c>
      <c r="D425" s="29" t="s">
        <v>2068</v>
      </c>
      <c r="E425" s="29" t="s">
        <v>2070</v>
      </c>
      <c r="F425" s="29" t="s">
        <v>1017</v>
      </c>
    </row>
    <row r="426" spans="1:6" ht="14.25" hidden="1" customHeight="1" x14ac:dyDescent="0.25">
      <c r="A426" s="29"/>
      <c r="B426" s="147">
        <v>45444</v>
      </c>
      <c r="C426" s="29"/>
      <c r="D426" s="29"/>
      <c r="E426" s="29"/>
      <c r="F426" s="29">
        <v>1</v>
      </c>
    </row>
    <row r="427" spans="1:6" ht="14.25" hidden="1" customHeight="1" x14ac:dyDescent="0.2">
      <c r="A427" s="29"/>
      <c r="B427" s="12">
        <v>65388703</v>
      </c>
      <c r="C427" s="29" t="s">
        <v>1528</v>
      </c>
      <c r="D427" s="29" t="s">
        <v>2071</v>
      </c>
      <c r="E427" s="29" t="s">
        <v>1757</v>
      </c>
      <c r="F427" s="29" t="s">
        <v>1027</v>
      </c>
    </row>
    <row r="428" spans="1:6" ht="14.25" hidden="1" customHeight="1" x14ac:dyDescent="0.2">
      <c r="A428" s="29"/>
      <c r="B428" s="29">
        <v>42949102</v>
      </c>
      <c r="C428" s="29" t="s">
        <v>1530</v>
      </c>
      <c r="D428" s="29" t="s">
        <v>2072</v>
      </c>
      <c r="E428" s="29" t="s">
        <v>1889</v>
      </c>
      <c r="F428" s="29" t="s">
        <v>709</v>
      </c>
    </row>
    <row r="429" spans="1:6" ht="14.25" hidden="1" customHeight="1" x14ac:dyDescent="0.2">
      <c r="A429" s="29"/>
      <c r="B429" s="29">
        <v>30327902</v>
      </c>
      <c r="C429" s="29" t="s">
        <v>1530</v>
      </c>
      <c r="D429" s="29" t="s">
        <v>2072</v>
      </c>
      <c r="E429" s="29" t="s">
        <v>1659</v>
      </c>
      <c r="F429" s="29" t="s">
        <v>1705</v>
      </c>
    </row>
    <row r="430" spans="1:6" ht="14.25" hidden="1" customHeight="1" x14ac:dyDescent="0.2">
      <c r="A430" s="29"/>
      <c r="B430" s="29">
        <v>31404802</v>
      </c>
      <c r="C430" s="29" t="s">
        <v>1530</v>
      </c>
      <c r="D430" s="29" t="s">
        <v>2073</v>
      </c>
      <c r="E430" s="29" t="s">
        <v>2074</v>
      </c>
      <c r="F430" s="29" t="s">
        <v>697</v>
      </c>
    </row>
    <row r="431" spans="1:6" ht="14.25" hidden="1" customHeight="1" x14ac:dyDescent="0.2">
      <c r="A431" s="29"/>
      <c r="B431" s="29">
        <v>61872202</v>
      </c>
      <c r="C431" s="29" t="s">
        <v>1530</v>
      </c>
      <c r="D431" s="29" t="s">
        <v>2075</v>
      </c>
      <c r="E431" s="29" t="s">
        <v>1662</v>
      </c>
      <c r="F431" s="29" t="s">
        <v>892</v>
      </c>
    </row>
    <row r="432" spans="1:6" ht="14.25" hidden="1" customHeight="1" x14ac:dyDescent="0.2">
      <c r="A432" s="29"/>
      <c r="B432" s="29">
        <v>50258603</v>
      </c>
      <c r="C432" s="29" t="s">
        <v>1530</v>
      </c>
      <c r="D432" s="29" t="s">
        <v>2075</v>
      </c>
      <c r="E432" s="29" t="s">
        <v>1629</v>
      </c>
      <c r="F432" s="29" t="s">
        <v>881</v>
      </c>
    </row>
    <row r="433" spans="1:6" ht="14.25" hidden="1" customHeight="1" x14ac:dyDescent="0.2">
      <c r="A433" s="29"/>
      <c r="B433" s="29">
        <v>22045903</v>
      </c>
      <c r="C433" s="29" t="s">
        <v>1528</v>
      </c>
      <c r="D433" s="42" t="s">
        <v>2076</v>
      </c>
      <c r="E433" s="29" t="s">
        <v>1774</v>
      </c>
      <c r="F433" s="29" t="s">
        <v>2077</v>
      </c>
    </row>
    <row r="434" spans="1:6" ht="14.25" hidden="1" customHeight="1" x14ac:dyDescent="0.2">
      <c r="A434" s="29"/>
      <c r="B434" s="29">
        <v>59032903</v>
      </c>
      <c r="C434" s="29" t="s">
        <v>1528</v>
      </c>
      <c r="D434" s="29" t="s">
        <v>2078</v>
      </c>
      <c r="E434" s="29" t="s">
        <v>1772</v>
      </c>
      <c r="F434" s="29" t="s">
        <v>539</v>
      </c>
    </row>
    <row r="435" spans="1:6" ht="14.25" hidden="1" customHeight="1" x14ac:dyDescent="0.2">
      <c r="A435" s="29"/>
      <c r="B435" s="29">
        <v>42008902</v>
      </c>
      <c r="C435" s="29" t="s">
        <v>1528</v>
      </c>
      <c r="D435" s="29" t="s">
        <v>2078</v>
      </c>
      <c r="E435" s="29" t="s">
        <v>2079</v>
      </c>
      <c r="F435" s="29" t="s">
        <v>1549</v>
      </c>
    </row>
    <row r="436" spans="1:6" ht="14.25" hidden="1" customHeight="1" x14ac:dyDescent="0.2">
      <c r="A436" s="29"/>
      <c r="B436" s="29">
        <v>31404502</v>
      </c>
      <c r="C436" s="29" t="s">
        <v>1530</v>
      </c>
      <c r="D436" s="29" t="s">
        <v>2080</v>
      </c>
      <c r="E436" s="29" t="s">
        <v>2081</v>
      </c>
      <c r="F436" s="29" t="s">
        <v>1043</v>
      </c>
    </row>
    <row r="437" spans="1:6" ht="14.25" hidden="1" customHeight="1" x14ac:dyDescent="0.2">
      <c r="A437" s="29"/>
      <c r="B437" s="29">
        <v>30327902</v>
      </c>
      <c r="C437" s="29" t="s">
        <v>1530</v>
      </c>
      <c r="D437" s="29" t="s">
        <v>2082</v>
      </c>
      <c r="E437" s="29" t="s">
        <v>2014</v>
      </c>
      <c r="F437" s="29" t="s">
        <v>1705</v>
      </c>
    </row>
    <row r="438" spans="1:6" ht="14.25" hidden="1" customHeight="1" x14ac:dyDescent="0.2">
      <c r="A438" s="29"/>
      <c r="B438" s="29">
        <v>45366502</v>
      </c>
      <c r="C438" s="29" t="s">
        <v>1530</v>
      </c>
      <c r="D438" s="29" t="s">
        <v>2083</v>
      </c>
      <c r="E438" s="29" t="s">
        <v>2084</v>
      </c>
      <c r="F438" s="29" t="s">
        <v>1066</v>
      </c>
    </row>
    <row r="439" spans="1:6" ht="14.25" hidden="1" customHeight="1" x14ac:dyDescent="0.2">
      <c r="A439" s="29"/>
      <c r="B439" s="29">
        <v>42009002</v>
      </c>
      <c r="C439" s="29" t="s">
        <v>1543</v>
      </c>
      <c r="D439" s="29" t="s">
        <v>2085</v>
      </c>
      <c r="E439" s="29" t="s">
        <v>2086</v>
      </c>
      <c r="F439" s="29" t="s">
        <v>1610</v>
      </c>
    </row>
    <row r="440" spans="1:6" ht="14.25" hidden="1" customHeight="1" x14ac:dyDescent="0.2">
      <c r="A440" s="29"/>
      <c r="B440" s="29">
        <v>31404502</v>
      </c>
      <c r="C440" s="29" t="s">
        <v>1530</v>
      </c>
      <c r="D440" s="29" t="s">
        <v>2087</v>
      </c>
      <c r="E440" s="29" t="s">
        <v>2088</v>
      </c>
      <c r="F440" s="29" t="s">
        <v>2089</v>
      </c>
    </row>
    <row r="441" spans="1:6" ht="14.25" hidden="1" customHeight="1" x14ac:dyDescent="0.2">
      <c r="A441" s="29"/>
      <c r="B441" s="29">
        <v>75170102</v>
      </c>
      <c r="C441" s="29" t="s">
        <v>1528</v>
      </c>
      <c r="D441" s="29" t="s">
        <v>348</v>
      </c>
      <c r="E441" s="29" t="s">
        <v>1774</v>
      </c>
      <c r="F441" s="29" t="s">
        <v>1307</v>
      </c>
    </row>
    <row r="442" spans="1:6" ht="14.25" hidden="1" customHeight="1" x14ac:dyDescent="0.2">
      <c r="A442" s="29"/>
      <c r="B442" s="29">
        <v>25062302</v>
      </c>
      <c r="C442" s="29" t="s">
        <v>1528</v>
      </c>
      <c r="D442" s="29" t="s">
        <v>348</v>
      </c>
      <c r="E442" s="29" t="s">
        <v>2090</v>
      </c>
      <c r="F442" s="29" t="s">
        <v>275</v>
      </c>
    </row>
    <row r="443" spans="1:6" ht="14.25" hidden="1" customHeight="1" x14ac:dyDescent="0.25">
      <c r="A443" s="29"/>
      <c r="B443" s="147">
        <v>45474</v>
      </c>
      <c r="C443" s="29"/>
      <c r="D443" s="29"/>
      <c r="E443" s="29"/>
      <c r="F443" s="29">
        <v>1</v>
      </c>
    </row>
    <row r="444" spans="1:6" ht="14.25" hidden="1" customHeight="1" x14ac:dyDescent="0.2">
      <c r="A444" s="29"/>
      <c r="B444" s="29">
        <v>17053003</v>
      </c>
      <c r="C444" s="29" t="s">
        <v>1543</v>
      </c>
      <c r="D444" s="29" t="s">
        <v>2091</v>
      </c>
      <c r="E444" s="29" t="s">
        <v>2074</v>
      </c>
      <c r="F444" s="29" t="s">
        <v>666</v>
      </c>
    </row>
    <row r="445" spans="1:6" ht="14.25" hidden="1" customHeight="1" x14ac:dyDescent="0.2">
      <c r="A445" s="29"/>
      <c r="B445" s="26">
        <v>31404802</v>
      </c>
      <c r="C445" s="26" t="s">
        <v>1530</v>
      </c>
      <c r="D445" s="26" t="s">
        <v>2091</v>
      </c>
      <c r="E445" s="26" t="s">
        <v>2092</v>
      </c>
      <c r="F445" s="26" t="s">
        <v>697</v>
      </c>
    </row>
    <row r="446" spans="1:6" ht="14.25" hidden="1" customHeight="1" x14ac:dyDescent="0.2">
      <c r="A446" s="29"/>
      <c r="B446" s="29">
        <v>41221502</v>
      </c>
      <c r="C446" s="29" t="s">
        <v>1543</v>
      </c>
      <c r="D446" s="29" t="s">
        <v>2091</v>
      </c>
      <c r="E446" s="29" t="s">
        <v>1934</v>
      </c>
      <c r="F446" s="29" t="s">
        <v>1139</v>
      </c>
    </row>
    <row r="447" spans="1:6" ht="14.25" hidden="1" customHeight="1" x14ac:dyDescent="0.2">
      <c r="A447" s="29"/>
      <c r="B447" s="29">
        <v>65178203</v>
      </c>
      <c r="C447" s="29" t="s">
        <v>1543</v>
      </c>
      <c r="D447" s="29" t="s">
        <v>2093</v>
      </c>
      <c r="E447" s="29" t="s">
        <v>1584</v>
      </c>
      <c r="F447" s="29" t="s">
        <v>723</v>
      </c>
    </row>
    <row r="448" spans="1:6" ht="14.25" hidden="1" customHeight="1" x14ac:dyDescent="0.2">
      <c r="A448" s="29"/>
      <c r="B448" s="29">
        <v>21898003</v>
      </c>
      <c r="C448" s="29" t="s">
        <v>1543</v>
      </c>
      <c r="D448" s="29" t="s">
        <v>2094</v>
      </c>
      <c r="E448" s="29" t="s">
        <v>2095</v>
      </c>
      <c r="F448" s="29" t="s">
        <v>1640</v>
      </c>
    </row>
    <row r="449" spans="1:6" ht="14.25" hidden="1" customHeight="1" x14ac:dyDescent="0.2">
      <c r="A449" s="29"/>
      <c r="B449" s="29">
        <v>66735302</v>
      </c>
      <c r="C449" s="29" t="s">
        <v>1543</v>
      </c>
      <c r="D449" s="29" t="s">
        <v>2096</v>
      </c>
      <c r="E449" s="29" t="s">
        <v>2097</v>
      </c>
      <c r="F449" s="29" t="s">
        <v>1108</v>
      </c>
    </row>
    <row r="450" spans="1:6" ht="14.25" hidden="1" customHeight="1" x14ac:dyDescent="0.2">
      <c r="A450" s="29"/>
      <c r="B450" s="29">
        <v>59032903</v>
      </c>
      <c r="C450" s="29" t="s">
        <v>1530</v>
      </c>
      <c r="D450" s="29" t="s">
        <v>2098</v>
      </c>
      <c r="E450" s="29" t="s">
        <v>2099</v>
      </c>
      <c r="F450" s="29" t="s">
        <v>539</v>
      </c>
    </row>
    <row r="451" spans="1:6" ht="14.25" hidden="1" customHeight="1" x14ac:dyDescent="0.2">
      <c r="A451" s="29"/>
      <c r="B451" s="29">
        <v>64078901</v>
      </c>
      <c r="C451" s="29" t="s">
        <v>1543</v>
      </c>
      <c r="D451" s="29" t="s">
        <v>56</v>
      </c>
      <c r="E451" s="29" t="s">
        <v>2100</v>
      </c>
      <c r="F451" s="29" t="s">
        <v>1033</v>
      </c>
    </row>
    <row r="452" spans="1:6" ht="14.25" hidden="1" customHeight="1" x14ac:dyDescent="0.2">
      <c r="A452" s="29"/>
      <c r="B452" s="29">
        <v>52481402</v>
      </c>
      <c r="C452" s="29" t="s">
        <v>1543</v>
      </c>
      <c r="D452" s="29" t="s">
        <v>2101</v>
      </c>
      <c r="E452" s="29" t="s">
        <v>2102</v>
      </c>
      <c r="F452" s="29" t="s">
        <v>1163</v>
      </c>
    </row>
    <row r="453" spans="1:6" ht="14.25" hidden="1" customHeight="1" x14ac:dyDescent="0.2">
      <c r="A453" s="29"/>
      <c r="B453" s="29">
        <v>12198203</v>
      </c>
      <c r="C453" s="29" t="s">
        <v>1528</v>
      </c>
      <c r="D453" s="29" t="s">
        <v>2101</v>
      </c>
      <c r="E453" s="29" t="s">
        <v>2103</v>
      </c>
      <c r="F453" s="29" t="s">
        <v>2104</v>
      </c>
    </row>
    <row r="454" spans="1:6" ht="14.25" hidden="1" customHeight="1" x14ac:dyDescent="0.2">
      <c r="A454" s="29"/>
      <c r="B454" s="29">
        <v>50258603</v>
      </c>
      <c r="C454" s="29" t="s">
        <v>1528</v>
      </c>
      <c r="D454" s="29" t="s">
        <v>2101</v>
      </c>
      <c r="E454" s="29" t="s">
        <v>1786</v>
      </c>
      <c r="F454" s="29" t="s">
        <v>881</v>
      </c>
    </row>
    <row r="455" spans="1:6" ht="14.25" hidden="1" customHeight="1" x14ac:dyDescent="0.2">
      <c r="A455" s="29"/>
      <c r="B455" s="29">
        <v>65178203</v>
      </c>
      <c r="C455" s="29" t="s">
        <v>1528</v>
      </c>
      <c r="D455" s="29" t="s">
        <v>2105</v>
      </c>
      <c r="E455" s="29" t="s">
        <v>1772</v>
      </c>
      <c r="F455" s="29" t="s">
        <v>723</v>
      </c>
    </row>
    <row r="456" spans="1:6" ht="14.25" hidden="1" customHeight="1" x14ac:dyDescent="0.2">
      <c r="A456" s="29"/>
      <c r="B456" s="29">
        <v>58185503</v>
      </c>
      <c r="C456" s="29" t="s">
        <v>1528</v>
      </c>
      <c r="D456" s="29" t="s">
        <v>2105</v>
      </c>
      <c r="E456" s="29" t="s">
        <v>1774</v>
      </c>
      <c r="F456" s="29" t="s">
        <v>949</v>
      </c>
    </row>
    <row r="457" spans="1:6" ht="14.25" hidden="1" customHeight="1" x14ac:dyDescent="0.2">
      <c r="A457" s="29"/>
      <c r="B457" s="29">
        <v>59124103</v>
      </c>
      <c r="C457" s="29" t="s">
        <v>1637</v>
      </c>
      <c r="D457" s="29" t="s">
        <v>2101</v>
      </c>
      <c r="E457" s="29" t="s">
        <v>2106</v>
      </c>
      <c r="F457" s="29" t="s">
        <v>774</v>
      </c>
    </row>
    <row r="458" spans="1:6" ht="14.25" hidden="1" customHeight="1" x14ac:dyDescent="0.2">
      <c r="A458" s="29"/>
      <c r="B458" s="29">
        <v>59032903</v>
      </c>
      <c r="C458" s="29" t="s">
        <v>1528</v>
      </c>
      <c r="D458" s="29" t="s">
        <v>2107</v>
      </c>
      <c r="E458" s="29" t="s">
        <v>2108</v>
      </c>
      <c r="F458" s="29" t="s">
        <v>539</v>
      </c>
    </row>
    <row r="459" spans="1:6" ht="14.25" hidden="1" customHeight="1" x14ac:dyDescent="0.2">
      <c r="A459" s="29"/>
      <c r="B459" s="29">
        <v>30327902</v>
      </c>
      <c r="C459" s="29" t="s">
        <v>1530</v>
      </c>
      <c r="D459" s="29" t="s">
        <v>2109</v>
      </c>
      <c r="E459" s="29" t="s">
        <v>2110</v>
      </c>
      <c r="F459" s="29" t="s">
        <v>1057</v>
      </c>
    </row>
    <row r="460" spans="1:6" ht="14.25" hidden="1" customHeight="1" x14ac:dyDescent="0.2">
      <c r="A460" s="29"/>
      <c r="B460" s="29">
        <v>12198203</v>
      </c>
      <c r="C460" s="29" t="s">
        <v>1528</v>
      </c>
      <c r="D460" s="29" t="s">
        <v>2109</v>
      </c>
      <c r="E460" s="29" t="s">
        <v>2111</v>
      </c>
      <c r="F460" s="29" t="s">
        <v>2112</v>
      </c>
    </row>
    <row r="461" spans="1:6" ht="14.25" hidden="1" customHeight="1" x14ac:dyDescent="0.2">
      <c r="A461" s="29"/>
      <c r="B461" s="29">
        <v>64078901</v>
      </c>
      <c r="C461" s="29" t="s">
        <v>1528</v>
      </c>
      <c r="D461" s="29" t="s">
        <v>2109</v>
      </c>
      <c r="E461" s="29" t="s">
        <v>1774</v>
      </c>
      <c r="F461" s="29" t="s">
        <v>1033</v>
      </c>
    </row>
    <row r="462" spans="1:6" ht="14.25" hidden="1" customHeight="1" x14ac:dyDescent="0.2">
      <c r="A462" s="29"/>
      <c r="B462" s="29">
        <v>40399103</v>
      </c>
      <c r="C462" s="29" t="s">
        <v>1543</v>
      </c>
      <c r="D462" s="29" t="s">
        <v>2113</v>
      </c>
      <c r="E462" s="29" t="s">
        <v>1825</v>
      </c>
      <c r="F462" s="29" t="s">
        <v>1626</v>
      </c>
    </row>
    <row r="463" spans="1:6" ht="14.25" customHeight="1" x14ac:dyDescent="0.2">
      <c r="A463" s="29"/>
      <c r="B463" s="29">
        <v>65144703</v>
      </c>
      <c r="C463" s="29" t="s">
        <v>1528</v>
      </c>
      <c r="D463" s="29" t="s">
        <v>2113</v>
      </c>
      <c r="E463" s="29" t="s">
        <v>2114</v>
      </c>
      <c r="F463" s="29" t="s">
        <v>963</v>
      </c>
    </row>
    <row r="464" spans="1:6" ht="14.25" hidden="1" customHeight="1" x14ac:dyDescent="0.2">
      <c r="A464" s="29"/>
      <c r="B464" s="29">
        <v>22187603</v>
      </c>
      <c r="C464" s="29" t="s">
        <v>1637</v>
      </c>
      <c r="D464" s="29" t="s">
        <v>2115</v>
      </c>
      <c r="E464" s="29" t="s">
        <v>1868</v>
      </c>
      <c r="F464" s="29" t="s">
        <v>1598</v>
      </c>
    </row>
    <row r="465" spans="1:6" ht="14.25" hidden="1" customHeight="1" x14ac:dyDescent="0.2">
      <c r="A465" s="29"/>
      <c r="B465" s="29">
        <v>22187603</v>
      </c>
      <c r="C465" s="29" t="s">
        <v>1528</v>
      </c>
      <c r="D465" s="29" t="s">
        <v>2116</v>
      </c>
      <c r="E465" s="29" t="s">
        <v>1731</v>
      </c>
      <c r="F465" s="29" t="s">
        <v>1598</v>
      </c>
    </row>
    <row r="466" spans="1:6" ht="14.25" hidden="1" customHeight="1" x14ac:dyDescent="0.2">
      <c r="A466" s="29"/>
      <c r="B466" s="29">
        <v>64782302</v>
      </c>
      <c r="C466" s="29" t="s">
        <v>1528</v>
      </c>
      <c r="D466" s="29" t="s">
        <v>2117</v>
      </c>
      <c r="E466" s="29" t="s">
        <v>1714</v>
      </c>
      <c r="F466" s="29" t="s">
        <v>1905</v>
      </c>
    </row>
    <row r="467" spans="1:6" ht="14.25" hidden="1" customHeight="1" x14ac:dyDescent="0.2">
      <c r="A467" s="29"/>
      <c r="B467" s="29">
        <v>44480903</v>
      </c>
      <c r="C467" s="29" t="s">
        <v>1543</v>
      </c>
      <c r="D467" s="29" t="s">
        <v>2118</v>
      </c>
      <c r="E467" s="29" t="s">
        <v>1629</v>
      </c>
      <c r="F467" s="29" t="s">
        <v>618</v>
      </c>
    </row>
    <row r="468" spans="1:6" ht="14.25" hidden="1" customHeight="1" x14ac:dyDescent="0.2">
      <c r="A468" s="29"/>
      <c r="B468" s="29">
        <v>21897903</v>
      </c>
      <c r="C468" s="29" t="s">
        <v>1530</v>
      </c>
      <c r="D468" s="29" t="s">
        <v>2118</v>
      </c>
      <c r="E468" s="29" t="s">
        <v>1616</v>
      </c>
      <c r="F468" s="29" t="s">
        <v>1946</v>
      </c>
    </row>
    <row r="469" spans="1:6" ht="14.25" hidden="1" customHeight="1" x14ac:dyDescent="0.25">
      <c r="A469" s="29"/>
      <c r="B469" s="147">
        <v>45505</v>
      </c>
      <c r="C469" s="29"/>
      <c r="D469" s="29"/>
      <c r="E469" s="29"/>
      <c r="F469" s="29">
        <v>1</v>
      </c>
    </row>
    <row r="470" spans="1:6" ht="14.25" hidden="1" customHeight="1" x14ac:dyDescent="0.2">
      <c r="A470" s="29"/>
      <c r="B470" s="29">
        <v>59124103</v>
      </c>
      <c r="C470" s="29" t="s">
        <v>1528</v>
      </c>
      <c r="D470" s="29" t="s">
        <v>2119</v>
      </c>
      <c r="E470" s="29" t="s">
        <v>1774</v>
      </c>
      <c r="F470" s="29" t="s">
        <v>774</v>
      </c>
    </row>
    <row r="471" spans="1:6" ht="14.25" hidden="1" customHeight="1" x14ac:dyDescent="0.2">
      <c r="A471" s="29"/>
      <c r="B471" s="29">
        <v>75169802</v>
      </c>
      <c r="C471" s="29" t="s">
        <v>1530</v>
      </c>
      <c r="D471" s="29" t="s">
        <v>2119</v>
      </c>
      <c r="E471" s="29" t="s">
        <v>1868</v>
      </c>
      <c r="F471" s="29" t="s">
        <v>601</v>
      </c>
    </row>
    <row r="472" spans="1:6" ht="14.25" hidden="1" customHeight="1" x14ac:dyDescent="0.2">
      <c r="A472" s="29"/>
      <c r="B472" s="29">
        <v>44480903</v>
      </c>
      <c r="C472" s="29" t="s">
        <v>1528</v>
      </c>
      <c r="D472" s="29" t="s">
        <v>2120</v>
      </c>
      <c r="E472" s="29" t="s">
        <v>1731</v>
      </c>
      <c r="F472" s="29" t="s">
        <v>618</v>
      </c>
    </row>
    <row r="473" spans="1:6" ht="14.25" hidden="1" customHeight="1" x14ac:dyDescent="0.2">
      <c r="A473" s="29"/>
      <c r="B473" s="29">
        <v>66735302</v>
      </c>
      <c r="C473" s="29" t="s">
        <v>1543</v>
      </c>
      <c r="D473" s="29" t="s">
        <v>2120</v>
      </c>
      <c r="E473" s="29" t="s">
        <v>1889</v>
      </c>
      <c r="F473" s="29" t="s">
        <v>1108</v>
      </c>
    </row>
    <row r="474" spans="1:6" ht="14.25" hidden="1" customHeight="1" x14ac:dyDescent="0.2">
      <c r="A474" s="29"/>
      <c r="B474" s="29">
        <v>59124103</v>
      </c>
      <c r="C474" s="29" t="s">
        <v>1528</v>
      </c>
      <c r="D474" s="29" t="s">
        <v>2121</v>
      </c>
      <c r="E474" s="29" t="s">
        <v>2122</v>
      </c>
      <c r="F474" s="29" t="s">
        <v>774</v>
      </c>
    </row>
    <row r="475" spans="1:6" ht="14.25" hidden="1" customHeight="1" x14ac:dyDescent="0.2">
      <c r="A475" s="29"/>
      <c r="B475" s="29">
        <v>66723902</v>
      </c>
      <c r="C475" s="29" t="s">
        <v>1530</v>
      </c>
      <c r="D475" s="29" t="s">
        <v>2121</v>
      </c>
      <c r="E475" s="29" t="s">
        <v>2123</v>
      </c>
      <c r="F475" s="29" t="s">
        <v>671</v>
      </c>
    </row>
    <row r="476" spans="1:6" ht="14.25" hidden="1" customHeight="1" x14ac:dyDescent="0.2">
      <c r="A476" s="29"/>
      <c r="B476" s="29">
        <v>75169702</v>
      </c>
      <c r="C476" s="29" t="s">
        <v>1528</v>
      </c>
      <c r="D476" s="29" t="s">
        <v>2124</v>
      </c>
      <c r="E476" s="29" t="s">
        <v>2125</v>
      </c>
      <c r="F476" s="29" t="s">
        <v>381</v>
      </c>
    </row>
    <row r="477" spans="1:6" ht="14.25" hidden="1" customHeight="1" x14ac:dyDescent="0.2">
      <c r="A477" s="29"/>
      <c r="B477" s="29">
        <v>52150302</v>
      </c>
      <c r="C477" s="29" t="s">
        <v>1543</v>
      </c>
      <c r="D477" s="29" t="s">
        <v>2126</v>
      </c>
      <c r="E477" s="29" t="s">
        <v>1868</v>
      </c>
      <c r="F477" s="29" t="s">
        <v>1406</v>
      </c>
    </row>
    <row r="478" spans="1:6" ht="14.25" hidden="1" customHeight="1" x14ac:dyDescent="0.2">
      <c r="A478" s="29"/>
      <c r="B478" s="29">
        <v>63765702</v>
      </c>
      <c r="C478" s="29" t="s">
        <v>1530</v>
      </c>
      <c r="D478" s="29" t="s">
        <v>2126</v>
      </c>
      <c r="E478" s="29" t="s">
        <v>1616</v>
      </c>
      <c r="F478" s="29" t="s">
        <v>1351</v>
      </c>
    </row>
    <row r="479" spans="1:6" ht="14.25" hidden="1" customHeight="1" x14ac:dyDescent="0.2">
      <c r="A479" s="29"/>
      <c r="B479" s="29">
        <v>50258603</v>
      </c>
      <c r="C479" s="29" t="s">
        <v>1637</v>
      </c>
      <c r="D479" s="29" t="s">
        <v>355</v>
      </c>
      <c r="E479" s="29" t="s">
        <v>1909</v>
      </c>
      <c r="F479" s="29" t="s">
        <v>881</v>
      </c>
    </row>
    <row r="480" spans="1:6" ht="14.25" hidden="1" customHeight="1" x14ac:dyDescent="0.2">
      <c r="A480" s="29"/>
      <c r="B480" s="107">
        <v>75019402</v>
      </c>
      <c r="C480" s="29" t="s">
        <v>1528</v>
      </c>
      <c r="D480" s="29" t="s">
        <v>2127</v>
      </c>
      <c r="E480" s="29" t="s">
        <v>1816</v>
      </c>
      <c r="F480" s="29" t="s">
        <v>813</v>
      </c>
    </row>
    <row r="481" spans="1:6" ht="14.25" hidden="1" customHeight="1" x14ac:dyDescent="0.2">
      <c r="A481" s="29"/>
      <c r="B481" s="29">
        <v>50574503</v>
      </c>
      <c r="C481" s="29" t="s">
        <v>1530</v>
      </c>
      <c r="D481" s="29" t="s">
        <v>2127</v>
      </c>
      <c r="E481" s="29" t="s">
        <v>1793</v>
      </c>
      <c r="F481" s="29" t="s">
        <v>937</v>
      </c>
    </row>
    <row r="482" spans="1:6" ht="14.25" hidden="1" customHeight="1" x14ac:dyDescent="0.2">
      <c r="A482" s="29"/>
      <c r="B482" s="29">
        <v>50574503</v>
      </c>
      <c r="C482" s="29" t="s">
        <v>1528</v>
      </c>
      <c r="D482" s="29" t="s">
        <v>2128</v>
      </c>
      <c r="E482" s="29" t="s">
        <v>1712</v>
      </c>
      <c r="F482" s="29" t="s">
        <v>937</v>
      </c>
    </row>
    <row r="483" spans="1:6" ht="14.25" hidden="1" customHeight="1" x14ac:dyDescent="0.2">
      <c r="A483" s="29"/>
      <c r="B483" s="29">
        <v>59201203</v>
      </c>
      <c r="C483" s="29" t="s">
        <v>1543</v>
      </c>
      <c r="D483" s="29" t="s">
        <v>2129</v>
      </c>
      <c r="E483" s="29" t="s">
        <v>1866</v>
      </c>
      <c r="F483" s="29" t="s">
        <v>1017</v>
      </c>
    </row>
    <row r="484" spans="1:6" ht="14.25" hidden="1" customHeight="1" x14ac:dyDescent="0.2">
      <c r="A484" s="29"/>
      <c r="B484" s="29">
        <v>59032903</v>
      </c>
      <c r="C484" s="29" t="s">
        <v>1528</v>
      </c>
      <c r="D484" s="29" t="s">
        <v>2130</v>
      </c>
      <c r="E484" s="29" t="s">
        <v>2131</v>
      </c>
      <c r="F484" s="29" t="s">
        <v>539</v>
      </c>
    </row>
    <row r="485" spans="1:6" ht="14.25" hidden="1" customHeight="1" x14ac:dyDescent="0.2">
      <c r="A485" s="29"/>
      <c r="B485" s="38">
        <v>59321401</v>
      </c>
      <c r="C485" s="29" t="s">
        <v>1528</v>
      </c>
      <c r="D485" s="29" t="s">
        <v>2130</v>
      </c>
      <c r="E485" s="29" t="s">
        <v>1836</v>
      </c>
      <c r="F485" s="29" t="s">
        <v>844</v>
      </c>
    </row>
    <row r="486" spans="1:6" ht="14.25" hidden="1" customHeight="1" x14ac:dyDescent="0.2">
      <c r="A486" s="29"/>
      <c r="B486" s="29">
        <v>50258603</v>
      </c>
      <c r="C486" s="29" t="s">
        <v>1528</v>
      </c>
      <c r="D486" s="29" t="s">
        <v>2132</v>
      </c>
      <c r="E486" s="29" t="s">
        <v>1857</v>
      </c>
      <c r="F486" s="29" t="s">
        <v>881</v>
      </c>
    </row>
    <row r="487" spans="1:6" ht="14.25" hidden="1" customHeight="1" x14ac:dyDescent="0.2">
      <c r="A487" s="29"/>
      <c r="B487" s="29">
        <v>59032903</v>
      </c>
      <c r="C487" s="29" t="s">
        <v>1530</v>
      </c>
      <c r="D487" s="29" t="s">
        <v>2132</v>
      </c>
      <c r="E487" s="29" t="s">
        <v>1913</v>
      </c>
      <c r="F487" s="29" t="s">
        <v>539</v>
      </c>
    </row>
    <row r="488" spans="1:6" ht="14.25" hidden="1" customHeight="1" x14ac:dyDescent="0.2">
      <c r="A488" s="29"/>
      <c r="B488" s="29">
        <v>75170102</v>
      </c>
      <c r="C488" s="29" t="s">
        <v>1530</v>
      </c>
      <c r="D488" s="29" t="s">
        <v>2133</v>
      </c>
      <c r="E488" s="29" t="s">
        <v>1857</v>
      </c>
      <c r="F488" s="29" t="s">
        <v>1307</v>
      </c>
    </row>
    <row r="489" spans="1:6" ht="14.25" hidden="1" customHeight="1" x14ac:dyDescent="0.2">
      <c r="A489" s="29"/>
      <c r="B489" s="29">
        <v>42948502</v>
      </c>
      <c r="C489" s="29" t="s">
        <v>1530</v>
      </c>
      <c r="D489" s="29" t="s">
        <v>2134</v>
      </c>
      <c r="E489" s="29" t="s">
        <v>1912</v>
      </c>
      <c r="F489" s="29" t="s">
        <v>552</v>
      </c>
    </row>
    <row r="490" spans="1:6" ht="14.25" hidden="1" customHeight="1" x14ac:dyDescent="0.2">
      <c r="A490" s="29"/>
      <c r="B490" s="29">
        <v>75169802</v>
      </c>
      <c r="C490" s="29" t="s">
        <v>1528</v>
      </c>
      <c r="D490" s="29" t="s">
        <v>2135</v>
      </c>
      <c r="E490" s="29" t="s">
        <v>1857</v>
      </c>
      <c r="F490" s="29" t="s">
        <v>601</v>
      </c>
    </row>
    <row r="491" spans="1:6" ht="14.25" customHeight="1" x14ac:dyDescent="0.2">
      <c r="A491" s="29"/>
      <c r="B491" s="29">
        <v>65144703</v>
      </c>
      <c r="C491" s="29" t="s">
        <v>1637</v>
      </c>
      <c r="D491" s="29" t="s">
        <v>2136</v>
      </c>
      <c r="E491" s="29" t="s">
        <v>2137</v>
      </c>
      <c r="F491" s="29" t="s">
        <v>963</v>
      </c>
    </row>
    <row r="492" spans="1:6" ht="14.25" hidden="1" customHeight="1" x14ac:dyDescent="0.2">
      <c r="A492" s="29"/>
      <c r="B492" s="29">
        <v>64782302</v>
      </c>
      <c r="C492" s="29" t="s">
        <v>1528</v>
      </c>
      <c r="D492" s="29" t="s">
        <v>2136</v>
      </c>
      <c r="E492" s="29" t="s">
        <v>2138</v>
      </c>
      <c r="F492" s="29" t="s">
        <v>1905</v>
      </c>
    </row>
    <row r="493" spans="1:6" ht="14.25" hidden="1" customHeight="1" x14ac:dyDescent="0.2">
      <c r="A493" s="29"/>
      <c r="B493" s="29">
        <v>3351539</v>
      </c>
      <c r="C493" s="29" t="s">
        <v>1528</v>
      </c>
      <c r="D493" s="29" t="s">
        <v>2139</v>
      </c>
      <c r="E493" s="29" t="s">
        <v>1816</v>
      </c>
      <c r="F493" s="29" t="s">
        <v>1180</v>
      </c>
    </row>
    <row r="494" spans="1:6" ht="14.25" hidden="1" customHeight="1" x14ac:dyDescent="0.2">
      <c r="A494" s="63"/>
      <c r="B494" s="63">
        <v>83027002</v>
      </c>
      <c r="C494" s="63" t="s">
        <v>1528</v>
      </c>
      <c r="D494" s="63" t="s">
        <v>147</v>
      </c>
      <c r="E494" s="63" t="s">
        <v>1816</v>
      </c>
      <c r="F494" s="63" t="s">
        <v>1657</v>
      </c>
    </row>
    <row r="495" spans="1:6" ht="14.25" hidden="1" customHeight="1" x14ac:dyDescent="0.25">
      <c r="A495" s="29"/>
      <c r="B495" s="147">
        <v>45536</v>
      </c>
      <c r="C495" s="29"/>
      <c r="D495" s="29"/>
      <c r="E495" s="29"/>
      <c r="F495" s="29">
        <v>1</v>
      </c>
    </row>
    <row r="496" spans="1:6" ht="14.25" hidden="1" customHeight="1" x14ac:dyDescent="0.2">
      <c r="A496" s="29"/>
      <c r="B496" s="29">
        <v>21898003</v>
      </c>
      <c r="C496" s="29" t="s">
        <v>1543</v>
      </c>
      <c r="D496" s="29" t="s">
        <v>61</v>
      </c>
      <c r="E496" s="29" t="s">
        <v>1913</v>
      </c>
      <c r="F496" s="29" t="s">
        <v>1640</v>
      </c>
    </row>
    <row r="497" spans="1:6" ht="14.25" hidden="1" customHeight="1" x14ac:dyDescent="0.2">
      <c r="A497" s="29"/>
      <c r="B497" s="29">
        <v>43748203</v>
      </c>
      <c r="C497" s="29" t="s">
        <v>1543</v>
      </c>
      <c r="D497" s="29" t="s">
        <v>2140</v>
      </c>
      <c r="E497" s="29" t="s">
        <v>2141</v>
      </c>
      <c r="F497" s="29" t="s">
        <v>877</v>
      </c>
    </row>
    <row r="498" spans="1:6" ht="14.25" hidden="1" customHeight="1" x14ac:dyDescent="0.2">
      <c r="A498" s="152"/>
      <c r="B498" s="152">
        <v>75019402</v>
      </c>
      <c r="C498" s="152" t="s">
        <v>1543</v>
      </c>
      <c r="D498" s="152" t="s">
        <v>2142</v>
      </c>
      <c r="E498" s="152" t="s">
        <v>1868</v>
      </c>
      <c r="F498" s="152" t="s">
        <v>813</v>
      </c>
    </row>
    <row r="499" spans="1:6" ht="14.25" hidden="1" customHeight="1" x14ac:dyDescent="0.2">
      <c r="A499" s="29"/>
      <c r="B499" s="29">
        <v>58185503</v>
      </c>
      <c r="C499" s="29" t="s">
        <v>1637</v>
      </c>
      <c r="D499" s="29" t="s">
        <v>2143</v>
      </c>
      <c r="E499" s="29" t="s">
        <v>1866</v>
      </c>
      <c r="F499" s="29" t="s">
        <v>949</v>
      </c>
    </row>
    <row r="500" spans="1:6" ht="14.25" hidden="1" customHeight="1" x14ac:dyDescent="0.2">
      <c r="A500" s="29"/>
      <c r="B500" s="29">
        <v>65178203</v>
      </c>
      <c r="C500" s="29" t="s">
        <v>1528</v>
      </c>
      <c r="D500" s="29" t="s">
        <v>2143</v>
      </c>
      <c r="E500" s="29" t="s">
        <v>1774</v>
      </c>
      <c r="F500" s="29" t="s">
        <v>723</v>
      </c>
    </row>
    <row r="501" spans="1:6" ht="14.25" hidden="1" customHeight="1" x14ac:dyDescent="0.2">
      <c r="A501" s="29"/>
      <c r="B501" s="29">
        <v>59124103</v>
      </c>
      <c r="C501" s="29" t="s">
        <v>1637</v>
      </c>
      <c r="D501" s="29" t="s">
        <v>2144</v>
      </c>
      <c r="E501" s="29" t="s">
        <v>1660</v>
      </c>
      <c r="F501" s="29" t="s">
        <v>774</v>
      </c>
    </row>
    <row r="502" spans="1:6" ht="14.25" hidden="1" customHeight="1" x14ac:dyDescent="0.2">
      <c r="A502" s="29"/>
      <c r="B502" s="29">
        <v>58185503</v>
      </c>
      <c r="C502" s="29" t="s">
        <v>1528</v>
      </c>
      <c r="D502" s="29" t="s">
        <v>2145</v>
      </c>
      <c r="E502" s="29" t="s">
        <v>1816</v>
      </c>
      <c r="F502" s="29" t="s">
        <v>949</v>
      </c>
    </row>
    <row r="503" spans="1:6" ht="14.25" hidden="1" customHeight="1" x14ac:dyDescent="0.2">
      <c r="A503" s="29"/>
      <c r="B503" s="29">
        <v>20425302</v>
      </c>
      <c r="C503" s="29" t="s">
        <v>1543</v>
      </c>
      <c r="D503" s="29" t="s">
        <v>2144</v>
      </c>
      <c r="E503" s="29" t="s">
        <v>2146</v>
      </c>
      <c r="F503" s="29" t="s">
        <v>567</v>
      </c>
    </row>
    <row r="504" spans="1:6" ht="14.25" hidden="1" customHeight="1" x14ac:dyDescent="0.2">
      <c r="A504" s="29"/>
      <c r="B504" s="29">
        <v>59201203</v>
      </c>
      <c r="C504" s="29" t="s">
        <v>1528</v>
      </c>
      <c r="D504" s="29" t="s">
        <v>2147</v>
      </c>
      <c r="E504" s="29" t="s">
        <v>2148</v>
      </c>
      <c r="F504" s="29" t="s">
        <v>1017</v>
      </c>
    </row>
    <row r="505" spans="1:6" ht="14.25" hidden="1" customHeight="1" x14ac:dyDescent="0.2">
      <c r="A505" s="29"/>
      <c r="B505" s="38">
        <v>31404502</v>
      </c>
      <c r="C505" s="29" t="s">
        <v>1528</v>
      </c>
      <c r="D505" s="29" t="s">
        <v>2147</v>
      </c>
      <c r="E505" s="29" t="s">
        <v>1816</v>
      </c>
      <c r="F505" s="29" t="s">
        <v>1123</v>
      </c>
    </row>
    <row r="506" spans="1:6" ht="14.25" hidden="1" customHeight="1" x14ac:dyDescent="0.2">
      <c r="A506" s="29"/>
      <c r="B506" s="29">
        <v>59317703</v>
      </c>
      <c r="C506" s="29" t="s">
        <v>1543</v>
      </c>
      <c r="D506" s="29" t="s">
        <v>2149</v>
      </c>
      <c r="E506" s="29" t="s">
        <v>1927</v>
      </c>
      <c r="F506" s="29" t="s">
        <v>2150</v>
      </c>
    </row>
    <row r="507" spans="1:6" ht="14.25" hidden="1" customHeight="1" x14ac:dyDescent="0.2">
      <c r="A507" s="29"/>
      <c r="B507" s="29">
        <v>59317703</v>
      </c>
      <c r="C507" s="29" t="s">
        <v>1528</v>
      </c>
      <c r="D507" s="29" t="s">
        <v>2149</v>
      </c>
      <c r="E507" s="29" t="s">
        <v>1774</v>
      </c>
      <c r="F507" s="29" t="s">
        <v>2150</v>
      </c>
    </row>
    <row r="508" spans="1:6" ht="14.25" hidden="1" customHeight="1" x14ac:dyDescent="0.2">
      <c r="A508" s="29"/>
      <c r="B508" s="29">
        <v>41221502</v>
      </c>
      <c r="C508" s="29" t="s">
        <v>1543</v>
      </c>
      <c r="D508" s="29" t="s">
        <v>2149</v>
      </c>
      <c r="E508" s="29" t="s">
        <v>2151</v>
      </c>
      <c r="F508" s="29" t="s">
        <v>1139</v>
      </c>
    </row>
    <row r="509" spans="1:6" ht="14.25" hidden="1" customHeight="1" x14ac:dyDescent="0.2">
      <c r="A509" s="29"/>
      <c r="B509" s="29">
        <v>63109602</v>
      </c>
      <c r="C509" s="29" t="s">
        <v>1530</v>
      </c>
      <c r="D509" s="29" t="s">
        <v>2152</v>
      </c>
      <c r="E509" s="29" t="s">
        <v>1793</v>
      </c>
      <c r="F509" s="29" t="s">
        <v>1604</v>
      </c>
    </row>
    <row r="510" spans="1:6" ht="14.25" hidden="1" customHeight="1" x14ac:dyDescent="0.2">
      <c r="A510" s="29"/>
      <c r="B510" s="29">
        <v>45366702</v>
      </c>
      <c r="C510" s="29" t="s">
        <v>1528</v>
      </c>
      <c r="D510" s="29" t="s">
        <v>2152</v>
      </c>
      <c r="E510" s="29" t="s">
        <v>2153</v>
      </c>
      <c r="F510" s="29" t="s">
        <v>1569</v>
      </c>
    </row>
    <row r="511" spans="1:6" ht="14.25" hidden="1" customHeight="1" x14ac:dyDescent="0.2">
      <c r="A511" s="29"/>
      <c r="B511" s="29">
        <v>43748203</v>
      </c>
      <c r="C511" s="29" t="s">
        <v>1528</v>
      </c>
      <c r="D511" s="29" t="s">
        <v>2154</v>
      </c>
      <c r="E511" s="29" t="s">
        <v>2155</v>
      </c>
      <c r="F511" s="29" t="s">
        <v>877</v>
      </c>
    </row>
    <row r="512" spans="1:6" ht="14.25" hidden="1" customHeight="1" x14ac:dyDescent="0.2">
      <c r="A512" s="29"/>
      <c r="B512" s="38">
        <v>65388703</v>
      </c>
      <c r="C512" s="29" t="s">
        <v>1528</v>
      </c>
      <c r="D512" s="29" t="s">
        <v>2156</v>
      </c>
      <c r="E512" s="29" t="s">
        <v>2157</v>
      </c>
      <c r="F512" s="29" t="s">
        <v>1027</v>
      </c>
    </row>
    <row r="513" spans="1:6" ht="14.25" hidden="1" customHeight="1" x14ac:dyDescent="0.2">
      <c r="A513" s="29"/>
      <c r="B513" s="29">
        <v>12198203</v>
      </c>
      <c r="C513" s="29" t="s">
        <v>1637</v>
      </c>
      <c r="D513" s="29" t="s">
        <v>2156</v>
      </c>
      <c r="E513" s="29" t="s">
        <v>2027</v>
      </c>
      <c r="F513" s="29" t="s">
        <v>1588</v>
      </c>
    </row>
    <row r="514" spans="1:6" ht="14.25" hidden="1" customHeight="1" x14ac:dyDescent="0.2">
      <c r="A514" s="29"/>
      <c r="B514" s="29">
        <v>89137102</v>
      </c>
      <c r="C514" s="29" t="s">
        <v>1528</v>
      </c>
      <c r="D514" s="29" t="s">
        <v>2130</v>
      </c>
      <c r="E514" s="29" t="s">
        <v>1816</v>
      </c>
      <c r="F514" s="29" t="s">
        <v>663</v>
      </c>
    </row>
    <row r="515" spans="1:6" ht="14.25" hidden="1" customHeight="1" x14ac:dyDescent="0.2">
      <c r="A515" s="29"/>
      <c r="B515" s="29">
        <v>45366702</v>
      </c>
      <c r="C515" s="29" t="s">
        <v>1543</v>
      </c>
      <c r="D515" s="29" t="s">
        <v>945</v>
      </c>
      <c r="E515" s="29" t="s">
        <v>2158</v>
      </c>
      <c r="F515" s="29" t="s">
        <v>1569</v>
      </c>
    </row>
    <row r="516" spans="1:6" ht="14.25" hidden="1" customHeight="1" x14ac:dyDescent="0.2">
      <c r="A516" s="29"/>
      <c r="B516" s="29">
        <v>42950702</v>
      </c>
      <c r="C516" s="29" t="s">
        <v>1528</v>
      </c>
      <c r="D516" s="29" t="s">
        <v>2159</v>
      </c>
      <c r="E516" s="29" t="s">
        <v>2160</v>
      </c>
      <c r="F516" s="29" t="s">
        <v>1246</v>
      </c>
    </row>
    <row r="517" spans="1:6" ht="14.25" hidden="1" customHeight="1" x14ac:dyDescent="0.2">
      <c r="A517" s="29"/>
      <c r="B517" s="29">
        <v>59032903</v>
      </c>
      <c r="C517" s="29" t="s">
        <v>1528</v>
      </c>
      <c r="D517" s="29" t="s">
        <v>2161</v>
      </c>
      <c r="E517" s="29" t="s">
        <v>2162</v>
      </c>
      <c r="F517" s="29" t="s">
        <v>539</v>
      </c>
    </row>
    <row r="518" spans="1:6" ht="14.25" hidden="1" customHeight="1" x14ac:dyDescent="0.2">
      <c r="A518" s="29"/>
      <c r="B518" s="29">
        <v>17053103</v>
      </c>
      <c r="C518" s="29" t="s">
        <v>1530</v>
      </c>
      <c r="D518" s="29" t="s">
        <v>2161</v>
      </c>
      <c r="E518" s="29" t="s">
        <v>1616</v>
      </c>
      <c r="F518" s="29" t="s">
        <v>919</v>
      </c>
    </row>
    <row r="519" spans="1:6" ht="14.25" hidden="1" customHeight="1" x14ac:dyDescent="0.2">
      <c r="A519" s="29"/>
      <c r="B519" s="29">
        <v>28491903</v>
      </c>
      <c r="C519" s="29" t="s">
        <v>1530</v>
      </c>
      <c r="D519" s="29" t="s">
        <v>2161</v>
      </c>
      <c r="E519" s="29" t="s">
        <v>1889</v>
      </c>
      <c r="F519" s="29" t="s">
        <v>501</v>
      </c>
    </row>
    <row r="520" spans="1:6" ht="14.25" hidden="1" customHeight="1" x14ac:dyDescent="0.2">
      <c r="A520" s="29"/>
      <c r="B520" s="29">
        <v>22187603</v>
      </c>
      <c r="C520" s="29" t="s">
        <v>1528</v>
      </c>
      <c r="D520" s="29" t="s">
        <v>2161</v>
      </c>
      <c r="E520" s="29" t="s">
        <v>1774</v>
      </c>
      <c r="F520" s="29" t="s">
        <v>1598</v>
      </c>
    </row>
    <row r="521" spans="1:6" ht="14.25" hidden="1" customHeight="1" x14ac:dyDescent="0.2">
      <c r="A521" s="29"/>
      <c r="B521" s="29">
        <v>59321401</v>
      </c>
      <c r="C521" s="29" t="s">
        <v>1528</v>
      </c>
      <c r="D521" s="29" t="s">
        <v>2163</v>
      </c>
      <c r="E521" s="29" t="s">
        <v>1850</v>
      </c>
      <c r="F521" s="29" t="s">
        <v>844</v>
      </c>
    </row>
    <row r="522" spans="1:6" ht="14.25" hidden="1" customHeight="1" x14ac:dyDescent="0.2">
      <c r="A522" s="29"/>
      <c r="B522" s="29">
        <v>59201203</v>
      </c>
      <c r="C522" s="29" t="s">
        <v>1528</v>
      </c>
      <c r="D522" s="29" t="s">
        <v>2164</v>
      </c>
      <c r="E522" s="29" t="s">
        <v>2079</v>
      </c>
      <c r="F522" s="29" t="s">
        <v>1017</v>
      </c>
    </row>
    <row r="523" spans="1:6" ht="14.25" hidden="1" customHeight="1" x14ac:dyDescent="0.2">
      <c r="A523" s="29"/>
      <c r="B523" s="29">
        <v>12198203</v>
      </c>
      <c r="C523" s="29" t="s">
        <v>1528</v>
      </c>
      <c r="D523" s="29" t="s">
        <v>2165</v>
      </c>
      <c r="E523" s="29" t="s">
        <v>1774</v>
      </c>
      <c r="F523" s="29" t="s">
        <v>1588</v>
      </c>
    </row>
    <row r="524" spans="1:6" ht="14.25" hidden="1" customHeight="1" x14ac:dyDescent="0.25">
      <c r="A524" s="29"/>
      <c r="B524" s="147">
        <v>45566</v>
      </c>
      <c r="C524" s="29"/>
      <c r="D524" s="29"/>
      <c r="E524" s="29"/>
      <c r="F524" s="145" t="s">
        <v>2166</v>
      </c>
    </row>
    <row r="525" spans="1:6" ht="14.25" hidden="1" customHeight="1" x14ac:dyDescent="0.2">
      <c r="A525" s="29"/>
      <c r="B525" s="29">
        <v>42949102</v>
      </c>
      <c r="C525" s="29" t="s">
        <v>1530</v>
      </c>
      <c r="D525" s="29" t="s">
        <v>2167</v>
      </c>
      <c r="E525" s="29" t="s">
        <v>2168</v>
      </c>
      <c r="F525" s="29" t="s">
        <v>709</v>
      </c>
    </row>
    <row r="526" spans="1:6" ht="14.25" hidden="1" customHeight="1" x14ac:dyDescent="0.2">
      <c r="A526" s="29"/>
      <c r="B526" s="93">
        <v>61872202</v>
      </c>
      <c r="C526" s="29" t="s">
        <v>1528</v>
      </c>
      <c r="D526" s="29" t="s">
        <v>2167</v>
      </c>
      <c r="E526" s="29" t="s">
        <v>1774</v>
      </c>
      <c r="F526" s="29" t="s">
        <v>892</v>
      </c>
    </row>
    <row r="527" spans="1:6" ht="14.25" hidden="1" customHeight="1" x14ac:dyDescent="0.2">
      <c r="A527" s="29"/>
      <c r="B527" s="29">
        <v>50258603</v>
      </c>
      <c r="C527" s="29" t="s">
        <v>1637</v>
      </c>
      <c r="D527" s="29" t="s">
        <v>2169</v>
      </c>
      <c r="E527" s="29" t="s">
        <v>1994</v>
      </c>
      <c r="F527" s="29" t="s">
        <v>881</v>
      </c>
    </row>
    <row r="528" spans="1:6" ht="14.25" hidden="1" customHeight="1" x14ac:dyDescent="0.2">
      <c r="A528" s="29"/>
      <c r="B528" s="29">
        <v>43747603</v>
      </c>
      <c r="C528" s="29" t="s">
        <v>1530</v>
      </c>
      <c r="D528" s="29" t="s">
        <v>2169</v>
      </c>
      <c r="E528" s="29" t="s">
        <v>1843</v>
      </c>
      <c r="F528" s="29" t="s">
        <v>1254</v>
      </c>
    </row>
    <row r="529" spans="1:6" ht="14.25" hidden="1" customHeight="1" x14ac:dyDescent="0.2">
      <c r="A529" s="29"/>
      <c r="B529" s="29">
        <v>22187603</v>
      </c>
      <c r="C529" s="29" t="s">
        <v>1637</v>
      </c>
      <c r="D529" s="29" t="s">
        <v>2169</v>
      </c>
      <c r="E529" s="29" t="s">
        <v>1934</v>
      </c>
      <c r="F529" s="29" t="s">
        <v>1598</v>
      </c>
    </row>
    <row r="530" spans="1:6" ht="14.25" hidden="1" customHeight="1" x14ac:dyDescent="0.2">
      <c r="A530" s="29"/>
      <c r="B530" s="29">
        <v>55423702</v>
      </c>
      <c r="C530" s="29" t="s">
        <v>1543</v>
      </c>
      <c r="D530" s="29" t="s">
        <v>2169</v>
      </c>
      <c r="E530" s="29" t="s">
        <v>1875</v>
      </c>
      <c r="F530" s="29" t="s">
        <v>897</v>
      </c>
    </row>
    <row r="531" spans="1:6" ht="14.25" hidden="1" customHeight="1" x14ac:dyDescent="0.2">
      <c r="A531" s="29"/>
      <c r="B531" s="29">
        <v>83774102</v>
      </c>
      <c r="C531" s="29" t="s">
        <v>1543</v>
      </c>
      <c r="D531" s="29" t="s">
        <v>2170</v>
      </c>
      <c r="E531" s="29" t="s">
        <v>1629</v>
      </c>
      <c r="F531" s="29" t="s">
        <v>1944</v>
      </c>
    </row>
    <row r="532" spans="1:6" ht="14.25" hidden="1" customHeight="1" x14ac:dyDescent="0.2">
      <c r="A532" s="29"/>
      <c r="B532" s="29">
        <v>21705703</v>
      </c>
      <c r="C532" s="29" t="s">
        <v>1528</v>
      </c>
      <c r="D532" s="29" t="s">
        <v>2170</v>
      </c>
      <c r="E532" s="29" t="s">
        <v>1831</v>
      </c>
      <c r="F532" s="29" t="s">
        <v>1225</v>
      </c>
    </row>
    <row r="533" spans="1:6" ht="14.25" hidden="1" customHeight="1" x14ac:dyDescent="0.2">
      <c r="A533" s="29"/>
      <c r="B533" s="29">
        <v>65388703</v>
      </c>
      <c r="C533" s="29" t="s">
        <v>1543</v>
      </c>
      <c r="D533" s="29" t="s">
        <v>2149</v>
      </c>
      <c r="E533" s="29" t="s">
        <v>1584</v>
      </c>
      <c r="F533" s="29" t="s">
        <v>1027</v>
      </c>
    </row>
    <row r="534" spans="1:6" ht="14.25" hidden="1" customHeight="1" x14ac:dyDescent="0.2">
      <c r="A534" s="29"/>
      <c r="B534" s="29">
        <v>12198203</v>
      </c>
      <c r="C534" s="29" t="s">
        <v>1528</v>
      </c>
      <c r="D534" s="29" t="s">
        <v>2171</v>
      </c>
      <c r="E534" s="29" t="s">
        <v>2172</v>
      </c>
      <c r="F534" s="29" t="s">
        <v>1588</v>
      </c>
    </row>
    <row r="535" spans="1:6" ht="14.25" hidden="1" customHeight="1" x14ac:dyDescent="0.2">
      <c r="A535" s="29"/>
      <c r="B535" s="29">
        <v>83774102</v>
      </c>
      <c r="C535" s="29" t="s">
        <v>1528</v>
      </c>
      <c r="D535" s="29" t="s">
        <v>2171</v>
      </c>
      <c r="E535" s="29" t="s">
        <v>1816</v>
      </c>
      <c r="F535" s="29" t="s">
        <v>1944</v>
      </c>
    </row>
    <row r="536" spans="1:6" ht="14.25" hidden="1" customHeight="1" x14ac:dyDescent="0.2">
      <c r="A536" s="29"/>
      <c r="B536" s="29">
        <v>65178203</v>
      </c>
      <c r="C536" s="29" t="s">
        <v>1528</v>
      </c>
      <c r="D536" s="29" t="s">
        <v>957</v>
      </c>
      <c r="E536" s="29" t="s">
        <v>1916</v>
      </c>
      <c r="F536" s="29" t="s">
        <v>723</v>
      </c>
    </row>
    <row r="537" spans="1:6" ht="14.25" hidden="1" customHeight="1" x14ac:dyDescent="0.2">
      <c r="A537" s="29"/>
      <c r="B537" s="29">
        <v>50574503</v>
      </c>
      <c r="C537" s="29" t="s">
        <v>1528</v>
      </c>
      <c r="D537" s="29" t="s">
        <v>2173</v>
      </c>
      <c r="E537" s="29" t="s">
        <v>1977</v>
      </c>
      <c r="F537" s="29" t="s">
        <v>937</v>
      </c>
    </row>
    <row r="538" spans="1:6" ht="14.25" hidden="1" customHeight="1" x14ac:dyDescent="0.2">
      <c r="A538" s="29"/>
      <c r="B538" s="93">
        <v>64792303</v>
      </c>
      <c r="C538" s="29" t="s">
        <v>2174</v>
      </c>
      <c r="D538" s="29" t="s">
        <v>2175</v>
      </c>
      <c r="E538" s="29" t="s">
        <v>2137</v>
      </c>
      <c r="F538" s="29" t="s">
        <v>980</v>
      </c>
    </row>
    <row r="539" spans="1:6" ht="14.25" customHeight="1" x14ac:dyDescent="0.2">
      <c r="A539" s="29"/>
      <c r="B539" s="38">
        <v>65144703</v>
      </c>
      <c r="C539" s="29" t="s">
        <v>1528</v>
      </c>
      <c r="D539" s="29" t="s">
        <v>2176</v>
      </c>
      <c r="E539" s="29" t="s">
        <v>1774</v>
      </c>
      <c r="F539" s="29" t="s">
        <v>963</v>
      </c>
    </row>
    <row r="540" spans="1:6" ht="14.25" hidden="1" customHeight="1" x14ac:dyDescent="0.2">
      <c r="A540" s="29"/>
      <c r="B540" s="29">
        <v>66723902</v>
      </c>
      <c r="C540" s="29" t="s">
        <v>1530</v>
      </c>
      <c r="D540" s="29" t="s">
        <v>2177</v>
      </c>
      <c r="E540" s="29" t="s">
        <v>2178</v>
      </c>
      <c r="F540" s="29" t="s">
        <v>671</v>
      </c>
    </row>
    <row r="541" spans="1:6" ht="14.25" hidden="1" customHeight="1" x14ac:dyDescent="0.2">
      <c r="A541" s="63"/>
      <c r="B541" s="63">
        <v>21705703</v>
      </c>
      <c r="C541" s="63" t="s">
        <v>1543</v>
      </c>
      <c r="D541" s="63" t="s">
        <v>2179</v>
      </c>
      <c r="E541" s="63" t="s">
        <v>1616</v>
      </c>
      <c r="F541" s="63" t="s">
        <v>1225</v>
      </c>
    </row>
    <row r="542" spans="1:6" ht="14.25" hidden="1" customHeight="1" x14ac:dyDescent="0.2">
      <c r="A542" s="29"/>
      <c r="B542" s="29">
        <v>64078501</v>
      </c>
      <c r="C542" s="29" t="s">
        <v>1543</v>
      </c>
      <c r="D542" s="29" t="s">
        <v>2179</v>
      </c>
      <c r="E542" s="29" t="s">
        <v>2180</v>
      </c>
      <c r="F542" s="29" t="s">
        <v>1135</v>
      </c>
    </row>
    <row r="543" spans="1:6" ht="14.25" hidden="1" customHeight="1" x14ac:dyDescent="0.2">
      <c r="A543" s="29"/>
      <c r="B543" s="29">
        <v>59317703</v>
      </c>
      <c r="C543" s="29" t="s">
        <v>1530</v>
      </c>
      <c r="D543" s="29" t="s">
        <v>2181</v>
      </c>
      <c r="E543" s="29" t="s">
        <v>1951</v>
      </c>
      <c r="F543" s="29" t="s">
        <v>2150</v>
      </c>
    </row>
    <row r="544" spans="1:6" ht="14.25" hidden="1" customHeight="1" x14ac:dyDescent="0.2">
      <c r="A544" s="29"/>
      <c r="B544" s="29">
        <v>65178203</v>
      </c>
      <c r="C544" s="29" t="s">
        <v>1543</v>
      </c>
      <c r="D544" s="29" t="s">
        <v>2182</v>
      </c>
      <c r="E544" s="29" t="s">
        <v>1843</v>
      </c>
      <c r="F544" s="29" t="s">
        <v>723</v>
      </c>
    </row>
    <row r="545" spans="1:6" ht="14.25" hidden="1" customHeight="1" x14ac:dyDescent="0.2">
      <c r="A545" s="29"/>
      <c r="B545" s="29">
        <v>22045903</v>
      </c>
      <c r="C545" s="29" t="s">
        <v>1530</v>
      </c>
      <c r="D545" s="29" t="s">
        <v>2182</v>
      </c>
      <c r="E545" s="29" t="s">
        <v>2183</v>
      </c>
      <c r="F545" s="29" t="s">
        <v>1394</v>
      </c>
    </row>
    <row r="546" spans="1:6" ht="14.25" hidden="1" customHeight="1" x14ac:dyDescent="0.25">
      <c r="A546" s="29"/>
      <c r="B546" s="147">
        <v>45597</v>
      </c>
      <c r="C546" s="29"/>
      <c r="D546" s="29"/>
      <c r="E546" s="26"/>
      <c r="F546" s="26">
        <v>1</v>
      </c>
    </row>
    <row r="547" spans="1:6" ht="14.25" hidden="1" customHeight="1" x14ac:dyDescent="0.2">
      <c r="A547" s="29"/>
      <c r="B547" s="29">
        <v>40399103</v>
      </c>
      <c r="C547" s="29" t="s">
        <v>1543</v>
      </c>
      <c r="D547" s="29" t="s">
        <v>2184</v>
      </c>
      <c r="E547" s="29" t="s">
        <v>1868</v>
      </c>
      <c r="F547" s="29" t="s">
        <v>1626</v>
      </c>
    </row>
    <row r="548" spans="1:6" ht="14.25" hidden="1" customHeight="1" x14ac:dyDescent="0.2">
      <c r="A548" s="29"/>
      <c r="B548" s="29">
        <v>75170102</v>
      </c>
      <c r="C548" s="29" t="s">
        <v>1543</v>
      </c>
      <c r="D548" s="29" t="s">
        <v>2185</v>
      </c>
      <c r="E548" s="29" t="s">
        <v>2010</v>
      </c>
      <c r="F548" s="29" t="s">
        <v>1307</v>
      </c>
    </row>
    <row r="549" spans="1:6" ht="14.25" hidden="1" customHeight="1" x14ac:dyDescent="0.2">
      <c r="A549" s="29"/>
      <c r="B549" s="29">
        <v>42008902</v>
      </c>
      <c r="C549" s="29" t="s">
        <v>1543</v>
      </c>
      <c r="D549" s="29" t="s">
        <v>2185</v>
      </c>
      <c r="E549" s="29" t="s">
        <v>1934</v>
      </c>
      <c r="F549" s="29" t="s">
        <v>1549</v>
      </c>
    </row>
    <row r="550" spans="1:6" ht="14.25" hidden="1" customHeight="1" x14ac:dyDescent="0.2">
      <c r="A550" s="29"/>
      <c r="B550" s="29">
        <v>63109602</v>
      </c>
      <c r="C550" s="29" t="s">
        <v>1530</v>
      </c>
      <c r="D550" s="29" t="s">
        <v>2186</v>
      </c>
      <c r="E550" s="29" t="s">
        <v>1948</v>
      </c>
      <c r="F550" s="29" t="s">
        <v>1604</v>
      </c>
    </row>
    <row r="551" spans="1:6" ht="14.25" hidden="1" customHeight="1" x14ac:dyDescent="0.2">
      <c r="A551" s="49"/>
      <c r="B551" s="47">
        <v>40399103</v>
      </c>
      <c r="C551" s="49" t="s">
        <v>1528</v>
      </c>
      <c r="D551" s="49" t="s">
        <v>2187</v>
      </c>
      <c r="E551" s="49" t="s">
        <v>1712</v>
      </c>
      <c r="F551" s="49" t="s">
        <v>2188</v>
      </c>
    </row>
    <row r="552" spans="1:6" ht="14.25" hidden="1" customHeight="1" x14ac:dyDescent="0.2">
      <c r="A552" s="29"/>
      <c r="B552" s="29">
        <v>17053103</v>
      </c>
      <c r="C552" s="29" t="s">
        <v>1543</v>
      </c>
      <c r="D552" s="29" t="s">
        <v>2189</v>
      </c>
      <c r="E552" s="29" t="s">
        <v>2190</v>
      </c>
      <c r="F552" s="29" t="s">
        <v>919</v>
      </c>
    </row>
    <row r="553" spans="1:6" ht="14.25" hidden="1" customHeight="1" x14ac:dyDescent="0.2">
      <c r="A553" s="29"/>
      <c r="B553" s="29">
        <v>75169702</v>
      </c>
      <c r="C553" s="29" t="s">
        <v>1543</v>
      </c>
      <c r="D553" s="29" t="s">
        <v>2191</v>
      </c>
      <c r="E553" s="29" t="s">
        <v>1616</v>
      </c>
      <c r="F553" s="29" t="s">
        <v>381</v>
      </c>
    </row>
    <row r="554" spans="1:6" ht="14.25" hidden="1" customHeight="1" x14ac:dyDescent="0.2">
      <c r="A554" s="29"/>
      <c r="B554" s="29">
        <v>59201203</v>
      </c>
      <c r="C554" s="29" t="s">
        <v>1543</v>
      </c>
      <c r="D554" s="29" t="s">
        <v>2191</v>
      </c>
      <c r="E554" s="29" t="s">
        <v>1629</v>
      </c>
      <c r="F554" s="29" t="s">
        <v>1017</v>
      </c>
    </row>
    <row r="555" spans="1:6" ht="14.25" hidden="1" customHeight="1" x14ac:dyDescent="0.2">
      <c r="A555" s="29"/>
      <c r="B555" s="29">
        <v>22187603</v>
      </c>
      <c r="C555" s="29" t="s">
        <v>1637</v>
      </c>
      <c r="D555" s="29" t="s">
        <v>25</v>
      </c>
      <c r="E555" s="29" t="s">
        <v>2102</v>
      </c>
      <c r="F555" s="29" t="s">
        <v>1598</v>
      </c>
    </row>
    <row r="556" spans="1:6" ht="14.25" hidden="1" customHeight="1" x14ac:dyDescent="0.2">
      <c r="A556" s="29"/>
      <c r="B556" s="38">
        <v>75169702</v>
      </c>
      <c r="C556" s="29" t="s">
        <v>1528</v>
      </c>
      <c r="D556" s="29" t="s">
        <v>25</v>
      </c>
      <c r="E556" s="29" t="s">
        <v>1816</v>
      </c>
      <c r="F556" s="29" t="s">
        <v>381</v>
      </c>
    </row>
    <row r="557" spans="1:6" ht="14.25" hidden="1" customHeight="1" x14ac:dyDescent="0.2">
      <c r="A557" s="29"/>
      <c r="B557" s="29">
        <v>42009002</v>
      </c>
      <c r="C557" s="29" t="s">
        <v>1528</v>
      </c>
      <c r="D557" s="29" t="s">
        <v>25</v>
      </c>
      <c r="E557" s="29" t="s">
        <v>1774</v>
      </c>
      <c r="F557" s="29" t="s">
        <v>1610</v>
      </c>
    </row>
    <row r="558" spans="1:6" ht="14.25" hidden="1" customHeight="1" x14ac:dyDescent="0.2">
      <c r="A558" s="29"/>
      <c r="B558" s="29">
        <v>44480903</v>
      </c>
      <c r="C558" s="29" t="s">
        <v>1543</v>
      </c>
      <c r="D558" s="29" t="s">
        <v>2192</v>
      </c>
      <c r="E558" s="29" t="s">
        <v>1901</v>
      </c>
      <c r="F558" s="29" t="s">
        <v>2193</v>
      </c>
    </row>
    <row r="559" spans="1:6" ht="14.25" hidden="1" customHeight="1" x14ac:dyDescent="0.25">
      <c r="A559" s="29"/>
      <c r="B559" s="147">
        <v>45627</v>
      </c>
      <c r="C559" s="29"/>
      <c r="D559" s="29"/>
      <c r="E559" s="29"/>
      <c r="F559" s="29">
        <v>1</v>
      </c>
    </row>
    <row r="560" spans="1:6" ht="14.25" hidden="1" customHeight="1" x14ac:dyDescent="0.2">
      <c r="A560" s="29"/>
      <c r="B560" s="29">
        <v>43748303</v>
      </c>
      <c r="C560" s="29" t="s">
        <v>1543</v>
      </c>
      <c r="D560" s="29" t="s">
        <v>2194</v>
      </c>
      <c r="E560" s="29" t="s">
        <v>1609</v>
      </c>
      <c r="F560" s="29" t="s">
        <v>802</v>
      </c>
    </row>
    <row r="561" spans="1:6" ht="14.25" hidden="1" customHeight="1" x14ac:dyDescent="0.2">
      <c r="A561" s="29"/>
      <c r="B561" s="29">
        <v>50274503</v>
      </c>
      <c r="C561" s="29" t="s">
        <v>1530</v>
      </c>
      <c r="D561" s="29" t="s">
        <v>2194</v>
      </c>
      <c r="E561" s="29" t="s">
        <v>1659</v>
      </c>
      <c r="F561" s="29" t="s">
        <v>937</v>
      </c>
    </row>
    <row r="562" spans="1:6" ht="15.75" hidden="1" customHeight="1" x14ac:dyDescent="0.2">
      <c r="A562" s="29"/>
      <c r="B562" s="29">
        <v>63765702</v>
      </c>
      <c r="C562" s="29" t="s">
        <v>1528</v>
      </c>
      <c r="D562" s="29" t="s">
        <v>2195</v>
      </c>
      <c r="E562" s="29" t="s">
        <v>1731</v>
      </c>
      <c r="F562" s="29" t="s">
        <v>1351</v>
      </c>
    </row>
    <row r="563" spans="1:6" ht="15.75" hidden="1" customHeight="1" x14ac:dyDescent="0.2">
      <c r="A563" s="29"/>
      <c r="B563" s="29">
        <v>45366802</v>
      </c>
      <c r="C563" s="29" t="s">
        <v>1528</v>
      </c>
      <c r="D563" s="29" t="s">
        <v>2196</v>
      </c>
      <c r="E563" s="29" t="s">
        <v>2197</v>
      </c>
      <c r="F563" s="29" t="s">
        <v>2049</v>
      </c>
    </row>
    <row r="564" spans="1:6" ht="15.75" hidden="1" customHeight="1" x14ac:dyDescent="0.2">
      <c r="A564" s="29"/>
      <c r="B564" s="29">
        <v>45366502</v>
      </c>
      <c r="C564" s="29" t="s">
        <v>1543</v>
      </c>
      <c r="D564" s="29" t="s">
        <v>2198</v>
      </c>
      <c r="E564" s="29" t="s">
        <v>2199</v>
      </c>
      <c r="F564" s="29" t="s">
        <v>1066</v>
      </c>
    </row>
    <row r="565" spans="1:6" ht="15.75" hidden="1" customHeight="1" x14ac:dyDescent="0.2">
      <c r="A565" s="29"/>
      <c r="B565" s="29">
        <v>65178203</v>
      </c>
      <c r="C565" s="29" t="s">
        <v>1543</v>
      </c>
      <c r="D565" s="29" t="s">
        <v>2198</v>
      </c>
      <c r="E565" s="29" t="s">
        <v>1737</v>
      </c>
      <c r="F565" s="29" t="s">
        <v>723</v>
      </c>
    </row>
    <row r="566" spans="1:6" ht="15.75" hidden="1" customHeight="1" x14ac:dyDescent="0.2">
      <c r="A566" s="29"/>
      <c r="B566" s="29">
        <v>42949102</v>
      </c>
      <c r="C566" s="29" t="s">
        <v>1528</v>
      </c>
      <c r="D566" s="29" t="s">
        <v>2200</v>
      </c>
      <c r="E566" s="29" t="s">
        <v>1836</v>
      </c>
      <c r="F566" s="29" t="s">
        <v>709</v>
      </c>
    </row>
    <row r="567" spans="1:6" ht="15.75" hidden="1" customHeight="1" x14ac:dyDescent="0.2">
      <c r="A567" s="29"/>
      <c r="B567" s="29">
        <v>89137102</v>
      </c>
      <c r="C567" s="29" t="s">
        <v>1530</v>
      </c>
      <c r="D567" s="29" t="s">
        <v>2201</v>
      </c>
      <c r="E567" s="29" t="s">
        <v>1616</v>
      </c>
      <c r="F567" s="29" t="s">
        <v>663</v>
      </c>
    </row>
    <row r="568" spans="1:6" ht="15.75" hidden="1" customHeight="1" x14ac:dyDescent="0.2">
      <c r="A568" s="29"/>
      <c r="B568" s="29">
        <v>45366802</v>
      </c>
      <c r="C568" s="29" t="s">
        <v>1528</v>
      </c>
      <c r="D568" s="29" t="s">
        <v>2202</v>
      </c>
      <c r="E568" s="29" t="s">
        <v>2203</v>
      </c>
      <c r="F568" s="29" t="s">
        <v>2049</v>
      </c>
    </row>
    <row r="569" spans="1:6" ht="15.75" hidden="1" customHeight="1" x14ac:dyDescent="0.2">
      <c r="A569" s="29"/>
      <c r="B569" s="29">
        <v>59317903</v>
      </c>
      <c r="C569" s="29" t="s">
        <v>1543</v>
      </c>
      <c r="D569" s="29" t="s">
        <v>2204</v>
      </c>
      <c r="E569" s="29" t="s">
        <v>2205</v>
      </c>
      <c r="F569" s="29" t="s">
        <v>994</v>
      </c>
    </row>
    <row r="570" spans="1:6" ht="15.75" hidden="1" customHeight="1" x14ac:dyDescent="0.2">
      <c r="A570" s="29"/>
      <c r="B570" s="29">
        <v>59317703</v>
      </c>
      <c r="C570" s="29" t="s">
        <v>1543</v>
      </c>
      <c r="D570" s="29" t="s">
        <v>2204</v>
      </c>
      <c r="E570" s="29" t="s">
        <v>1660</v>
      </c>
      <c r="F570" s="29" t="s">
        <v>2150</v>
      </c>
    </row>
    <row r="571" spans="1:6" ht="15.75" hidden="1" customHeight="1" x14ac:dyDescent="0.2">
      <c r="A571" s="29"/>
      <c r="B571" s="29">
        <v>59317703</v>
      </c>
      <c r="C571" s="29" t="s">
        <v>1528</v>
      </c>
      <c r="D571" s="29" t="s">
        <v>2206</v>
      </c>
      <c r="E571" s="29" t="s">
        <v>1816</v>
      </c>
      <c r="F571" s="29" t="s">
        <v>2150</v>
      </c>
    </row>
    <row r="572" spans="1:6" ht="15.75" hidden="1" customHeight="1" x14ac:dyDescent="0.2">
      <c r="A572" s="29"/>
      <c r="B572" s="29">
        <v>65178203</v>
      </c>
      <c r="C572" s="29" t="s">
        <v>1528</v>
      </c>
      <c r="D572" s="29" t="s">
        <v>2207</v>
      </c>
      <c r="E572" s="29" t="s">
        <v>1774</v>
      </c>
      <c r="F572" s="29" t="s">
        <v>723</v>
      </c>
    </row>
    <row r="573" spans="1:6" ht="15.75" hidden="1" customHeight="1" x14ac:dyDescent="0.2">
      <c r="A573" s="29"/>
      <c r="B573" s="29">
        <v>75019402</v>
      </c>
      <c r="C573" s="29" t="s">
        <v>1543</v>
      </c>
      <c r="D573" s="29" t="s">
        <v>2207</v>
      </c>
      <c r="E573" s="29" t="s">
        <v>2208</v>
      </c>
      <c r="F573" s="29" t="s">
        <v>813</v>
      </c>
    </row>
    <row r="574" spans="1:6" ht="15.75" hidden="1" customHeight="1" x14ac:dyDescent="0.2">
      <c r="A574" s="29"/>
      <c r="B574" s="29">
        <v>21897903</v>
      </c>
      <c r="C574" s="29" t="s">
        <v>1530</v>
      </c>
      <c r="D574" s="29" t="s">
        <v>2207</v>
      </c>
      <c r="E574" s="29" t="s">
        <v>1629</v>
      </c>
      <c r="F574" s="29" t="s">
        <v>552</v>
      </c>
    </row>
    <row r="575" spans="1:6" ht="15.75" hidden="1" customHeight="1" x14ac:dyDescent="0.2">
      <c r="A575" s="29"/>
      <c r="B575" s="29">
        <v>31404802</v>
      </c>
      <c r="C575" s="29" t="s">
        <v>1528</v>
      </c>
      <c r="D575" s="29" t="s">
        <v>296</v>
      </c>
      <c r="E575" s="29" t="s">
        <v>2209</v>
      </c>
      <c r="F575" s="29" t="s">
        <v>697</v>
      </c>
    </row>
    <row r="576" spans="1:6" ht="15.75" hidden="1" customHeight="1" x14ac:dyDescent="0.2">
      <c r="A576" s="29"/>
      <c r="B576" s="29">
        <v>40399103</v>
      </c>
      <c r="C576" s="29" t="s">
        <v>1543</v>
      </c>
      <c r="D576" s="29" t="s">
        <v>296</v>
      </c>
      <c r="E576" s="29" t="s">
        <v>2210</v>
      </c>
      <c r="F576" s="29" t="s">
        <v>1626</v>
      </c>
    </row>
    <row r="577" spans="1:26" ht="15.75" hidden="1" customHeight="1" x14ac:dyDescent="0.25">
      <c r="A577" s="29"/>
      <c r="B577" s="147">
        <v>45658</v>
      </c>
      <c r="C577" s="29"/>
      <c r="D577" s="29"/>
      <c r="E577" s="29"/>
      <c r="F577" s="29">
        <v>1</v>
      </c>
    </row>
    <row r="578" spans="1:26" ht="15.75" hidden="1" customHeight="1" x14ac:dyDescent="0.2">
      <c r="A578" s="29"/>
      <c r="B578" s="29">
        <v>59032903</v>
      </c>
      <c r="C578" s="29" t="s">
        <v>1528</v>
      </c>
      <c r="D578" s="29" t="s">
        <v>295</v>
      </c>
      <c r="E578" s="29" t="s">
        <v>2211</v>
      </c>
      <c r="F578" s="29" t="s">
        <v>539</v>
      </c>
    </row>
    <row r="579" spans="1:26" ht="15.75" hidden="1" customHeight="1" x14ac:dyDescent="0.2">
      <c r="A579" s="29"/>
      <c r="B579" s="29">
        <v>83027002</v>
      </c>
      <c r="C579" s="29" t="s">
        <v>1637</v>
      </c>
      <c r="D579" s="29" t="s">
        <v>295</v>
      </c>
      <c r="E579" s="29" t="s">
        <v>2027</v>
      </c>
      <c r="F579" s="29" t="s">
        <v>1657</v>
      </c>
    </row>
    <row r="580" spans="1:26" ht="15.75" hidden="1" customHeight="1" x14ac:dyDescent="0.2">
      <c r="A580" s="29"/>
      <c r="B580" s="29">
        <v>65388703</v>
      </c>
      <c r="C580" s="29" t="s">
        <v>1543</v>
      </c>
      <c r="D580" s="29" t="s">
        <v>2212</v>
      </c>
      <c r="E580" s="29" t="s">
        <v>1843</v>
      </c>
      <c r="F580" s="29" t="s">
        <v>1027</v>
      </c>
    </row>
    <row r="581" spans="1:26" ht="15.75" hidden="1" customHeight="1" x14ac:dyDescent="0.2">
      <c r="A581" s="29"/>
      <c r="B581" s="29">
        <v>42008902</v>
      </c>
      <c r="C581" s="29" t="s">
        <v>1530</v>
      </c>
      <c r="D581" s="29" t="s">
        <v>2213</v>
      </c>
      <c r="E581" s="29" t="s">
        <v>2214</v>
      </c>
      <c r="F581" s="29"/>
    </row>
    <row r="582" spans="1:26" ht="15.75" customHeight="1" x14ac:dyDescent="0.2">
      <c r="A582" s="29"/>
      <c r="B582" s="29">
        <v>65144703</v>
      </c>
      <c r="C582" s="29" t="s">
        <v>1637</v>
      </c>
      <c r="D582" s="29" t="s">
        <v>2213</v>
      </c>
      <c r="E582" s="29" t="s">
        <v>1843</v>
      </c>
      <c r="F582" s="29" t="s">
        <v>963</v>
      </c>
    </row>
    <row r="583" spans="1:26" ht="15.75" hidden="1" customHeight="1" x14ac:dyDescent="0.2">
      <c r="A583" s="29"/>
      <c r="B583" s="29">
        <v>66723902</v>
      </c>
      <c r="C583" s="29" t="s">
        <v>1530</v>
      </c>
      <c r="D583" s="29" t="s">
        <v>2213</v>
      </c>
      <c r="E583" s="29" t="s">
        <v>2215</v>
      </c>
      <c r="F583" s="29" t="s">
        <v>671</v>
      </c>
    </row>
    <row r="584" spans="1:26" ht="15.75" hidden="1" customHeight="1" x14ac:dyDescent="0.2">
      <c r="A584" s="29"/>
      <c r="B584" s="29">
        <v>59032903</v>
      </c>
      <c r="C584" s="29" t="s">
        <v>1530</v>
      </c>
      <c r="D584" s="29" t="s">
        <v>2216</v>
      </c>
      <c r="E584" s="29" t="s">
        <v>1793</v>
      </c>
      <c r="F584" s="29" t="s">
        <v>539</v>
      </c>
    </row>
    <row r="585" spans="1:26" ht="15.75" hidden="1" customHeight="1" x14ac:dyDescent="0.2">
      <c r="A585" s="29"/>
      <c r="B585" s="29">
        <v>45366702</v>
      </c>
      <c r="C585" s="29" t="s">
        <v>1528</v>
      </c>
      <c r="D585" s="29" t="s">
        <v>2216</v>
      </c>
      <c r="E585" s="29" t="s">
        <v>2217</v>
      </c>
      <c r="F585" s="29" t="s">
        <v>1569</v>
      </c>
    </row>
    <row r="586" spans="1:26" ht="15.75" hidden="1" customHeight="1" x14ac:dyDescent="0.2">
      <c r="A586" s="29"/>
      <c r="B586" s="38">
        <v>31404502</v>
      </c>
      <c r="C586" s="29" t="s">
        <v>1528</v>
      </c>
      <c r="D586" s="29" t="s">
        <v>2218</v>
      </c>
      <c r="E586" s="29" t="s">
        <v>1712</v>
      </c>
      <c r="F586" s="29" t="s">
        <v>1123</v>
      </c>
    </row>
    <row r="587" spans="1:26" ht="15.75" hidden="1" customHeight="1" x14ac:dyDescent="0.2">
      <c r="A587" s="29"/>
      <c r="B587" s="29">
        <v>59317903</v>
      </c>
      <c r="C587" s="29" t="s">
        <v>1528</v>
      </c>
      <c r="D587" s="29" t="s">
        <v>2219</v>
      </c>
      <c r="E587" s="29" t="s">
        <v>2220</v>
      </c>
      <c r="F587" s="29" t="s">
        <v>994</v>
      </c>
    </row>
    <row r="588" spans="1:26" ht="15.75" hidden="1" customHeight="1" x14ac:dyDescent="0.2">
      <c r="A588" s="26"/>
      <c r="B588" s="26">
        <v>61872202</v>
      </c>
      <c r="C588" s="26" t="s">
        <v>1530</v>
      </c>
      <c r="D588" s="26" t="s">
        <v>2218</v>
      </c>
      <c r="E588" s="153" t="s">
        <v>2221</v>
      </c>
      <c r="F588" s="26" t="s">
        <v>892</v>
      </c>
      <c r="G588" s="36"/>
      <c r="H588" s="36"/>
      <c r="I588" s="36"/>
      <c r="J588" s="36"/>
      <c r="K588" s="36"/>
      <c r="L588" s="36"/>
      <c r="M588" s="36"/>
      <c r="N588" s="36"/>
      <c r="O588" s="36"/>
      <c r="P588" s="36"/>
      <c r="Q588" s="36"/>
      <c r="R588" s="36"/>
      <c r="S588" s="36"/>
      <c r="T588" s="36"/>
      <c r="U588" s="36"/>
      <c r="V588" s="36"/>
      <c r="W588" s="36"/>
      <c r="X588" s="36"/>
      <c r="Y588" s="36"/>
      <c r="Z588" s="36"/>
    </row>
    <row r="589" spans="1:26" ht="15.75" hidden="1" customHeight="1" x14ac:dyDescent="0.2">
      <c r="A589" s="29"/>
      <c r="B589" s="29">
        <v>44480903</v>
      </c>
      <c r="C589" s="29" t="s">
        <v>1543</v>
      </c>
      <c r="D589" s="29" t="s">
        <v>2222</v>
      </c>
      <c r="E589" s="29" t="s">
        <v>2223</v>
      </c>
      <c r="F589" s="29" t="s">
        <v>618</v>
      </c>
    </row>
    <row r="590" spans="1:26" ht="15.75" hidden="1" customHeight="1" x14ac:dyDescent="0.2">
      <c r="A590" s="29"/>
      <c r="B590" s="29">
        <v>50574503</v>
      </c>
      <c r="C590" s="29" t="s">
        <v>1528</v>
      </c>
      <c r="D590" s="29" t="s">
        <v>2222</v>
      </c>
      <c r="E590" s="29" t="s">
        <v>2224</v>
      </c>
      <c r="F590" s="29" t="s">
        <v>937</v>
      </c>
    </row>
    <row r="591" spans="1:26" ht="15.75" hidden="1" customHeight="1" x14ac:dyDescent="0.2">
      <c r="A591" s="29"/>
      <c r="B591" s="29">
        <v>21898003</v>
      </c>
      <c r="C591" s="29" t="s">
        <v>1543</v>
      </c>
      <c r="D591" s="29" t="s">
        <v>2225</v>
      </c>
      <c r="E591" s="29" t="s">
        <v>2226</v>
      </c>
      <c r="F591" s="29" t="s">
        <v>1640</v>
      </c>
    </row>
    <row r="592" spans="1:26" ht="15.75" hidden="1" customHeight="1" x14ac:dyDescent="0.2">
      <c r="A592" s="29"/>
      <c r="B592" s="29">
        <v>43748203</v>
      </c>
      <c r="C592" s="29" t="s">
        <v>1543</v>
      </c>
      <c r="D592" s="29" t="s">
        <v>2225</v>
      </c>
      <c r="E592" s="29" t="s">
        <v>1609</v>
      </c>
      <c r="F592" s="29" t="s">
        <v>877</v>
      </c>
    </row>
    <row r="593" spans="1:6" ht="15.75" hidden="1" customHeight="1" x14ac:dyDescent="0.2">
      <c r="A593" s="29"/>
      <c r="B593" s="29">
        <v>59317903</v>
      </c>
      <c r="C593" s="29" t="s">
        <v>1543</v>
      </c>
      <c r="D593" s="29" t="s">
        <v>2227</v>
      </c>
      <c r="E593" s="29" t="s">
        <v>1660</v>
      </c>
      <c r="F593" s="29" t="s">
        <v>994</v>
      </c>
    </row>
    <row r="594" spans="1:6" ht="15.75" hidden="1" customHeight="1" x14ac:dyDescent="0.2">
      <c r="A594" s="29"/>
      <c r="B594" s="29">
        <v>63109602</v>
      </c>
      <c r="C594" s="29" t="s">
        <v>1530</v>
      </c>
      <c r="D594" s="29" t="s">
        <v>2227</v>
      </c>
      <c r="E594" s="29" t="s">
        <v>2228</v>
      </c>
      <c r="F594" s="29" t="s">
        <v>1604</v>
      </c>
    </row>
    <row r="595" spans="1:6" ht="15.75" hidden="1" customHeight="1" x14ac:dyDescent="0.2">
      <c r="A595" s="29"/>
      <c r="B595" s="29">
        <v>83143703</v>
      </c>
      <c r="C595" s="29" t="s">
        <v>1530</v>
      </c>
      <c r="D595" s="29" t="s">
        <v>2229</v>
      </c>
      <c r="E595" s="29" t="s">
        <v>2137</v>
      </c>
      <c r="F595" s="29" t="s">
        <v>1080</v>
      </c>
    </row>
    <row r="596" spans="1:6" ht="15.75" hidden="1" customHeight="1" x14ac:dyDescent="0.2">
      <c r="A596" s="29"/>
      <c r="B596" s="29">
        <v>42008902</v>
      </c>
      <c r="C596" s="29" t="s">
        <v>1528</v>
      </c>
      <c r="D596" s="29" t="s">
        <v>2229</v>
      </c>
      <c r="E596" s="29" t="s">
        <v>1712</v>
      </c>
      <c r="F596" s="29" t="s">
        <v>998</v>
      </c>
    </row>
    <row r="597" spans="1:6" ht="15.75" hidden="1" customHeight="1" x14ac:dyDescent="0.2">
      <c r="A597" s="29"/>
      <c r="B597" s="29">
        <v>22187603</v>
      </c>
      <c r="C597" s="29" t="s">
        <v>1637</v>
      </c>
      <c r="D597" s="29" t="s">
        <v>2230</v>
      </c>
      <c r="E597" s="29" t="s">
        <v>2231</v>
      </c>
      <c r="F597" s="29" t="s">
        <v>1598</v>
      </c>
    </row>
    <row r="598" spans="1:6" ht="15.75" hidden="1" customHeight="1" x14ac:dyDescent="0.2">
      <c r="A598" s="29"/>
      <c r="B598" s="29">
        <v>40399103</v>
      </c>
      <c r="C598" s="29" t="s">
        <v>1543</v>
      </c>
      <c r="D598" s="29" t="s">
        <v>2232</v>
      </c>
      <c r="E598" s="29" t="s">
        <v>2233</v>
      </c>
      <c r="F598" s="29" t="s">
        <v>1626</v>
      </c>
    </row>
    <row r="599" spans="1:6" ht="15.75" hidden="1" customHeight="1" x14ac:dyDescent="0.2">
      <c r="A599" s="29"/>
      <c r="B599" s="29">
        <v>52150302</v>
      </c>
      <c r="C599" s="29" t="s">
        <v>1543</v>
      </c>
      <c r="D599" s="29" t="s">
        <v>2232</v>
      </c>
      <c r="E599" s="29" t="s">
        <v>2208</v>
      </c>
      <c r="F599" s="29" t="s">
        <v>1406</v>
      </c>
    </row>
    <row r="600" spans="1:6" ht="15.75" hidden="1" customHeight="1" x14ac:dyDescent="0.2">
      <c r="A600" s="29"/>
      <c r="B600" s="38">
        <v>59321401</v>
      </c>
      <c r="C600" s="29" t="s">
        <v>1528</v>
      </c>
      <c r="D600" s="29" t="s">
        <v>2234</v>
      </c>
      <c r="E600" s="29" t="s">
        <v>2235</v>
      </c>
      <c r="F600" s="29" t="s">
        <v>844</v>
      </c>
    </row>
    <row r="601" spans="1:6" ht="15.75" hidden="1" customHeight="1" x14ac:dyDescent="0.2">
      <c r="A601" s="29"/>
      <c r="B601" s="38">
        <v>21898003</v>
      </c>
      <c r="C601" s="29" t="s">
        <v>1528</v>
      </c>
      <c r="D601" s="29" t="s">
        <v>2225</v>
      </c>
      <c r="E601" s="29" t="s">
        <v>2236</v>
      </c>
      <c r="F601" s="29" t="s">
        <v>1640</v>
      </c>
    </row>
    <row r="602" spans="1:6" ht="15.75" hidden="1" customHeight="1" x14ac:dyDescent="0.2">
      <c r="A602" s="29"/>
      <c r="B602" s="38">
        <v>55423702</v>
      </c>
      <c r="C602" s="29" t="s">
        <v>1528</v>
      </c>
      <c r="D602" s="29" t="s">
        <v>2222</v>
      </c>
      <c r="E602" s="29" t="s">
        <v>2237</v>
      </c>
      <c r="F602" s="29" t="s">
        <v>897</v>
      </c>
    </row>
    <row r="603" spans="1:6" ht="15.75" hidden="1" customHeight="1" x14ac:dyDescent="0.2">
      <c r="A603" s="29"/>
      <c r="B603" s="29">
        <v>59347603</v>
      </c>
      <c r="C603" s="29" t="s">
        <v>1530</v>
      </c>
      <c r="D603" s="29" t="s">
        <v>2238</v>
      </c>
      <c r="E603" s="29" t="s">
        <v>1656</v>
      </c>
      <c r="F603" s="29" t="s">
        <v>1039</v>
      </c>
    </row>
    <row r="604" spans="1:6" ht="15.75" hidden="1" customHeight="1" x14ac:dyDescent="0.25">
      <c r="A604" s="29"/>
      <c r="B604" s="147">
        <v>45689</v>
      </c>
      <c r="C604" s="29"/>
      <c r="D604" s="29"/>
      <c r="E604" s="29"/>
      <c r="F604" s="29">
        <v>1</v>
      </c>
    </row>
    <row r="605" spans="1:6" ht="15.75" hidden="1" customHeight="1" x14ac:dyDescent="0.2">
      <c r="A605" s="29"/>
      <c r="B605" s="29">
        <v>50258603</v>
      </c>
      <c r="C605" s="29" t="s">
        <v>1637</v>
      </c>
      <c r="D605" s="29" t="s">
        <v>2234</v>
      </c>
      <c r="E605" s="29" t="s">
        <v>1659</v>
      </c>
      <c r="F605" s="29" t="s">
        <v>881</v>
      </c>
    </row>
    <row r="606" spans="1:6" ht="15.75" hidden="1" customHeight="1" x14ac:dyDescent="0.2">
      <c r="A606" s="29"/>
      <c r="B606" s="29">
        <v>28491903</v>
      </c>
      <c r="C606" s="29" t="s">
        <v>1530</v>
      </c>
      <c r="D606" s="29" t="s">
        <v>2239</v>
      </c>
      <c r="E606" s="29" t="s">
        <v>1765</v>
      </c>
      <c r="F606" s="29" t="s">
        <v>501</v>
      </c>
    </row>
    <row r="607" spans="1:6" ht="15.75" hidden="1" customHeight="1" x14ac:dyDescent="0.2">
      <c r="A607" s="29"/>
      <c r="B607" s="29">
        <v>59124103</v>
      </c>
      <c r="C607" s="29" t="s">
        <v>1637</v>
      </c>
      <c r="D607" s="29" t="s">
        <v>2240</v>
      </c>
      <c r="E607" s="29" t="s">
        <v>1629</v>
      </c>
      <c r="F607" s="29" t="s">
        <v>774</v>
      </c>
    </row>
    <row r="608" spans="1:6" ht="15.75" hidden="1" customHeight="1" x14ac:dyDescent="0.2">
      <c r="A608" s="29"/>
      <c r="B608" s="38">
        <v>17053003</v>
      </c>
      <c r="C608" s="29" t="s">
        <v>1528</v>
      </c>
      <c r="D608" s="29" t="s">
        <v>2240</v>
      </c>
      <c r="E608" s="29" t="s">
        <v>1857</v>
      </c>
      <c r="F608" s="29" t="s">
        <v>666</v>
      </c>
    </row>
    <row r="609" spans="1:6" ht="15.75" hidden="1" customHeight="1" x14ac:dyDescent="0.2">
      <c r="A609" s="29"/>
      <c r="B609" s="29">
        <v>59317903</v>
      </c>
      <c r="C609" s="29" t="s">
        <v>1528</v>
      </c>
      <c r="D609" s="29" t="s">
        <v>2241</v>
      </c>
      <c r="E609" s="29" t="s">
        <v>2242</v>
      </c>
      <c r="F609" s="29" t="s">
        <v>994</v>
      </c>
    </row>
    <row r="610" spans="1:6" ht="15.75" hidden="1" customHeight="1" x14ac:dyDescent="0.2">
      <c r="A610" s="29"/>
      <c r="B610" s="29">
        <v>58185503</v>
      </c>
      <c r="C610" s="29" t="s">
        <v>1530</v>
      </c>
      <c r="D610" s="29" t="s">
        <v>2243</v>
      </c>
      <c r="E610" s="29" t="s">
        <v>1629</v>
      </c>
      <c r="F610" s="29" t="s">
        <v>2244</v>
      </c>
    </row>
    <row r="611" spans="1:6" ht="15.75" hidden="1" customHeight="1" x14ac:dyDescent="0.2">
      <c r="A611" s="29"/>
      <c r="B611" s="29">
        <v>28491903</v>
      </c>
      <c r="C611" s="29" t="s">
        <v>1528</v>
      </c>
      <c r="D611" s="29" t="s">
        <v>2245</v>
      </c>
      <c r="E611" s="29" t="s">
        <v>1731</v>
      </c>
      <c r="F611" s="29" t="s">
        <v>501</v>
      </c>
    </row>
    <row r="612" spans="1:6" ht="15.75" hidden="1" customHeight="1" x14ac:dyDescent="0.2">
      <c r="A612" s="29"/>
      <c r="B612" s="29">
        <v>64782302</v>
      </c>
      <c r="C612" s="29" t="s">
        <v>1528</v>
      </c>
      <c r="D612" s="29" t="s">
        <v>2246</v>
      </c>
      <c r="E612" s="29" t="s">
        <v>2247</v>
      </c>
      <c r="F612" s="29" t="s">
        <v>1905</v>
      </c>
    </row>
    <row r="613" spans="1:6" ht="15.75" hidden="1" customHeight="1" x14ac:dyDescent="0.2">
      <c r="A613" s="29"/>
      <c r="B613" s="29">
        <v>17053003</v>
      </c>
      <c r="C613" s="29" t="s">
        <v>1528</v>
      </c>
      <c r="D613" s="29" t="s">
        <v>2248</v>
      </c>
      <c r="E613" s="29" t="s">
        <v>1816</v>
      </c>
      <c r="F613" s="29" t="s">
        <v>666</v>
      </c>
    </row>
    <row r="614" spans="1:6" ht="15.75" hidden="1" customHeight="1" x14ac:dyDescent="0.2">
      <c r="A614" s="29"/>
      <c r="B614" s="29">
        <v>42008902</v>
      </c>
      <c r="C614" s="29" t="s">
        <v>1543</v>
      </c>
      <c r="D614" s="29" t="s">
        <v>208</v>
      </c>
      <c r="E614" s="29" t="s">
        <v>1857</v>
      </c>
      <c r="F614" s="29" t="s">
        <v>1017</v>
      </c>
    </row>
    <row r="615" spans="1:6" ht="15.75" hidden="1" customHeight="1" x14ac:dyDescent="0.2">
      <c r="A615" s="29"/>
      <c r="B615" s="29">
        <v>75169802</v>
      </c>
      <c r="C615" s="29" t="s">
        <v>1530</v>
      </c>
      <c r="D615" s="29" t="s">
        <v>2249</v>
      </c>
      <c r="E615" s="29" t="s">
        <v>1934</v>
      </c>
      <c r="F615" s="29" t="s">
        <v>601</v>
      </c>
    </row>
    <row r="616" spans="1:6" ht="15.75" hidden="1" customHeight="1" x14ac:dyDescent="0.2">
      <c r="A616" s="29"/>
      <c r="B616" s="38">
        <v>45366802</v>
      </c>
      <c r="C616" s="29" t="s">
        <v>1528</v>
      </c>
      <c r="D616" s="29" t="s">
        <v>2250</v>
      </c>
      <c r="E616" s="29" t="s">
        <v>1731</v>
      </c>
      <c r="F616" s="29" t="s">
        <v>2049</v>
      </c>
    </row>
    <row r="617" spans="1:6" ht="15.75" hidden="1" customHeight="1" x14ac:dyDescent="0.2">
      <c r="A617" s="29"/>
      <c r="B617" s="29">
        <v>65388703</v>
      </c>
      <c r="C617" s="29" t="s">
        <v>1528</v>
      </c>
      <c r="D617" s="29" t="s">
        <v>359</v>
      </c>
      <c r="E617" s="29" t="s">
        <v>1774</v>
      </c>
      <c r="F617" s="29" t="s">
        <v>1027</v>
      </c>
    </row>
    <row r="618" spans="1:6" ht="15.75" hidden="1" customHeight="1" x14ac:dyDescent="0.25">
      <c r="A618" s="29"/>
      <c r="B618" s="147">
        <v>45717</v>
      </c>
      <c r="C618" s="29"/>
      <c r="D618" s="29"/>
      <c r="E618" s="29"/>
      <c r="F618" s="29">
        <v>1</v>
      </c>
    </row>
    <row r="619" spans="1:6" ht="15.75" hidden="1" customHeight="1" x14ac:dyDescent="0.2">
      <c r="A619" s="29"/>
      <c r="B619" s="29">
        <v>59032903</v>
      </c>
      <c r="C619" s="29" t="s">
        <v>1528</v>
      </c>
      <c r="D619" s="29" t="s">
        <v>2251</v>
      </c>
      <c r="E619" s="29" t="s">
        <v>2252</v>
      </c>
      <c r="F619" s="29" t="s">
        <v>539</v>
      </c>
    </row>
    <row r="620" spans="1:6" ht="15.75" hidden="1" customHeight="1" x14ac:dyDescent="0.2">
      <c r="A620" s="29"/>
      <c r="B620" s="29">
        <v>59124103</v>
      </c>
      <c r="C620" s="29" t="s">
        <v>1528</v>
      </c>
      <c r="D620" s="29" t="s">
        <v>2253</v>
      </c>
      <c r="E620" s="29" t="s">
        <v>1774</v>
      </c>
      <c r="F620" s="29" t="s">
        <v>774</v>
      </c>
    </row>
    <row r="621" spans="1:6" ht="15.75" hidden="1" customHeight="1" x14ac:dyDescent="0.2">
      <c r="A621" s="29"/>
      <c r="B621" s="29">
        <v>58185503</v>
      </c>
      <c r="C621" s="29" t="s">
        <v>1528</v>
      </c>
      <c r="D621" s="29" t="s">
        <v>2253</v>
      </c>
      <c r="E621" s="29" t="s">
        <v>1774</v>
      </c>
      <c r="F621" s="29" t="s">
        <v>2254</v>
      </c>
    </row>
    <row r="622" spans="1:6" ht="15.75" hidden="1" customHeight="1" x14ac:dyDescent="0.2">
      <c r="A622" s="29"/>
      <c r="B622" s="29">
        <v>89137102</v>
      </c>
      <c r="C622" s="29" t="s">
        <v>1528</v>
      </c>
      <c r="D622" s="29" t="s">
        <v>2255</v>
      </c>
      <c r="E622" s="29" t="s">
        <v>1714</v>
      </c>
      <c r="F622" s="29" t="s">
        <v>663</v>
      </c>
    </row>
    <row r="623" spans="1:6" ht="15.75" hidden="1" customHeight="1" x14ac:dyDescent="0.2">
      <c r="A623" s="29"/>
      <c r="B623" s="29">
        <v>21705703</v>
      </c>
      <c r="C623" s="29" t="s">
        <v>1528</v>
      </c>
      <c r="D623" s="29" t="s">
        <v>2255</v>
      </c>
      <c r="E623" s="29" t="s">
        <v>1712</v>
      </c>
      <c r="F623" s="29" t="s">
        <v>1225</v>
      </c>
    </row>
    <row r="624" spans="1:6" ht="15.75" hidden="1" customHeight="1" x14ac:dyDescent="0.2">
      <c r="A624" s="29"/>
      <c r="B624" s="29">
        <v>21897903</v>
      </c>
      <c r="C624" s="29" t="s">
        <v>1528</v>
      </c>
      <c r="D624" s="29" t="s">
        <v>2255</v>
      </c>
      <c r="E624" s="29" t="s">
        <v>1916</v>
      </c>
      <c r="F624" s="29" t="s">
        <v>552</v>
      </c>
    </row>
    <row r="625" spans="1:6" ht="15.75" hidden="1" customHeight="1" x14ac:dyDescent="0.2">
      <c r="A625" s="29"/>
      <c r="B625" s="29">
        <v>44480903</v>
      </c>
      <c r="C625" s="29" t="s">
        <v>1543</v>
      </c>
      <c r="D625" s="29" t="s">
        <v>2256</v>
      </c>
      <c r="E625" s="29" t="s">
        <v>1825</v>
      </c>
      <c r="F625" s="29" t="s">
        <v>618</v>
      </c>
    </row>
    <row r="626" spans="1:6" ht="15.75" hidden="1" customHeight="1" x14ac:dyDescent="0.2">
      <c r="A626" s="29"/>
      <c r="B626" s="29">
        <v>65178203</v>
      </c>
      <c r="C626" s="29" t="s">
        <v>1543</v>
      </c>
      <c r="D626" s="29" t="s">
        <v>2251</v>
      </c>
      <c r="E626" s="29" t="s">
        <v>1616</v>
      </c>
      <c r="F626" s="29" t="s">
        <v>723</v>
      </c>
    </row>
    <row r="627" spans="1:6" ht="15.75" hidden="1" customHeight="1" x14ac:dyDescent="0.2">
      <c r="A627" s="29"/>
      <c r="B627" s="29">
        <v>50574503</v>
      </c>
      <c r="C627" s="29" t="s">
        <v>1702</v>
      </c>
      <c r="D627" s="29" t="s">
        <v>2257</v>
      </c>
      <c r="E627" s="29" t="s">
        <v>2208</v>
      </c>
      <c r="F627" s="29" t="s">
        <v>937</v>
      </c>
    </row>
    <row r="628" spans="1:6" ht="15.75" hidden="1" customHeight="1" x14ac:dyDescent="0.2">
      <c r="A628" s="29"/>
      <c r="B628" s="29">
        <v>45366502</v>
      </c>
      <c r="C628" s="29" t="s">
        <v>1530</v>
      </c>
      <c r="D628" s="29" t="s">
        <v>2258</v>
      </c>
      <c r="E628" s="29" t="s">
        <v>1896</v>
      </c>
      <c r="F628" s="29" t="s">
        <v>1066</v>
      </c>
    </row>
    <row r="629" spans="1:6" ht="15.75" customHeight="1" x14ac:dyDescent="0.2">
      <c r="A629" s="29"/>
      <c r="B629" s="124">
        <v>65144703</v>
      </c>
      <c r="C629" s="29" t="s">
        <v>1528</v>
      </c>
      <c r="D629" s="29" t="s">
        <v>2259</v>
      </c>
      <c r="E629" s="29" t="s">
        <v>1731</v>
      </c>
      <c r="F629" s="29" t="s">
        <v>963</v>
      </c>
    </row>
    <row r="630" spans="1:6" ht="15.75" hidden="1" customHeight="1" x14ac:dyDescent="0.2">
      <c r="A630" s="29"/>
      <c r="B630" s="29">
        <v>50574503</v>
      </c>
      <c r="C630" s="29" t="s">
        <v>1528</v>
      </c>
      <c r="D630" s="29" t="s">
        <v>2259</v>
      </c>
      <c r="E630" s="29" t="s">
        <v>1774</v>
      </c>
      <c r="F630" s="29" t="s">
        <v>937</v>
      </c>
    </row>
    <row r="631" spans="1:6" ht="15.75" hidden="1" customHeight="1" x14ac:dyDescent="0.2">
      <c r="A631" s="29"/>
      <c r="B631" s="29">
        <v>64782302</v>
      </c>
      <c r="C631" s="29" t="s">
        <v>1543</v>
      </c>
      <c r="D631" s="29" t="s">
        <v>2257</v>
      </c>
      <c r="E631" s="29" t="s">
        <v>1629</v>
      </c>
      <c r="F631" s="29" t="s">
        <v>1905</v>
      </c>
    </row>
    <row r="632" spans="1:6" ht="15.75" hidden="1" customHeight="1" x14ac:dyDescent="0.2">
      <c r="A632" s="29"/>
      <c r="B632" s="29">
        <v>59317703</v>
      </c>
      <c r="C632" s="29" t="s">
        <v>1543</v>
      </c>
      <c r="D632" s="29" t="s">
        <v>2260</v>
      </c>
      <c r="E632" s="29" t="s">
        <v>1629</v>
      </c>
      <c r="F632" s="29" t="s">
        <v>2150</v>
      </c>
    </row>
    <row r="633" spans="1:6" ht="15.75" hidden="1" customHeight="1" x14ac:dyDescent="0.2">
      <c r="A633" s="29"/>
      <c r="B633" s="29">
        <v>17053103</v>
      </c>
      <c r="C633" s="29" t="s">
        <v>1528</v>
      </c>
      <c r="D633" s="29" t="s">
        <v>2261</v>
      </c>
      <c r="E633" s="29" t="s">
        <v>2224</v>
      </c>
      <c r="F633" s="29" t="s">
        <v>919</v>
      </c>
    </row>
    <row r="634" spans="1:6" ht="15.75" hidden="1" customHeight="1" x14ac:dyDescent="0.25">
      <c r="A634" s="29"/>
      <c r="B634" s="147">
        <v>45748</v>
      </c>
      <c r="C634" s="29"/>
      <c r="D634" s="29"/>
      <c r="E634" s="29"/>
      <c r="F634" s="29">
        <v>1</v>
      </c>
    </row>
    <row r="635" spans="1:6" ht="15.75" hidden="1" customHeight="1" x14ac:dyDescent="0.2">
      <c r="A635" s="29"/>
      <c r="B635" s="29">
        <v>22187603</v>
      </c>
      <c r="C635" s="29" t="s">
        <v>1528</v>
      </c>
      <c r="D635" s="29" t="s">
        <v>2262</v>
      </c>
      <c r="E635" s="29" t="s">
        <v>1989</v>
      </c>
      <c r="F635" s="29" t="s">
        <v>1598</v>
      </c>
    </row>
    <row r="636" spans="1:6" ht="15.75" hidden="1" customHeight="1" x14ac:dyDescent="0.2">
      <c r="A636" s="29"/>
      <c r="B636" s="29">
        <v>42950702</v>
      </c>
      <c r="C636" s="29" t="s">
        <v>1637</v>
      </c>
      <c r="D636" s="29" t="s">
        <v>2263</v>
      </c>
      <c r="E636" s="29" t="s">
        <v>2264</v>
      </c>
      <c r="F636" s="29" t="s">
        <v>1246</v>
      </c>
    </row>
    <row r="637" spans="1:6" ht="15.75" hidden="1" customHeight="1" x14ac:dyDescent="0.2">
      <c r="A637" s="29"/>
      <c r="B637" s="29">
        <v>75019402</v>
      </c>
      <c r="C637" s="29" t="s">
        <v>1543</v>
      </c>
      <c r="D637" s="29" t="s">
        <v>2265</v>
      </c>
      <c r="E637" s="29" t="s">
        <v>2266</v>
      </c>
      <c r="F637" s="29" t="s">
        <v>1014</v>
      </c>
    </row>
    <row r="638" spans="1:6" ht="15.75" hidden="1" customHeight="1" x14ac:dyDescent="0.2">
      <c r="A638" s="29"/>
      <c r="B638" s="29">
        <v>22045903</v>
      </c>
      <c r="C638" s="29" t="s">
        <v>1702</v>
      </c>
      <c r="D638" s="29" t="s">
        <v>2265</v>
      </c>
      <c r="E638" s="29" t="s">
        <v>1629</v>
      </c>
      <c r="F638" s="29" t="s">
        <v>868</v>
      </c>
    </row>
    <row r="639" spans="1:6" ht="15.75" hidden="1" customHeight="1" x14ac:dyDescent="0.2">
      <c r="A639" s="29"/>
      <c r="B639" s="29">
        <v>83945303</v>
      </c>
      <c r="C639" s="29" t="s">
        <v>1543</v>
      </c>
      <c r="D639" s="29" t="s">
        <v>2267</v>
      </c>
      <c r="E639" s="29" t="s">
        <v>1584</v>
      </c>
      <c r="F639" s="29" t="s">
        <v>1139</v>
      </c>
    </row>
    <row r="640" spans="1:6" ht="15.75" hidden="1" customHeight="1" x14ac:dyDescent="0.2">
      <c r="A640" s="29"/>
      <c r="B640" s="29">
        <v>42009002</v>
      </c>
      <c r="C640" s="29" t="s">
        <v>1543</v>
      </c>
      <c r="D640" s="29" t="s">
        <v>2268</v>
      </c>
      <c r="E640" s="29" t="s">
        <v>1994</v>
      </c>
      <c r="F640" s="29" t="s">
        <v>1610</v>
      </c>
    </row>
    <row r="641" spans="1:6" ht="15.75" hidden="1" customHeight="1" x14ac:dyDescent="0.2">
      <c r="A641" s="29"/>
      <c r="B641" s="29">
        <v>50574503</v>
      </c>
      <c r="C641" s="29" t="s">
        <v>1528</v>
      </c>
      <c r="D641" s="29" t="s">
        <v>2269</v>
      </c>
      <c r="E641" s="29" t="s">
        <v>1774</v>
      </c>
      <c r="F641" s="29" t="s">
        <v>937</v>
      </c>
    </row>
    <row r="642" spans="1:6" ht="15.75" hidden="1" customHeight="1" x14ac:dyDescent="0.2">
      <c r="A642" s="29"/>
      <c r="B642" s="29">
        <v>75019402</v>
      </c>
      <c r="C642" s="29" t="s">
        <v>1528</v>
      </c>
      <c r="D642" s="29" t="s">
        <v>2270</v>
      </c>
      <c r="E642" s="29" t="s">
        <v>2271</v>
      </c>
      <c r="F642" s="29" t="s">
        <v>813</v>
      </c>
    </row>
    <row r="643" spans="1:6" ht="15.75" hidden="1" customHeight="1" x14ac:dyDescent="0.2">
      <c r="A643" s="29"/>
      <c r="B643" s="29">
        <v>17053103</v>
      </c>
      <c r="C643" s="29" t="s">
        <v>1528</v>
      </c>
      <c r="D643" s="29" t="s">
        <v>2272</v>
      </c>
      <c r="E643" s="29" t="s">
        <v>2236</v>
      </c>
      <c r="F643" s="29" t="s">
        <v>919</v>
      </c>
    </row>
    <row r="644" spans="1:6" ht="15.75" hidden="1" customHeight="1" x14ac:dyDescent="0.2">
      <c r="A644" s="29"/>
      <c r="B644" s="29">
        <v>22045903</v>
      </c>
      <c r="C644" s="29" t="s">
        <v>1528</v>
      </c>
      <c r="D644" s="29" t="s">
        <v>2272</v>
      </c>
      <c r="E644" s="29" t="s">
        <v>1916</v>
      </c>
      <c r="F644" s="29" t="s">
        <v>868</v>
      </c>
    </row>
    <row r="645" spans="1:6" ht="15.75" hidden="1" customHeight="1" x14ac:dyDescent="0.2">
      <c r="A645" s="29"/>
      <c r="B645" s="29">
        <v>52150302</v>
      </c>
      <c r="C645" s="29" t="s">
        <v>1528</v>
      </c>
      <c r="D645" s="29" t="s">
        <v>2270</v>
      </c>
      <c r="E645" s="29" t="s">
        <v>1903</v>
      </c>
      <c r="F645" s="29" t="s">
        <v>1406</v>
      </c>
    </row>
    <row r="646" spans="1:6" ht="15.75" hidden="1" customHeight="1" x14ac:dyDescent="0.2">
      <c r="A646" s="29"/>
      <c r="B646" s="29">
        <v>14104704</v>
      </c>
      <c r="C646" s="29" t="s">
        <v>1543</v>
      </c>
      <c r="D646" s="29" t="s">
        <v>2270</v>
      </c>
      <c r="E646" s="29" t="s">
        <v>2273</v>
      </c>
      <c r="F646" s="29" t="s">
        <v>1075</v>
      </c>
    </row>
    <row r="647" spans="1:6" ht="15.75" hidden="1" customHeight="1" x14ac:dyDescent="0.2">
      <c r="A647" s="29"/>
      <c r="B647" s="108">
        <v>28491903</v>
      </c>
      <c r="C647" s="29" t="s">
        <v>1530</v>
      </c>
      <c r="D647" s="29" t="s">
        <v>2274</v>
      </c>
      <c r="E647" s="29" t="s">
        <v>2275</v>
      </c>
      <c r="F647" s="29" t="s">
        <v>501</v>
      </c>
    </row>
    <row r="648" spans="1:6" ht="15.75" hidden="1" customHeight="1" x14ac:dyDescent="0.2">
      <c r="A648" s="29"/>
      <c r="B648" s="29">
        <v>40399103</v>
      </c>
      <c r="C648" s="29" t="s">
        <v>1543</v>
      </c>
      <c r="D648" s="29" t="s">
        <v>2270</v>
      </c>
      <c r="E648" s="29" t="s">
        <v>1896</v>
      </c>
      <c r="F648" s="29" t="s">
        <v>1626</v>
      </c>
    </row>
    <row r="649" spans="1:6" ht="15.75" hidden="1" customHeight="1" x14ac:dyDescent="0.2">
      <c r="A649" s="29"/>
      <c r="B649" s="29">
        <v>61872202</v>
      </c>
      <c r="C649" s="29" t="s">
        <v>1530</v>
      </c>
      <c r="D649" s="29" t="s">
        <v>2276</v>
      </c>
      <c r="E649" s="29" t="s">
        <v>1825</v>
      </c>
      <c r="F649" s="29" t="s">
        <v>892</v>
      </c>
    </row>
    <row r="650" spans="1:6" ht="15.75" hidden="1" customHeight="1" x14ac:dyDescent="0.2">
      <c r="A650" s="29"/>
      <c r="B650" s="29">
        <v>75169802</v>
      </c>
      <c r="C650" s="29" t="s">
        <v>1528</v>
      </c>
      <c r="D650" s="29" t="s">
        <v>2276</v>
      </c>
      <c r="E650" s="29" t="s">
        <v>1712</v>
      </c>
      <c r="F650" s="29" t="s">
        <v>601</v>
      </c>
    </row>
    <row r="651" spans="1:6" ht="15.75" hidden="1" customHeight="1" x14ac:dyDescent="0.2">
      <c r="A651" s="29"/>
      <c r="B651" s="29">
        <v>12198203</v>
      </c>
      <c r="C651" s="29" t="s">
        <v>1637</v>
      </c>
      <c r="D651" s="29" t="s">
        <v>2276</v>
      </c>
      <c r="E651" s="29" t="s">
        <v>1934</v>
      </c>
      <c r="F651" s="29" t="s">
        <v>1588</v>
      </c>
    </row>
    <row r="652" spans="1:6" ht="15.75" hidden="1" customHeight="1" x14ac:dyDescent="0.25">
      <c r="A652" s="29"/>
      <c r="B652" s="147">
        <v>45778</v>
      </c>
      <c r="C652" s="29"/>
      <c r="D652" s="29"/>
      <c r="E652" s="29"/>
      <c r="F652" s="29">
        <v>1</v>
      </c>
    </row>
    <row r="653" spans="1:6" ht="15.75" hidden="1" customHeight="1" x14ac:dyDescent="0.2">
      <c r="A653" s="29"/>
      <c r="B653" s="29">
        <v>22187603</v>
      </c>
      <c r="C653" s="29" t="s">
        <v>1637</v>
      </c>
      <c r="D653" s="29" t="s">
        <v>2277</v>
      </c>
      <c r="E653" s="29" t="s">
        <v>2278</v>
      </c>
      <c r="F653" s="29" t="s">
        <v>1598</v>
      </c>
    </row>
    <row r="654" spans="1:6" ht="15.75" hidden="1" customHeight="1" x14ac:dyDescent="0.2">
      <c r="A654" s="49"/>
      <c r="B654" s="49">
        <v>28491903</v>
      </c>
      <c r="C654" s="49" t="s">
        <v>1528</v>
      </c>
      <c r="D654" s="49" t="s">
        <v>2279</v>
      </c>
      <c r="E654" s="49" t="s">
        <v>2280</v>
      </c>
      <c r="F654" s="49" t="s">
        <v>2281</v>
      </c>
    </row>
    <row r="655" spans="1:6" ht="15.75" hidden="1" customHeight="1" x14ac:dyDescent="0.2">
      <c r="A655" s="29"/>
      <c r="B655" s="29">
        <v>59317703</v>
      </c>
      <c r="C655" s="29" t="s">
        <v>1528</v>
      </c>
      <c r="D655" s="29" t="s">
        <v>2279</v>
      </c>
      <c r="E655" s="29" t="s">
        <v>1774</v>
      </c>
      <c r="F655" s="29" t="s">
        <v>2150</v>
      </c>
    </row>
    <row r="656" spans="1:6" ht="15.75" hidden="1" customHeight="1" x14ac:dyDescent="0.2">
      <c r="A656" s="29"/>
      <c r="B656" s="29">
        <v>65388703</v>
      </c>
      <c r="C656" s="29" t="s">
        <v>1528</v>
      </c>
      <c r="D656" s="29" t="s">
        <v>2282</v>
      </c>
      <c r="E656" s="29" t="s">
        <v>1774</v>
      </c>
      <c r="F656" s="29" t="s">
        <v>1027</v>
      </c>
    </row>
    <row r="657" spans="1:6" ht="15.75" hidden="1" customHeight="1" x14ac:dyDescent="0.2">
      <c r="A657" s="29"/>
      <c r="B657" s="29">
        <v>59124103</v>
      </c>
      <c r="C657" s="29" t="s">
        <v>1528</v>
      </c>
      <c r="D657" s="29" t="s">
        <v>2282</v>
      </c>
      <c r="E657" s="29" t="s">
        <v>2283</v>
      </c>
      <c r="F657" s="29" t="s">
        <v>774</v>
      </c>
    </row>
    <row r="658" spans="1:6" ht="15.75" hidden="1" customHeight="1" x14ac:dyDescent="0.2">
      <c r="A658" s="29"/>
      <c r="B658" s="29">
        <v>55423702</v>
      </c>
      <c r="C658" s="29" t="s">
        <v>1528</v>
      </c>
      <c r="D658" s="29" t="s">
        <v>2284</v>
      </c>
      <c r="E658" s="29" t="s">
        <v>2224</v>
      </c>
      <c r="F658" s="29" t="s">
        <v>897</v>
      </c>
    </row>
    <row r="659" spans="1:6" ht="15.75" customHeight="1" x14ac:dyDescent="0.2">
      <c r="A659" s="29"/>
      <c r="B659" s="29">
        <v>65144703</v>
      </c>
      <c r="C659" s="29" t="s">
        <v>1637</v>
      </c>
      <c r="D659" s="29" t="s">
        <v>2285</v>
      </c>
      <c r="E659" s="29" t="s">
        <v>1616</v>
      </c>
      <c r="F659" s="29" t="s">
        <v>963</v>
      </c>
    </row>
    <row r="660" spans="1:6" ht="15.75" hidden="1" customHeight="1" x14ac:dyDescent="0.2">
      <c r="A660" s="29"/>
      <c r="B660" s="29">
        <v>75170102</v>
      </c>
      <c r="C660" s="29" t="s">
        <v>1543</v>
      </c>
      <c r="D660" s="29" t="s">
        <v>2284</v>
      </c>
      <c r="E660" s="29" t="s">
        <v>1868</v>
      </c>
      <c r="F660" s="29" t="s">
        <v>1307</v>
      </c>
    </row>
    <row r="661" spans="1:6" ht="15.75" hidden="1" customHeight="1" x14ac:dyDescent="0.2">
      <c r="A661" s="29"/>
      <c r="B661" s="29">
        <v>65388703</v>
      </c>
      <c r="C661" s="29" t="s">
        <v>1543</v>
      </c>
      <c r="D661" s="29" t="s">
        <v>2284</v>
      </c>
      <c r="E661" s="29" t="s">
        <v>1616</v>
      </c>
      <c r="F661" s="29" t="s">
        <v>1027</v>
      </c>
    </row>
    <row r="662" spans="1:6" ht="15.75" hidden="1" customHeight="1" x14ac:dyDescent="0.2">
      <c r="A662" s="29"/>
      <c r="B662" s="29">
        <v>83945503</v>
      </c>
      <c r="C662" s="29" t="s">
        <v>1543</v>
      </c>
      <c r="D662" s="29" t="s">
        <v>2284</v>
      </c>
      <c r="E662" s="29" t="s">
        <v>1584</v>
      </c>
      <c r="F662" s="29" t="s">
        <v>1163</v>
      </c>
    </row>
    <row r="663" spans="1:6" ht="15.75" hidden="1" customHeight="1" x14ac:dyDescent="0.2">
      <c r="A663" s="29"/>
      <c r="B663" s="38">
        <v>21898003</v>
      </c>
      <c r="C663" s="29" t="s">
        <v>1528</v>
      </c>
      <c r="D663" s="29" t="s">
        <v>2286</v>
      </c>
      <c r="E663" s="29" t="s">
        <v>2287</v>
      </c>
      <c r="F663" s="29" t="s">
        <v>919</v>
      </c>
    </row>
    <row r="664" spans="1:6" ht="15.75" hidden="1" customHeight="1" x14ac:dyDescent="0.2">
      <c r="A664" s="29"/>
      <c r="B664" s="38">
        <v>75169702</v>
      </c>
      <c r="C664" s="29" t="s">
        <v>1528</v>
      </c>
      <c r="D664" s="29" t="s">
        <v>2288</v>
      </c>
      <c r="E664" s="29" t="s">
        <v>1836</v>
      </c>
      <c r="F664" s="29" t="s">
        <v>381</v>
      </c>
    </row>
    <row r="665" spans="1:6" ht="15.75" hidden="1" customHeight="1" x14ac:dyDescent="0.2">
      <c r="A665" s="29"/>
      <c r="B665" s="29">
        <v>83945203</v>
      </c>
      <c r="C665" s="29" t="s">
        <v>1543</v>
      </c>
      <c r="D665" s="29" t="s">
        <v>2288</v>
      </c>
      <c r="E665" s="29" t="s">
        <v>1584</v>
      </c>
      <c r="F665" s="29" t="s">
        <v>567</v>
      </c>
    </row>
    <row r="666" spans="1:6" ht="15.75" hidden="1" customHeight="1" x14ac:dyDescent="0.2">
      <c r="A666" s="29"/>
      <c r="B666" s="29">
        <v>28491903</v>
      </c>
      <c r="C666" s="29" t="s">
        <v>1530</v>
      </c>
      <c r="D666" s="29" t="s">
        <v>2288</v>
      </c>
      <c r="E666" s="29" t="s">
        <v>1912</v>
      </c>
      <c r="F666" s="29" t="s">
        <v>1152</v>
      </c>
    </row>
    <row r="667" spans="1:6" ht="15.75" hidden="1" customHeight="1" x14ac:dyDescent="0.2">
      <c r="A667" s="29"/>
      <c r="B667" s="29">
        <v>30327902</v>
      </c>
      <c r="C667" s="29" t="s">
        <v>1528</v>
      </c>
      <c r="D667" s="29" t="s">
        <v>2289</v>
      </c>
      <c r="E667" s="29" t="s">
        <v>2057</v>
      </c>
      <c r="F667" s="29" t="s">
        <v>2290</v>
      </c>
    </row>
    <row r="668" spans="1:6" ht="15.75" hidden="1" customHeight="1" x14ac:dyDescent="0.2">
      <c r="A668" s="29"/>
      <c r="B668" s="29">
        <v>28491903</v>
      </c>
      <c r="C668" s="29" t="s">
        <v>1528</v>
      </c>
      <c r="D668" s="29" t="s">
        <v>2291</v>
      </c>
      <c r="E668" s="29" t="s">
        <v>1774</v>
      </c>
      <c r="F668" s="29" t="s">
        <v>501</v>
      </c>
    </row>
    <row r="669" spans="1:6" ht="15.75" hidden="1" customHeight="1" x14ac:dyDescent="0.2">
      <c r="A669" s="29"/>
      <c r="B669" s="29">
        <v>58185503</v>
      </c>
      <c r="C669" s="29" t="s">
        <v>1528</v>
      </c>
      <c r="D669" s="29" t="s">
        <v>2225</v>
      </c>
      <c r="E669" s="29" t="s">
        <v>1714</v>
      </c>
      <c r="F669" s="29" t="s">
        <v>2244</v>
      </c>
    </row>
    <row r="670" spans="1:6" ht="15.75" hidden="1" customHeight="1" x14ac:dyDescent="0.2">
      <c r="A670" s="29"/>
      <c r="B670" s="29">
        <v>17053103</v>
      </c>
      <c r="C670" s="29" t="s">
        <v>1530</v>
      </c>
      <c r="D670" s="29" t="s">
        <v>2292</v>
      </c>
      <c r="E670" s="29" t="s">
        <v>1629</v>
      </c>
      <c r="F670" s="29" t="s">
        <v>919</v>
      </c>
    </row>
    <row r="671" spans="1:6" ht="15.75" hidden="1" customHeight="1" x14ac:dyDescent="0.2">
      <c r="A671" s="29"/>
      <c r="B671" s="29">
        <v>59032903</v>
      </c>
      <c r="C671" s="29" t="s">
        <v>1530</v>
      </c>
      <c r="D671" s="29" t="s">
        <v>2293</v>
      </c>
      <c r="E671" s="29" t="s">
        <v>1659</v>
      </c>
      <c r="F671" s="29" t="s">
        <v>539</v>
      </c>
    </row>
    <row r="672" spans="1:6" ht="15.75" hidden="1" customHeight="1" x14ac:dyDescent="0.2">
      <c r="A672" s="29"/>
      <c r="B672" s="29">
        <v>59317703</v>
      </c>
      <c r="C672" s="29" t="s">
        <v>1528</v>
      </c>
      <c r="D672" s="29" t="s">
        <v>2294</v>
      </c>
      <c r="E672" s="29" t="s">
        <v>2224</v>
      </c>
      <c r="F672" s="29" t="s">
        <v>2150</v>
      </c>
    </row>
    <row r="673" spans="1:6" ht="15.75" hidden="1" customHeight="1" x14ac:dyDescent="0.2">
      <c r="A673" s="29"/>
      <c r="B673" s="29">
        <v>17053103</v>
      </c>
      <c r="C673" s="29" t="s">
        <v>1528</v>
      </c>
      <c r="D673" s="29" t="s">
        <v>2295</v>
      </c>
      <c r="E673" s="29" t="s">
        <v>1774</v>
      </c>
      <c r="F673" s="29" t="s">
        <v>919</v>
      </c>
    </row>
    <row r="674" spans="1:6" ht="15.75" hidden="1" customHeight="1" x14ac:dyDescent="0.2">
      <c r="A674" s="29"/>
      <c r="B674" s="38">
        <v>44480903</v>
      </c>
      <c r="C674" s="29" t="s">
        <v>1528</v>
      </c>
      <c r="D674" s="29" t="s">
        <v>2295</v>
      </c>
      <c r="E674" s="29" t="s">
        <v>1774</v>
      </c>
      <c r="F674" s="29" t="s">
        <v>618</v>
      </c>
    </row>
    <row r="675" spans="1:6" ht="15.75" hidden="1" customHeight="1" x14ac:dyDescent="0.2">
      <c r="A675" s="29"/>
      <c r="B675" s="29">
        <v>55423702</v>
      </c>
      <c r="C675" s="29" t="s">
        <v>1543</v>
      </c>
      <c r="D675" s="29" t="s">
        <v>2296</v>
      </c>
      <c r="E675" s="29" t="s">
        <v>2297</v>
      </c>
      <c r="F675" s="29" t="s">
        <v>897</v>
      </c>
    </row>
    <row r="676" spans="1:6" ht="15.75" hidden="1" customHeight="1" x14ac:dyDescent="0.2">
      <c r="A676" s="29"/>
      <c r="B676" s="29">
        <v>75169702</v>
      </c>
      <c r="C676" s="29" t="s">
        <v>1543</v>
      </c>
      <c r="D676" s="29" t="s">
        <v>2298</v>
      </c>
      <c r="E676" s="29" t="s">
        <v>2299</v>
      </c>
      <c r="F676" s="29" t="s">
        <v>381</v>
      </c>
    </row>
    <row r="677" spans="1:6" ht="15.75" hidden="1" customHeight="1" x14ac:dyDescent="0.2">
      <c r="A677" s="29"/>
      <c r="B677" s="29">
        <v>50258603</v>
      </c>
      <c r="C677" s="29" t="s">
        <v>1637</v>
      </c>
      <c r="D677" s="29" t="s">
        <v>2300</v>
      </c>
      <c r="E677" s="29" t="s">
        <v>1934</v>
      </c>
      <c r="F677" s="29" t="s">
        <v>1450</v>
      </c>
    </row>
    <row r="678" spans="1:6" ht="15.75" hidden="1" customHeight="1" x14ac:dyDescent="0.2">
      <c r="A678" s="29"/>
      <c r="B678" s="95">
        <v>43748203</v>
      </c>
      <c r="C678" s="29" t="s">
        <v>1528</v>
      </c>
      <c r="D678" s="29" t="s">
        <v>2300</v>
      </c>
      <c r="E678" s="29" t="s">
        <v>1857</v>
      </c>
      <c r="F678" s="29" t="s">
        <v>877</v>
      </c>
    </row>
    <row r="679" spans="1:6" ht="15.75" hidden="1" customHeight="1" x14ac:dyDescent="0.2">
      <c r="A679" s="29"/>
      <c r="B679" s="29">
        <v>64782302</v>
      </c>
      <c r="C679" s="29" t="s">
        <v>1543</v>
      </c>
      <c r="D679" s="29" t="s">
        <v>2300</v>
      </c>
      <c r="E679" s="29" t="s">
        <v>2301</v>
      </c>
      <c r="F679" s="29" t="s">
        <v>1905</v>
      </c>
    </row>
    <row r="680" spans="1:6" ht="15.75" hidden="1" customHeight="1" x14ac:dyDescent="0.2">
      <c r="A680" s="63"/>
      <c r="B680" s="63">
        <v>21898003</v>
      </c>
      <c r="C680" s="63" t="s">
        <v>1530</v>
      </c>
      <c r="D680" s="63" t="s">
        <v>2300</v>
      </c>
      <c r="E680" s="63" t="s">
        <v>2302</v>
      </c>
      <c r="F680" s="63" t="s">
        <v>1640</v>
      </c>
    </row>
    <row r="681" spans="1:6" ht="15.75" hidden="1" customHeight="1" x14ac:dyDescent="0.2">
      <c r="A681" s="63"/>
      <c r="B681" s="63">
        <v>15539804</v>
      </c>
      <c r="C681" s="63" t="s">
        <v>1528</v>
      </c>
      <c r="D681" s="63" t="s">
        <v>2303</v>
      </c>
      <c r="E681" s="63" t="s">
        <v>1977</v>
      </c>
      <c r="F681" s="63" t="s">
        <v>2304</v>
      </c>
    </row>
    <row r="682" spans="1:6" ht="15.75" hidden="1" customHeight="1" x14ac:dyDescent="0.2">
      <c r="A682" s="29"/>
      <c r="B682" s="29">
        <v>83143703</v>
      </c>
      <c r="C682" s="29" t="s">
        <v>1530</v>
      </c>
      <c r="D682" s="29" t="s">
        <v>2305</v>
      </c>
      <c r="E682" s="29" t="s">
        <v>1843</v>
      </c>
      <c r="F682" s="29" t="s">
        <v>1080</v>
      </c>
    </row>
    <row r="683" spans="1:6" ht="15.75" hidden="1" customHeight="1" x14ac:dyDescent="0.25">
      <c r="A683" s="29"/>
      <c r="B683" s="147">
        <v>45809</v>
      </c>
      <c r="C683" s="29"/>
      <c r="D683" s="29"/>
      <c r="E683" s="29"/>
      <c r="F683" s="29">
        <v>1</v>
      </c>
    </row>
    <row r="684" spans="1:6" ht="15.75" hidden="1" customHeight="1" x14ac:dyDescent="0.2">
      <c r="A684" s="29"/>
      <c r="B684" s="29">
        <v>83027002</v>
      </c>
      <c r="C684" s="29" t="s">
        <v>1637</v>
      </c>
      <c r="D684" s="29" t="s">
        <v>2306</v>
      </c>
      <c r="E684" s="29" t="s">
        <v>2307</v>
      </c>
      <c r="F684" s="29" t="s">
        <v>1657</v>
      </c>
    </row>
    <row r="685" spans="1:6" ht="15.75" hidden="1" customHeight="1" x14ac:dyDescent="0.2">
      <c r="A685" s="29"/>
      <c r="B685" s="29">
        <v>75019402</v>
      </c>
      <c r="C685" s="29" t="s">
        <v>1528</v>
      </c>
      <c r="D685" s="29" t="s">
        <v>2308</v>
      </c>
      <c r="E685" s="29" t="s">
        <v>1916</v>
      </c>
      <c r="F685" s="29" t="s">
        <v>1014</v>
      </c>
    </row>
    <row r="686" spans="1:6" ht="15.75" hidden="1" customHeight="1" x14ac:dyDescent="0.2">
      <c r="A686" s="29"/>
      <c r="B686" s="29">
        <v>55423702</v>
      </c>
      <c r="C686" s="29" t="s">
        <v>1528</v>
      </c>
      <c r="D686" s="29" t="s">
        <v>2309</v>
      </c>
      <c r="E686" s="29" t="s">
        <v>1774</v>
      </c>
      <c r="F686" s="29" t="s">
        <v>897</v>
      </c>
    </row>
    <row r="687" spans="1:6" ht="15.75" hidden="1" customHeight="1" x14ac:dyDescent="0.2">
      <c r="A687" s="29"/>
      <c r="B687" s="29">
        <v>24889103</v>
      </c>
      <c r="C687" s="29" t="s">
        <v>1528</v>
      </c>
      <c r="D687" s="29" t="s">
        <v>2310</v>
      </c>
      <c r="E687" s="29" t="s">
        <v>1774</v>
      </c>
      <c r="F687" s="29" t="s">
        <v>2311</v>
      </c>
    </row>
    <row r="688" spans="1:6" ht="15.75" hidden="1" customHeight="1" x14ac:dyDescent="0.2">
      <c r="A688" s="29"/>
      <c r="B688" s="29">
        <v>30327902</v>
      </c>
      <c r="C688" s="29" t="s">
        <v>1528</v>
      </c>
      <c r="D688" s="29" t="s">
        <v>2312</v>
      </c>
      <c r="E688" s="29" t="s">
        <v>2313</v>
      </c>
      <c r="F688" s="29" t="s">
        <v>998</v>
      </c>
    </row>
    <row r="689" spans="1:26" ht="15.75" hidden="1" customHeight="1" x14ac:dyDescent="0.2">
      <c r="A689" s="29"/>
      <c r="B689" s="38">
        <v>42009002</v>
      </c>
      <c r="C689" s="29" t="s">
        <v>1528</v>
      </c>
      <c r="D689" s="29" t="s">
        <v>2314</v>
      </c>
      <c r="E689" s="29" t="s">
        <v>1714</v>
      </c>
      <c r="F689" s="29" t="s">
        <v>513</v>
      </c>
    </row>
    <row r="690" spans="1:26" ht="15.75" hidden="1" customHeight="1" x14ac:dyDescent="0.2">
      <c r="A690" s="29"/>
      <c r="B690" s="29">
        <v>83143703</v>
      </c>
      <c r="C690" s="29" t="s">
        <v>1528</v>
      </c>
      <c r="D690" s="29" t="s">
        <v>2308</v>
      </c>
      <c r="E690" s="29" t="s">
        <v>2157</v>
      </c>
      <c r="F690" s="29" t="s">
        <v>1080</v>
      </c>
    </row>
    <row r="691" spans="1:26" ht="15.75" hidden="1" customHeight="1" x14ac:dyDescent="0.2">
      <c r="A691" s="29"/>
      <c r="B691" s="29">
        <v>44480903</v>
      </c>
      <c r="C691" s="29" t="s">
        <v>1543</v>
      </c>
      <c r="D691" s="29" t="s">
        <v>2314</v>
      </c>
      <c r="E691" s="29" t="s">
        <v>2315</v>
      </c>
      <c r="F691" s="29" t="s">
        <v>2316</v>
      </c>
    </row>
    <row r="692" spans="1:26" ht="15.75" hidden="1" customHeight="1" x14ac:dyDescent="0.2">
      <c r="A692" s="29"/>
      <c r="B692" s="29">
        <v>44480903</v>
      </c>
      <c r="C692" s="29" t="s">
        <v>1528</v>
      </c>
      <c r="D692" s="29" t="s">
        <v>2317</v>
      </c>
      <c r="E692" s="29" t="s">
        <v>1774</v>
      </c>
      <c r="F692" s="29" t="s">
        <v>618</v>
      </c>
    </row>
    <row r="693" spans="1:26" ht="15.75" hidden="1" customHeight="1" x14ac:dyDescent="0.2">
      <c r="A693" s="29"/>
      <c r="B693" s="29">
        <v>43747603</v>
      </c>
      <c r="C693" s="29" t="s">
        <v>1543</v>
      </c>
      <c r="D693" s="29" t="s">
        <v>2318</v>
      </c>
      <c r="E693" s="29" t="s">
        <v>1616</v>
      </c>
      <c r="F693" s="29" t="s">
        <v>663</v>
      </c>
    </row>
    <row r="694" spans="1:26" ht="15.75" hidden="1" customHeight="1" x14ac:dyDescent="0.2">
      <c r="A694" s="29"/>
      <c r="B694" s="29">
        <v>12198203</v>
      </c>
      <c r="C694" s="29" t="s">
        <v>1637</v>
      </c>
      <c r="D694" s="29" t="s">
        <v>2318</v>
      </c>
      <c r="E694" s="29" t="s">
        <v>2319</v>
      </c>
      <c r="F694" s="29" t="s">
        <v>1588</v>
      </c>
    </row>
    <row r="695" spans="1:26" ht="15.75" hidden="1" customHeight="1" x14ac:dyDescent="0.2">
      <c r="A695" s="29"/>
      <c r="B695" s="29">
        <v>58185503</v>
      </c>
      <c r="C695" s="29" t="s">
        <v>1528</v>
      </c>
      <c r="D695" s="29" t="s">
        <v>2320</v>
      </c>
      <c r="E695" s="29" t="s">
        <v>2280</v>
      </c>
      <c r="F695" s="29" t="s">
        <v>2244</v>
      </c>
    </row>
    <row r="696" spans="1:26" ht="15.75" hidden="1" customHeight="1" x14ac:dyDescent="0.2">
      <c r="A696" s="29"/>
      <c r="B696" s="29">
        <v>59321401</v>
      </c>
      <c r="C696" s="29" t="s">
        <v>1528</v>
      </c>
      <c r="D696" s="29" t="s">
        <v>2320</v>
      </c>
      <c r="E696" s="29" t="s">
        <v>2321</v>
      </c>
      <c r="F696" s="29" t="s">
        <v>844</v>
      </c>
    </row>
    <row r="697" spans="1:26" ht="15.75" hidden="1" customHeight="1" x14ac:dyDescent="0.2">
      <c r="A697" s="29"/>
      <c r="B697" s="29">
        <v>89072103</v>
      </c>
      <c r="C697" s="29" t="s">
        <v>1528</v>
      </c>
      <c r="D697" s="29" t="s">
        <v>48</v>
      </c>
      <c r="E697" s="29" t="s">
        <v>2322</v>
      </c>
      <c r="F697" s="29" t="s">
        <v>1180</v>
      </c>
    </row>
    <row r="698" spans="1:26" ht="15.75" hidden="1" customHeight="1" x14ac:dyDescent="0.2">
      <c r="A698" s="29"/>
      <c r="B698" s="29">
        <v>59032903</v>
      </c>
      <c r="C698" s="29" t="s">
        <v>1528</v>
      </c>
      <c r="D698" s="29" t="s">
        <v>48</v>
      </c>
      <c r="E698" s="29" t="s">
        <v>2323</v>
      </c>
      <c r="F698" s="29" t="s">
        <v>539</v>
      </c>
    </row>
    <row r="699" spans="1:26" ht="15.75" hidden="1" customHeight="1" x14ac:dyDescent="0.2">
      <c r="A699" s="29"/>
      <c r="B699" s="29">
        <v>17053003</v>
      </c>
      <c r="C699" s="29" t="s">
        <v>1543</v>
      </c>
      <c r="D699" s="29" t="s">
        <v>2324</v>
      </c>
      <c r="E699" s="29" t="s">
        <v>2074</v>
      </c>
      <c r="F699" s="29" t="s">
        <v>666</v>
      </c>
    </row>
    <row r="700" spans="1:26" ht="15.75" hidden="1" customHeight="1" x14ac:dyDescent="0.2">
      <c r="A700" s="29"/>
      <c r="B700" s="29">
        <v>65178203</v>
      </c>
      <c r="C700" s="29" t="s">
        <v>1543</v>
      </c>
      <c r="D700" s="29" t="s">
        <v>48</v>
      </c>
      <c r="E700" s="29" t="s">
        <v>1913</v>
      </c>
      <c r="F700" s="29" t="s">
        <v>723</v>
      </c>
    </row>
    <row r="701" spans="1:26" ht="15.75" hidden="1" customHeight="1" x14ac:dyDescent="0.2">
      <c r="A701" s="21"/>
      <c r="B701" s="21">
        <v>12198203</v>
      </c>
      <c r="C701" s="21" t="s">
        <v>1528</v>
      </c>
      <c r="D701" s="42" t="s">
        <v>2325</v>
      </c>
      <c r="E701" s="21" t="s">
        <v>2326</v>
      </c>
      <c r="F701" s="21" t="s">
        <v>1588</v>
      </c>
      <c r="G701" s="75"/>
      <c r="H701" s="75"/>
      <c r="I701" s="75"/>
      <c r="J701" s="75"/>
      <c r="K701" s="75"/>
      <c r="L701" s="75"/>
      <c r="M701" s="75"/>
      <c r="N701" s="75"/>
      <c r="O701" s="75"/>
      <c r="P701" s="75"/>
      <c r="Q701" s="75"/>
      <c r="R701" s="75"/>
      <c r="S701" s="75"/>
      <c r="T701" s="75"/>
      <c r="U701" s="75"/>
      <c r="V701" s="75"/>
      <c r="W701" s="75"/>
      <c r="X701" s="75"/>
      <c r="Y701" s="75"/>
      <c r="Z701" s="75"/>
    </row>
    <row r="702" spans="1:26" ht="15.75" hidden="1" customHeight="1" x14ac:dyDescent="0.2">
      <c r="A702" s="29"/>
      <c r="B702" s="29">
        <v>61872202</v>
      </c>
      <c r="C702" s="29" t="s">
        <v>1530</v>
      </c>
      <c r="D702" s="29" t="s">
        <v>2327</v>
      </c>
      <c r="E702" s="29" t="s">
        <v>2328</v>
      </c>
      <c r="F702" s="29" t="s">
        <v>892</v>
      </c>
    </row>
    <row r="703" spans="1:26" ht="15.75" hidden="1" customHeight="1" x14ac:dyDescent="0.2">
      <c r="A703" s="29"/>
      <c r="B703" s="29">
        <v>75019402</v>
      </c>
      <c r="C703" s="29" t="s">
        <v>1543</v>
      </c>
      <c r="D703" s="29" t="s">
        <v>2329</v>
      </c>
      <c r="E703" s="29" t="s">
        <v>1896</v>
      </c>
      <c r="F703" s="29" t="s">
        <v>813</v>
      </c>
    </row>
    <row r="704" spans="1:26" ht="15.75" hidden="1" customHeight="1" x14ac:dyDescent="0.25">
      <c r="A704" s="29"/>
      <c r="B704" s="147">
        <v>45839</v>
      </c>
      <c r="C704" s="29"/>
      <c r="D704" s="29"/>
      <c r="E704" s="29"/>
      <c r="F704" s="29">
        <v>1</v>
      </c>
    </row>
    <row r="705" spans="1:6" ht="15.75" hidden="1" customHeight="1" x14ac:dyDescent="0.2">
      <c r="A705" s="29"/>
      <c r="B705" s="29">
        <v>25062302</v>
      </c>
      <c r="C705" s="29" t="s">
        <v>1528</v>
      </c>
      <c r="D705" s="29" t="s">
        <v>199</v>
      </c>
      <c r="E705" s="29" t="s">
        <v>2330</v>
      </c>
      <c r="F705" s="29" t="s">
        <v>2331</v>
      </c>
    </row>
    <row r="706" spans="1:6" ht="15.75" hidden="1" customHeight="1" x14ac:dyDescent="0.2">
      <c r="A706" s="29"/>
      <c r="B706" s="29">
        <v>58185503</v>
      </c>
      <c r="C706" s="29" t="s">
        <v>1528</v>
      </c>
      <c r="D706" s="29" t="s">
        <v>2332</v>
      </c>
      <c r="E706" s="29" t="s">
        <v>2333</v>
      </c>
      <c r="F706" s="29" t="s">
        <v>2244</v>
      </c>
    </row>
    <row r="707" spans="1:6" ht="15.75" hidden="1" customHeight="1" x14ac:dyDescent="0.2">
      <c r="A707" s="29"/>
      <c r="B707" s="29">
        <v>50258603</v>
      </c>
      <c r="C707" s="29" t="s">
        <v>1528</v>
      </c>
      <c r="D707" s="29" t="s">
        <v>2334</v>
      </c>
      <c r="E707" s="29" t="s">
        <v>1836</v>
      </c>
      <c r="F707" s="29" t="s">
        <v>1450</v>
      </c>
    </row>
    <row r="708" spans="1:6" ht="15.75" hidden="1" customHeight="1" x14ac:dyDescent="0.2">
      <c r="A708" s="29"/>
      <c r="B708" s="29">
        <v>21897903</v>
      </c>
      <c r="C708" s="29" t="s">
        <v>1528</v>
      </c>
      <c r="D708" s="29" t="s">
        <v>98</v>
      </c>
      <c r="E708" s="29" t="s">
        <v>2335</v>
      </c>
      <c r="F708" s="29" t="s">
        <v>2336</v>
      </c>
    </row>
    <row r="709" spans="1:6" ht="15.75" hidden="1" customHeight="1" x14ac:dyDescent="0.2">
      <c r="A709" s="29"/>
      <c r="B709" s="29">
        <v>64782302</v>
      </c>
      <c r="C709" s="29" t="s">
        <v>1543</v>
      </c>
      <c r="D709" s="29" t="s">
        <v>98</v>
      </c>
      <c r="E709" s="29" t="s">
        <v>2337</v>
      </c>
      <c r="F709" s="29" t="s">
        <v>1905</v>
      </c>
    </row>
    <row r="710" spans="1:6" ht="15.75" hidden="1" customHeight="1" x14ac:dyDescent="0.2">
      <c r="A710" s="29"/>
      <c r="B710" s="29">
        <v>66723902</v>
      </c>
      <c r="C710" s="29" t="s">
        <v>1530</v>
      </c>
      <c r="D710" s="29" t="s">
        <v>98</v>
      </c>
      <c r="E710" s="29" t="s">
        <v>2338</v>
      </c>
      <c r="F710" s="29" t="s">
        <v>671</v>
      </c>
    </row>
    <row r="711" spans="1:6" ht="15.75" hidden="1" customHeight="1" x14ac:dyDescent="0.2">
      <c r="A711" s="29"/>
      <c r="B711" s="29">
        <v>45366702</v>
      </c>
      <c r="C711" s="29" t="s">
        <v>1528</v>
      </c>
      <c r="D711" s="29" t="s">
        <v>2339</v>
      </c>
      <c r="E711" s="29" t="s">
        <v>1712</v>
      </c>
      <c r="F711" s="29" t="s">
        <v>1569</v>
      </c>
    </row>
    <row r="712" spans="1:6" ht="15.75" hidden="1" customHeight="1" x14ac:dyDescent="0.2">
      <c r="A712" s="29"/>
      <c r="B712" s="29">
        <v>43748203</v>
      </c>
      <c r="C712" s="29" t="s">
        <v>1528</v>
      </c>
      <c r="D712" s="29" t="s">
        <v>379</v>
      </c>
      <c r="E712" s="29" t="s">
        <v>2340</v>
      </c>
      <c r="F712" s="29" t="s">
        <v>877</v>
      </c>
    </row>
    <row r="713" spans="1:6" ht="15.75" hidden="1" customHeight="1" x14ac:dyDescent="0.2">
      <c r="A713" s="29"/>
      <c r="B713" s="29">
        <v>21705703</v>
      </c>
      <c r="C713" s="29" t="s">
        <v>1530</v>
      </c>
      <c r="D713" s="29" t="s">
        <v>2339</v>
      </c>
      <c r="E713" s="29" t="s">
        <v>1913</v>
      </c>
      <c r="F713" s="29" t="s">
        <v>2341</v>
      </c>
    </row>
    <row r="714" spans="1:6" ht="15.75" hidden="1" customHeight="1" x14ac:dyDescent="0.2">
      <c r="A714" s="63"/>
      <c r="B714" s="63">
        <v>63109602</v>
      </c>
      <c r="C714" s="63" t="s">
        <v>1530</v>
      </c>
      <c r="D714" s="63" t="s">
        <v>2342</v>
      </c>
      <c r="E714" s="63" t="s">
        <v>1594</v>
      </c>
      <c r="F714" s="63" t="s">
        <v>1604</v>
      </c>
    </row>
    <row r="715" spans="1:6" ht="15.75" hidden="1" customHeight="1" x14ac:dyDescent="0.2">
      <c r="A715" s="29"/>
      <c r="B715" s="29">
        <v>50258603</v>
      </c>
      <c r="C715" s="29" t="s">
        <v>1528</v>
      </c>
      <c r="D715" s="29" t="s">
        <v>2342</v>
      </c>
      <c r="E715" s="29" t="s">
        <v>1774</v>
      </c>
      <c r="F715" s="29" t="s">
        <v>1450</v>
      </c>
    </row>
    <row r="716" spans="1:6" ht="15.75" hidden="1" customHeight="1" x14ac:dyDescent="0.2">
      <c r="A716" s="29"/>
      <c r="B716" s="29">
        <v>59032903</v>
      </c>
      <c r="C716" s="29" t="s">
        <v>1528</v>
      </c>
      <c r="D716" s="29" t="s">
        <v>2343</v>
      </c>
      <c r="E716" s="29" t="s">
        <v>2344</v>
      </c>
      <c r="F716" s="29" t="s">
        <v>501</v>
      </c>
    </row>
    <row r="717" spans="1:6" ht="15.75" hidden="1" customHeight="1" x14ac:dyDescent="0.2">
      <c r="A717" s="29"/>
      <c r="B717" s="95">
        <v>24164804</v>
      </c>
      <c r="C717" s="29" t="s">
        <v>1528</v>
      </c>
      <c r="D717" s="29" t="s">
        <v>2345</v>
      </c>
      <c r="E717" s="29" t="s">
        <v>2346</v>
      </c>
      <c r="F717" s="29" t="s">
        <v>1212</v>
      </c>
    </row>
    <row r="718" spans="1:6" ht="15.75" hidden="1" customHeight="1" x14ac:dyDescent="0.2">
      <c r="A718" s="29"/>
      <c r="B718" s="29">
        <v>50574503</v>
      </c>
      <c r="C718" s="29" t="s">
        <v>1530</v>
      </c>
      <c r="D718" s="29" t="s">
        <v>2343</v>
      </c>
      <c r="E718" s="29" t="s">
        <v>1765</v>
      </c>
      <c r="F718" s="29" t="s">
        <v>937</v>
      </c>
    </row>
    <row r="719" spans="1:6" ht="15.75" hidden="1" customHeight="1" x14ac:dyDescent="0.2">
      <c r="A719" s="29"/>
      <c r="B719" s="29">
        <v>42009002</v>
      </c>
      <c r="C719" s="29" t="s">
        <v>1528</v>
      </c>
      <c r="D719" s="29" t="s">
        <v>2347</v>
      </c>
      <c r="E719" s="29" t="s">
        <v>2348</v>
      </c>
      <c r="F719" s="29" t="s">
        <v>998</v>
      </c>
    </row>
    <row r="720" spans="1:6" ht="15.75" hidden="1" customHeight="1" x14ac:dyDescent="0.2">
      <c r="A720" s="29"/>
      <c r="B720" s="29">
        <v>63765702</v>
      </c>
      <c r="C720" s="29" t="s">
        <v>1530</v>
      </c>
      <c r="D720" s="29" t="s">
        <v>2349</v>
      </c>
      <c r="E720" s="29" t="s">
        <v>2074</v>
      </c>
      <c r="F720" s="29" t="s">
        <v>1351</v>
      </c>
    </row>
    <row r="721" spans="1:6" ht="15.75" hidden="1" customHeight="1" x14ac:dyDescent="0.2">
      <c r="A721" s="29"/>
      <c r="B721" s="38">
        <v>65178203</v>
      </c>
      <c r="C721" s="29" t="s">
        <v>1528</v>
      </c>
      <c r="D721" s="29" t="s">
        <v>2350</v>
      </c>
      <c r="E721" s="29" t="s">
        <v>1774</v>
      </c>
      <c r="F721" s="29" t="s">
        <v>723</v>
      </c>
    </row>
    <row r="722" spans="1:6" ht="15.75" hidden="1" customHeight="1" x14ac:dyDescent="0.2">
      <c r="A722" s="29"/>
      <c r="B722" s="29">
        <v>69783502</v>
      </c>
      <c r="C722" s="29" t="s">
        <v>1528</v>
      </c>
      <c r="D722" s="29" t="s">
        <v>2351</v>
      </c>
      <c r="E722" s="29" t="s">
        <v>1673</v>
      </c>
      <c r="F722" s="29" t="s">
        <v>680</v>
      </c>
    </row>
    <row r="723" spans="1:6" ht="15.75" hidden="1" customHeight="1" x14ac:dyDescent="0.2">
      <c r="A723" s="29"/>
      <c r="B723" s="29">
        <v>66723902</v>
      </c>
      <c r="C723" s="29" t="s">
        <v>1528</v>
      </c>
      <c r="D723" s="29" t="s">
        <v>2345</v>
      </c>
      <c r="E723" s="29" t="s">
        <v>1774</v>
      </c>
      <c r="F723" s="29" t="s">
        <v>671</v>
      </c>
    </row>
    <row r="724" spans="1:6" ht="15.75" hidden="1" customHeight="1" x14ac:dyDescent="0.2">
      <c r="A724" s="29"/>
      <c r="B724" s="29">
        <v>65388703</v>
      </c>
      <c r="C724" s="29" t="s">
        <v>1528</v>
      </c>
      <c r="D724" s="29" t="s">
        <v>2352</v>
      </c>
      <c r="E724" s="29" t="s">
        <v>1774</v>
      </c>
      <c r="F724" s="29" t="s">
        <v>1027</v>
      </c>
    </row>
    <row r="725" spans="1:6" ht="15.75" hidden="1" customHeight="1" x14ac:dyDescent="0.25">
      <c r="A725" s="29"/>
      <c r="B725" s="147">
        <v>45870</v>
      </c>
      <c r="C725" s="29"/>
      <c r="D725" s="29"/>
      <c r="E725" s="29"/>
      <c r="F725" s="29">
        <v>1</v>
      </c>
    </row>
    <row r="726" spans="1:6" ht="15.75" hidden="1" customHeight="1" x14ac:dyDescent="0.2">
      <c r="A726" s="29"/>
      <c r="B726" s="29">
        <v>59124103</v>
      </c>
      <c r="C726" s="29" t="s">
        <v>1637</v>
      </c>
      <c r="D726" s="29" t="s">
        <v>2339</v>
      </c>
      <c r="E726" s="29" t="s">
        <v>1994</v>
      </c>
      <c r="F726" s="29" t="s">
        <v>2353</v>
      </c>
    </row>
    <row r="727" spans="1:6" ht="15.75" hidden="1" customHeight="1" x14ac:dyDescent="0.2">
      <c r="A727" s="29"/>
      <c r="B727" s="29">
        <v>64792303</v>
      </c>
      <c r="C727" s="29" t="s">
        <v>1530</v>
      </c>
      <c r="D727" s="29" t="s">
        <v>2354</v>
      </c>
      <c r="E727" s="29" t="s">
        <v>1609</v>
      </c>
      <c r="F727" s="29" t="s">
        <v>980</v>
      </c>
    </row>
    <row r="728" spans="1:6" ht="15.75" hidden="1" customHeight="1" x14ac:dyDescent="0.2">
      <c r="A728" s="29"/>
      <c r="B728" s="29">
        <v>59317703</v>
      </c>
      <c r="C728" s="29" t="s">
        <v>1528</v>
      </c>
      <c r="D728" s="29" t="s">
        <v>2355</v>
      </c>
      <c r="E728" s="29" t="s">
        <v>1974</v>
      </c>
      <c r="F728" s="29" t="s">
        <v>2150</v>
      </c>
    </row>
    <row r="729" spans="1:6" ht="15.75" hidden="1" customHeight="1" x14ac:dyDescent="0.2">
      <c r="A729" s="29"/>
      <c r="B729" s="29">
        <v>21897903</v>
      </c>
      <c r="C729" s="29" t="s">
        <v>1528</v>
      </c>
      <c r="D729" s="29" t="s">
        <v>2356</v>
      </c>
      <c r="E729" s="29" t="s">
        <v>2357</v>
      </c>
      <c r="F729" s="29" t="s">
        <v>552</v>
      </c>
    </row>
    <row r="730" spans="1:6" ht="15.75" hidden="1" customHeight="1" x14ac:dyDescent="0.2">
      <c r="A730" s="29"/>
      <c r="B730" s="29">
        <v>52150302</v>
      </c>
      <c r="C730" s="29" t="s">
        <v>1543</v>
      </c>
      <c r="D730" s="29" t="s">
        <v>2356</v>
      </c>
      <c r="E730" s="29" t="s">
        <v>2358</v>
      </c>
      <c r="F730" s="29" t="s">
        <v>1406</v>
      </c>
    </row>
    <row r="731" spans="1:6" ht="15.75" hidden="1" customHeight="1" x14ac:dyDescent="0.2">
      <c r="A731" s="29"/>
      <c r="B731" s="124">
        <v>40399103</v>
      </c>
      <c r="C731" s="29" t="s">
        <v>1543</v>
      </c>
      <c r="D731" s="29" t="s">
        <v>2359</v>
      </c>
      <c r="E731" s="29" t="s">
        <v>2231</v>
      </c>
      <c r="F731" s="29" t="s">
        <v>1626</v>
      </c>
    </row>
    <row r="732" spans="1:6" ht="15.75" hidden="1" customHeight="1" x14ac:dyDescent="0.2">
      <c r="A732" s="29"/>
      <c r="B732" s="29">
        <v>45366502</v>
      </c>
      <c r="C732" s="29" t="s">
        <v>1543</v>
      </c>
      <c r="D732" s="29" t="s">
        <v>2356</v>
      </c>
      <c r="E732" s="29" t="s">
        <v>2231</v>
      </c>
      <c r="F732" s="29" t="s">
        <v>1066</v>
      </c>
    </row>
    <row r="733" spans="1:6" ht="15.75" hidden="1" customHeight="1" x14ac:dyDescent="0.2">
      <c r="A733" s="29"/>
      <c r="B733" s="95">
        <v>31404802</v>
      </c>
      <c r="C733" s="29" t="s">
        <v>1528</v>
      </c>
      <c r="D733" s="29" t="s">
        <v>2360</v>
      </c>
      <c r="E733" s="29" t="s">
        <v>2361</v>
      </c>
      <c r="F733" s="29" t="s">
        <v>1410</v>
      </c>
    </row>
    <row r="734" spans="1:6" ht="15.75" hidden="1" customHeight="1" x14ac:dyDescent="0.2">
      <c r="A734" s="29"/>
      <c r="B734" s="38">
        <v>44480903</v>
      </c>
      <c r="C734" s="29" t="s">
        <v>1528</v>
      </c>
      <c r="D734" s="29" t="s">
        <v>2362</v>
      </c>
      <c r="E734" s="29" t="s">
        <v>1816</v>
      </c>
      <c r="F734" s="29" t="s">
        <v>618</v>
      </c>
    </row>
    <row r="735" spans="1:6" ht="15.75" hidden="1" customHeight="1" x14ac:dyDescent="0.2">
      <c r="A735" s="29"/>
      <c r="B735" s="29">
        <v>21898003</v>
      </c>
      <c r="C735" s="29" t="s">
        <v>1543</v>
      </c>
      <c r="D735" s="29" t="s">
        <v>2362</v>
      </c>
      <c r="E735" s="29" t="s">
        <v>1825</v>
      </c>
      <c r="F735" s="29" t="s">
        <v>1640</v>
      </c>
    </row>
    <row r="736" spans="1:6" ht="15.75" customHeight="1" x14ac:dyDescent="0.2">
      <c r="A736" s="29"/>
      <c r="B736" s="29">
        <v>65144703</v>
      </c>
      <c r="C736" s="29" t="s">
        <v>1528</v>
      </c>
      <c r="D736" s="29" t="s">
        <v>2363</v>
      </c>
      <c r="E736" s="29" t="s">
        <v>1774</v>
      </c>
      <c r="F736" s="29" t="s">
        <v>963</v>
      </c>
    </row>
    <row r="737" spans="1:6" ht="15.75" hidden="1" customHeight="1" x14ac:dyDescent="0.2">
      <c r="A737" s="29"/>
      <c r="B737" s="29">
        <v>22187603</v>
      </c>
      <c r="C737" s="29" t="s">
        <v>1637</v>
      </c>
      <c r="D737" s="29" t="s">
        <v>2363</v>
      </c>
      <c r="E737" s="29" t="s">
        <v>2364</v>
      </c>
      <c r="F737" s="29" t="s">
        <v>1598</v>
      </c>
    </row>
    <row r="738" spans="1:6" ht="15.75" hidden="1" customHeight="1" x14ac:dyDescent="0.2">
      <c r="A738" s="29"/>
      <c r="B738" s="29">
        <v>83774102</v>
      </c>
      <c r="C738" s="29" t="s">
        <v>1543</v>
      </c>
      <c r="D738" s="29" t="s">
        <v>2363</v>
      </c>
      <c r="E738" s="29" t="s">
        <v>1901</v>
      </c>
      <c r="F738" s="29" t="s">
        <v>1944</v>
      </c>
    </row>
    <row r="739" spans="1:6" ht="15.75" hidden="1" customHeight="1" x14ac:dyDescent="0.2">
      <c r="A739" s="29"/>
      <c r="B739" s="29">
        <v>64782302</v>
      </c>
      <c r="C739" s="29" t="s">
        <v>1528</v>
      </c>
      <c r="D739" s="29" t="s">
        <v>378</v>
      </c>
      <c r="E739" s="29" t="s">
        <v>2365</v>
      </c>
      <c r="F739" s="29" t="s">
        <v>1905</v>
      </c>
    </row>
    <row r="740" spans="1:6" ht="15.75" hidden="1" customHeight="1" x14ac:dyDescent="0.2">
      <c r="A740" s="29"/>
      <c r="B740" s="29">
        <v>75169702</v>
      </c>
      <c r="C740" s="29" t="s">
        <v>1530</v>
      </c>
      <c r="D740" s="29" t="s">
        <v>378</v>
      </c>
      <c r="E740" s="29" t="s">
        <v>1629</v>
      </c>
      <c r="F740" s="29" t="s">
        <v>1039</v>
      </c>
    </row>
    <row r="741" spans="1:6" ht="15.75" hidden="1" customHeight="1" x14ac:dyDescent="0.2">
      <c r="A741" s="29"/>
      <c r="B741" s="29">
        <v>15539804</v>
      </c>
      <c r="C741" s="29" t="s">
        <v>1637</v>
      </c>
      <c r="D741" s="29" t="s">
        <v>2366</v>
      </c>
      <c r="E741" s="29" t="s">
        <v>1843</v>
      </c>
      <c r="F741" s="29" t="s">
        <v>2304</v>
      </c>
    </row>
    <row r="742" spans="1:6" ht="15.75" hidden="1" customHeight="1" x14ac:dyDescent="0.2">
      <c r="A742" s="29"/>
      <c r="B742" s="29">
        <v>15539804</v>
      </c>
      <c r="C742" s="29" t="s">
        <v>1637</v>
      </c>
      <c r="D742" s="29" t="s">
        <v>2293</v>
      </c>
      <c r="E742" s="29" t="s">
        <v>2137</v>
      </c>
      <c r="F742" s="29" t="s">
        <v>2367</v>
      </c>
    </row>
    <row r="743" spans="1:6" ht="15.75" hidden="1" customHeight="1" x14ac:dyDescent="0.2">
      <c r="A743" s="29"/>
      <c r="B743" s="29">
        <v>83945403</v>
      </c>
      <c r="C743" s="29" t="s">
        <v>1543</v>
      </c>
      <c r="D743" s="29" t="s">
        <v>2368</v>
      </c>
      <c r="E743" s="29" t="s">
        <v>2137</v>
      </c>
      <c r="F743" s="29" t="s">
        <v>1033</v>
      </c>
    </row>
    <row r="744" spans="1:6" ht="15.75" hidden="1" customHeight="1" x14ac:dyDescent="0.2">
      <c r="A744" s="29"/>
      <c r="B744" s="29">
        <v>65178203</v>
      </c>
      <c r="C744" s="29" t="s">
        <v>1528</v>
      </c>
      <c r="D744" s="29" t="s">
        <v>182</v>
      </c>
      <c r="E744" s="29" t="s">
        <v>1774</v>
      </c>
      <c r="F744" s="29" t="s">
        <v>723</v>
      </c>
    </row>
    <row r="745" spans="1:6" ht="15.75" hidden="1" customHeight="1" x14ac:dyDescent="0.2">
      <c r="A745" s="29"/>
      <c r="B745" s="29">
        <v>22045903</v>
      </c>
      <c r="C745" s="29" t="s">
        <v>1528</v>
      </c>
      <c r="D745" s="29" t="s">
        <v>159</v>
      </c>
      <c r="E745" s="29" t="s">
        <v>2242</v>
      </c>
      <c r="F745" s="29" t="s">
        <v>868</v>
      </c>
    </row>
    <row r="746" spans="1:6" ht="15.75" hidden="1" customHeight="1" x14ac:dyDescent="0.25">
      <c r="A746" s="29"/>
      <c r="B746" s="147">
        <v>45901</v>
      </c>
      <c r="C746" s="29"/>
      <c r="D746" s="29"/>
      <c r="E746" s="29"/>
      <c r="F746" s="29">
        <v>1</v>
      </c>
    </row>
    <row r="747" spans="1:6" ht="15.75" hidden="1" customHeight="1" x14ac:dyDescent="0.2">
      <c r="A747" s="29"/>
      <c r="B747" s="29">
        <v>59347603</v>
      </c>
      <c r="C747" s="29" t="s">
        <v>1543</v>
      </c>
      <c r="D747" s="29" t="s">
        <v>175</v>
      </c>
      <c r="E747" s="29" t="s">
        <v>2369</v>
      </c>
      <c r="F747" s="29" t="s">
        <v>305</v>
      </c>
    </row>
    <row r="748" spans="1:6" ht="15.75" hidden="1" customHeight="1" x14ac:dyDescent="0.2">
      <c r="A748" s="29"/>
      <c r="B748" s="29">
        <v>83945303</v>
      </c>
      <c r="C748" s="29" t="s">
        <v>1543</v>
      </c>
      <c r="D748" s="29" t="s">
        <v>175</v>
      </c>
      <c r="E748" s="29" t="s">
        <v>1843</v>
      </c>
      <c r="F748" s="29" t="s">
        <v>1139</v>
      </c>
    </row>
    <row r="749" spans="1:6" ht="15.75" hidden="1" customHeight="1" x14ac:dyDescent="0.2">
      <c r="A749" s="29"/>
      <c r="B749" s="29">
        <v>65388703</v>
      </c>
      <c r="C749" s="29" t="s">
        <v>1543</v>
      </c>
      <c r="D749" s="29" t="s">
        <v>175</v>
      </c>
      <c r="E749" s="29" t="s">
        <v>1629</v>
      </c>
      <c r="F749" s="29" t="s">
        <v>1027</v>
      </c>
    </row>
    <row r="750" spans="1:6" ht="15.75" hidden="1" customHeight="1" x14ac:dyDescent="0.2">
      <c r="A750" s="29"/>
      <c r="B750" s="29">
        <v>64782302</v>
      </c>
      <c r="C750" s="29" t="s">
        <v>1543</v>
      </c>
      <c r="D750" s="29" t="s">
        <v>366</v>
      </c>
      <c r="E750" s="29" t="s">
        <v>1913</v>
      </c>
      <c r="F750" s="29" t="s">
        <v>1905</v>
      </c>
    </row>
    <row r="751" spans="1:6" ht="15.75" hidden="1" customHeight="1" x14ac:dyDescent="0.2">
      <c r="A751" s="29"/>
      <c r="B751" s="29">
        <v>44480903</v>
      </c>
      <c r="C751" s="29" t="s">
        <v>1543</v>
      </c>
      <c r="D751" s="29" t="s">
        <v>2370</v>
      </c>
      <c r="E751" s="29" t="s">
        <v>2371</v>
      </c>
      <c r="F751" s="29" t="s">
        <v>2316</v>
      </c>
    </row>
    <row r="752" spans="1:6" ht="15.75" hidden="1" customHeight="1" x14ac:dyDescent="0.2">
      <c r="A752" s="29"/>
      <c r="B752" s="29">
        <v>59032903</v>
      </c>
      <c r="C752" s="29" t="s">
        <v>1528</v>
      </c>
      <c r="D752" s="29" t="s">
        <v>2372</v>
      </c>
      <c r="E752" s="29" t="s">
        <v>2373</v>
      </c>
      <c r="F752" s="29" t="s">
        <v>501</v>
      </c>
    </row>
    <row r="753" spans="1:26" ht="15.75" customHeight="1" x14ac:dyDescent="0.2">
      <c r="A753" s="29"/>
      <c r="B753" s="29">
        <v>65144703</v>
      </c>
      <c r="C753" s="29" t="s">
        <v>1637</v>
      </c>
      <c r="D753" s="29" t="s">
        <v>2374</v>
      </c>
      <c r="E753" s="29" t="s">
        <v>1913</v>
      </c>
      <c r="F753" s="29" t="s">
        <v>963</v>
      </c>
    </row>
    <row r="754" spans="1:26" ht="15.75" hidden="1" customHeight="1" x14ac:dyDescent="0.2">
      <c r="A754" s="29"/>
      <c r="B754" s="29">
        <v>83027002</v>
      </c>
      <c r="C754" s="29" t="s">
        <v>1637</v>
      </c>
      <c r="D754" s="29" t="s">
        <v>2375</v>
      </c>
      <c r="E754" s="29" t="s">
        <v>2275</v>
      </c>
      <c r="F754" s="29" t="s">
        <v>1657</v>
      </c>
    </row>
    <row r="755" spans="1:26" ht="15.75" hidden="1" customHeight="1" x14ac:dyDescent="0.2">
      <c r="A755" s="29"/>
      <c r="B755" s="38">
        <v>45366502</v>
      </c>
      <c r="C755" s="29" t="s">
        <v>1528</v>
      </c>
      <c r="D755" s="29" t="s">
        <v>2376</v>
      </c>
      <c r="E755" s="29" t="s">
        <v>2377</v>
      </c>
      <c r="F755" s="29" t="s">
        <v>1066</v>
      </c>
    </row>
    <row r="756" spans="1:26" ht="15.75" hidden="1" customHeight="1" x14ac:dyDescent="0.2">
      <c r="A756" s="29"/>
      <c r="B756" s="29">
        <v>44480903</v>
      </c>
      <c r="C756" s="29" t="s">
        <v>1528</v>
      </c>
      <c r="D756" s="29" t="s">
        <v>2378</v>
      </c>
      <c r="E756" s="29" t="s">
        <v>1774</v>
      </c>
      <c r="F756" s="29" t="s">
        <v>2316</v>
      </c>
    </row>
    <row r="757" spans="1:26" ht="15.75" hidden="1" customHeight="1" x14ac:dyDescent="0.2">
      <c r="A757" s="29"/>
      <c r="B757" s="38">
        <v>59317703</v>
      </c>
      <c r="C757" s="29" t="s">
        <v>1528</v>
      </c>
      <c r="D757" s="29" t="s">
        <v>2378</v>
      </c>
      <c r="E757" s="29" t="s">
        <v>1774</v>
      </c>
      <c r="F757" s="29" t="s">
        <v>2150</v>
      </c>
    </row>
    <row r="758" spans="1:26" ht="15.75" hidden="1" customHeight="1" x14ac:dyDescent="0.2">
      <c r="A758" s="29"/>
      <c r="B758" s="95">
        <v>75169802</v>
      </c>
      <c r="C758" s="29" t="s">
        <v>1528</v>
      </c>
      <c r="D758" s="29" t="s">
        <v>2378</v>
      </c>
      <c r="E758" s="29" t="s">
        <v>1816</v>
      </c>
      <c r="F758" s="29" t="s">
        <v>601</v>
      </c>
    </row>
    <row r="759" spans="1:26" ht="15.75" hidden="1" customHeight="1" x14ac:dyDescent="0.2">
      <c r="A759" s="29"/>
      <c r="B759" s="38">
        <v>64792303</v>
      </c>
      <c r="C759" s="29" t="s">
        <v>1528</v>
      </c>
      <c r="D759" s="29" t="s">
        <v>176</v>
      </c>
      <c r="E759" s="29" t="s">
        <v>2379</v>
      </c>
      <c r="F759" s="29" t="s">
        <v>2380</v>
      </c>
    </row>
    <row r="760" spans="1:26" ht="15.75" hidden="1" customHeight="1" x14ac:dyDescent="0.2">
      <c r="A760" s="29"/>
      <c r="B760" s="38">
        <v>17053103</v>
      </c>
      <c r="C760" s="29" t="s">
        <v>1528</v>
      </c>
      <c r="D760" s="29" t="s">
        <v>2376</v>
      </c>
      <c r="E760" s="29" t="s">
        <v>1857</v>
      </c>
      <c r="F760" s="29" t="s">
        <v>919</v>
      </c>
    </row>
    <row r="761" spans="1:26" ht="15.75" hidden="1" customHeight="1" x14ac:dyDescent="0.2">
      <c r="A761" s="29"/>
      <c r="B761" s="38">
        <v>73456703</v>
      </c>
      <c r="C761" s="29" t="s">
        <v>1528</v>
      </c>
      <c r="D761" s="29" t="s">
        <v>2381</v>
      </c>
      <c r="E761" s="29" t="s">
        <v>1774</v>
      </c>
      <c r="F761" s="29" t="s">
        <v>2290</v>
      </c>
    </row>
    <row r="762" spans="1:26" ht="15.75" hidden="1" customHeight="1" x14ac:dyDescent="0.2">
      <c r="A762" s="29"/>
      <c r="B762" s="29">
        <v>43747603</v>
      </c>
      <c r="C762" s="29" t="s">
        <v>1528</v>
      </c>
      <c r="D762" s="29" t="s">
        <v>2382</v>
      </c>
      <c r="E762" s="29" t="s">
        <v>1731</v>
      </c>
      <c r="F762" s="29" t="s">
        <v>663</v>
      </c>
    </row>
    <row r="763" spans="1:26" ht="15.75" hidden="1" customHeight="1" x14ac:dyDescent="0.25">
      <c r="A763" s="29"/>
      <c r="B763" s="144" t="s">
        <v>2383</v>
      </c>
      <c r="C763" s="29"/>
      <c r="D763" s="29"/>
      <c r="E763" s="29"/>
      <c r="F763" s="29">
        <v>1</v>
      </c>
    </row>
    <row r="764" spans="1:26" ht="15.75" hidden="1" customHeight="1" x14ac:dyDescent="0.2">
      <c r="A764" s="29"/>
      <c r="B764" s="14">
        <v>22187603</v>
      </c>
      <c r="C764" s="29" t="s">
        <v>1528</v>
      </c>
      <c r="D764" s="29" t="s">
        <v>2384</v>
      </c>
      <c r="E764" s="29" t="s">
        <v>2323</v>
      </c>
      <c r="F764" s="29" t="s">
        <v>1598</v>
      </c>
    </row>
    <row r="765" spans="1:26" ht="15.75" hidden="1" customHeight="1" x14ac:dyDescent="0.2">
      <c r="A765" s="29"/>
      <c r="B765" s="38">
        <v>59317903</v>
      </c>
      <c r="C765" s="29" t="s">
        <v>1528</v>
      </c>
      <c r="D765" s="29" t="s">
        <v>2385</v>
      </c>
      <c r="E765" s="29" t="s">
        <v>1836</v>
      </c>
      <c r="F765" s="29" t="s">
        <v>994</v>
      </c>
    </row>
    <row r="766" spans="1:26" ht="15.75" hidden="1" customHeight="1" x14ac:dyDescent="0.2">
      <c r="A766" s="26"/>
      <c r="B766" s="26">
        <v>12198203</v>
      </c>
      <c r="C766" s="26" t="s">
        <v>1528</v>
      </c>
      <c r="D766" s="26" t="s">
        <v>2385</v>
      </c>
      <c r="E766" s="26" t="s">
        <v>2386</v>
      </c>
      <c r="F766" s="26" t="s">
        <v>2387</v>
      </c>
      <c r="G766" s="36"/>
      <c r="H766" s="36"/>
      <c r="I766" s="36"/>
      <c r="J766" s="36"/>
      <c r="K766" s="36"/>
      <c r="L766" s="36"/>
      <c r="M766" s="36"/>
      <c r="N766" s="36"/>
      <c r="O766" s="36"/>
      <c r="P766" s="36"/>
      <c r="Q766" s="36"/>
      <c r="R766" s="36"/>
      <c r="S766" s="36"/>
      <c r="T766" s="36"/>
      <c r="U766" s="36"/>
      <c r="V766" s="36"/>
      <c r="W766" s="36"/>
      <c r="X766" s="36"/>
      <c r="Y766" s="36"/>
      <c r="Z766" s="36"/>
    </row>
    <row r="767" spans="1:26" ht="15.75" hidden="1" customHeight="1" x14ac:dyDescent="0.2">
      <c r="A767" s="29"/>
      <c r="B767" s="38">
        <v>59317703</v>
      </c>
      <c r="C767" s="29" t="s">
        <v>1528</v>
      </c>
      <c r="D767" s="29" t="s">
        <v>2385</v>
      </c>
      <c r="E767" s="29" t="s">
        <v>1774</v>
      </c>
      <c r="F767" s="29" t="s">
        <v>2150</v>
      </c>
    </row>
    <row r="768" spans="1:26" ht="15.75" hidden="1" customHeight="1" x14ac:dyDescent="0.2">
      <c r="A768" s="26"/>
      <c r="B768" s="14">
        <v>59317703</v>
      </c>
      <c r="C768" s="26" t="s">
        <v>1814</v>
      </c>
      <c r="D768" s="26" t="s">
        <v>2388</v>
      </c>
      <c r="E768" s="26" t="s">
        <v>2389</v>
      </c>
      <c r="F768" s="26" t="s">
        <v>2390</v>
      </c>
      <c r="G768" s="36"/>
      <c r="H768" s="36"/>
      <c r="I768" s="36"/>
      <c r="J768" s="36"/>
      <c r="K768" s="36"/>
      <c r="L768" s="36"/>
      <c r="M768" s="36"/>
      <c r="N768" s="36"/>
      <c r="O768" s="36"/>
      <c r="P768" s="36"/>
      <c r="Q768" s="36"/>
      <c r="R768" s="36"/>
      <c r="S768" s="36"/>
      <c r="T768" s="36"/>
      <c r="U768" s="36"/>
      <c r="V768" s="36"/>
      <c r="W768" s="36"/>
      <c r="X768" s="36"/>
      <c r="Y768" s="36"/>
      <c r="Z768" s="36"/>
    </row>
    <row r="769" spans="1:26" ht="15.75" hidden="1" customHeight="1" x14ac:dyDescent="0.2">
      <c r="A769" s="29"/>
      <c r="B769" s="29">
        <v>50258603</v>
      </c>
      <c r="C769" s="29" t="s">
        <v>1637</v>
      </c>
      <c r="D769" s="29" t="s">
        <v>2378</v>
      </c>
      <c r="E769" s="29" t="s">
        <v>2391</v>
      </c>
      <c r="F769" s="29" t="s">
        <v>1450</v>
      </c>
    </row>
    <row r="770" spans="1:26" ht="15.75" hidden="1" customHeight="1" x14ac:dyDescent="0.2">
      <c r="A770" s="29"/>
      <c r="B770" s="29">
        <v>59124103</v>
      </c>
      <c r="C770" s="29" t="s">
        <v>1637</v>
      </c>
      <c r="D770" s="29" t="s">
        <v>2392</v>
      </c>
      <c r="E770" s="29" t="s">
        <v>1951</v>
      </c>
      <c r="F770" s="29" t="s">
        <v>774</v>
      </c>
    </row>
    <row r="771" spans="1:26" ht="15.75" hidden="1" customHeight="1" x14ac:dyDescent="0.2">
      <c r="A771" s="26"/>
      <c r="B771" s="26">
        <v>50574503</v>
      </c>
      <c r="C771" s="26" t="s">
        <v>1528</v>
      </c>
      <c r="D771" s="26" t="s">
        <v>404</v>
      </c>
      <c r="E771" s="26" t="s">
        <v>2393</v>
      </c>
      <c r="F771" s="26" t="s">
        <v>937</v>
      </c>
      <c r="G771" s="36"/>
      <c r="H771" s="36"/>
      <c r="I771" s="36"/>
      <c r="J771" s="36"/>
      <c r="K771" s="36"/>
      <c r="L771" s="36"/>
      <c r="M771" s="36"/>
      <c r="N771" s="36"/>
      <c r="O771" s="36"/>
      <c r="P771" s="36"/>
      <c r="Q771" s="36"/>
      <c r="R771" s="36"/>
      <c r="S771" s="36"/>
      <c r="T771" s="36"/>
      <c r="U771" s="36"/>
      <c r="V771" s="36"/>
      <c r="W771" s="36"/>
      <c r="X771" s="36"/>
      <c r="Y771" s="36"/>
      <c r="Z771" s="36"/>
    </row>
    <row r="772" spans="1:26" ht="15.75" hidden="1" customHeight="1" x14ac:dyDescent="0.2">
      <c r="A772" s="29"/>
      <c r="B772" s="29">
        <v>59317703</v>
      </c>
      <c r="C772" s="29" t="s">
        <v>1530</v>
      </c>
      <c r="D772" s="29" t="s">
        <v>2394</v>
      </c>
      <c r="E772" s="29" t="s">
        <v>2395</v>
      </c>
      <c r="F772" s="29" t="s">
        <v>2150</v>
      </c>
    </row>
    <row r="773" spans="1:26" ht="15.75" hidden="1" customHeight="1" x14ac:dyDescent="0.2">
      <c r="A773" s="29"/>
      <c r="B773" s="29">
        <v>65178203</v>
      </c>
      <c r="C773" s="29" t="s">
        <v>1543</v>
      </c>
      <c r="D773" s="29" t="s">
        <v>2396</v>
      </c>
      <c r="E773" s="29" t="s">
        <v>1901</v>
      </c>
      <c r="F773" s="29" t="s">
        <v>723</v>
      </c>
    </row>
    <row r="774" spans="1:26" ht="15.75" hidden="1" customHeight="1" x14ac:dyDescent="0.2">
      <c r="A774" s="29"/>
      <c r="B774" s="29">
        <v>14104704</v>
      </c>
      <c r="C774" s="29" t="s">
        <v>1543</v>
      </c>
      <c r="D774" s="29" t="s">
        <v>2396</v>
      </c>
      <c r="E774" s="29" t="s">
        <v>2397</v>
      </c>
      <c r="F774" s="29" t="s">
        <v>1075</v>
      </c>
    </row>
    <row r="775" spans="1:26" ht="15.75" hidden="1" customHeight="1" x14ac:dyDescent="0.2">
      <c r="A775" s="29"/>
      <c r="B775" s="29">
        <v>65388703</v>
      </c>
      <c r="C775" s="29" t="s">
        <v>1528</v>
      </c>
      <c r="D775" s="29" t="s">
        <v>2398</v>
      </c>
      <c r="E775" s="29" t="s">
        <v>2399</v>
      </c>
      <c r="F775" s="29" t="s">
        <v>1027</v>
      </c>
    </row>
    <row r="776" spans="1:26" ht="15.75" hidden="1" customHeight="1" x14ac:dyDescent="0.2">
      <c r="A776" s="29"/>
      <c r="B776" s="29">
        <v>50574503</v>
      </c>
      <c r="C776" s="29" t="s">
        <v>1528</v>
      </c>
      <c r="D776" s="29" t="s">
        <v>2400</v>
      </c>
      <c r="E776" s="29" t="s">
        <v>2323</v>
      </c>
      <c r="F776" s="29" t="s">
        <v>937</v>
      </c>
    </row>
    <row r="777" spans="1:26" ht="15.75" hidden="1" customHeight="1" x14ac:dyDescent="0.2">
      <c r="A777" s="29"/>
      <c r="B777" s="29">
        <v>59032903</v>
      </c>
      <c r="C777" s="29" t="s">
        <v>1543</v>
      </c>
      <c r="D777" s="29" t="s">
        <v>2398</v>
      </c>
      <c r="E777" s="29" t="s">
        <v>2208</v>
      </c>
      <c r="F777" s="29" t="s">
        <v>1152</v>
      </c>
    </row>
    <row r="778" spans="1:26" ht="15.75" hidden="1" customHeight="1" x14ac:dyDescent="0.2">
      <c r="A778" s="26"/>
      <c r="B778" s="26">
        <v>12198203</v>
      </c>
      <c r="C778" s="26" t="s">
        <v>1528</v>
      </c>
      <c r="D778" s="26" t="s">
        <v>2401</v>
      </c>
      <c r="E778" s="26" t="s">
        <v>2402</v>
      </c>
      <c r="F778" s="26" t="s">
        <v>1588</v>
      </c>
      <c r="G778" s="36"/>
      <c r="H778" s="36"/>
      <c r="I778" s="36"/>
      <c r="J778" s="36"/>
      <c r="K778" s="36"/>
      <c r="L778" s="36"/>
      <c r="M778" s="36"/>
      <c r="N778" s="36"/>
      <c r="O778" s="36"/>
      <c r="P778" s="36"/>
      <c r="Q778" s="36"/>
      <c r="R778" s="36"/>
      <c r="S778" s="36"/>
      <c r="T778" s="36"/>
      <c r="U778" s="36"/>
      <c r="V778" s="36"/>
      <c r="W778" s="36"/>
      <c r="X778" s="36"/>
      <c r="Y778" s="36"/>
      <c r="Z778" s="36"/>
    </row>
    <row r="779" spans="1:26" ht="15.75" hidden="1" customHeight="1" x14ac:dyDescent="0.2">
      <c r="A779" s="29"/>
      <c r="B779" s="29">
        <v>83945203</v>
      </c>
      <c r="C779" s="29" t="s">
        <v>1543</v>
      </c>
      <c r="D779" s="29" t="s">
        <v>2403</v>
      </c>
      <c r="E779" s="29" t="s">
        <v>1843</v>
      </c>
      <c r="F779" s="29" t="s">
        <v>567</v>
      </c>
    </row>
    <row r="780" spans="1:26" ht="15.75" hidden="1" customHeight="1" x14ac:dyDescent="0.2">
      <c r="A780" s="29"/>
      <c r="B780" s="29">
        <v>58185503</v>
      </c>
      <c r="C780" s="29" t="s">
        <v>1637</v>
      </c>
      <c r="D780" s="29" t="s">
        <v>2404</v>
      </c>
      <c r="E780" s="29" t="s">
        <v>1659</v>
      </c>
      <c r="F780" s="29" t="s">
        <v>2244</v>
      </c>
    </row>
    <row r="781" spans="1:26" ht="15.75" hidden="1" customHeight="1" x14ac:dyDescent="0.2">
      <c r="A781" s="29"/>
      <c r="B781" s="29">
        <v>22187603</v>
      </c>
      <c r="C781" s="29" t="s">
        <v>1528</v>
      </c>
      <c r="D781" s="29" t="s">
        <v>2404</v>
      </c>
      <c r="E781" s="29" t="s">
        <v>2224</v>
      </c>
      <c r="F781" s="29" t="s">
        <v>1598</v>
      </c>
    </row>
    <row r="782" spans="1:26" ht="15.75" hidden="1" customHeight="1" x14ac:dyDescent="0.2">
      <c r="A782" s="29"/>
      <c r="B782" s="14">
        <v>43748303</v>
      </c>
      <c r="C782" s="29" t="s">
        <v>1528</v>
      </c>
      <c r="D782" s="29" t="s">
        <v>2401</v>
      </c>
      <c r="E782" s="29" t="s">
        <v>2224</v>
      </c>
      <c r="F782" s="29" t="s">
        <v>802</v>
      </c>
    </row>
    <row r="783" spans="1:26" ht="15.75" hidden="1" customHeight="1" x14ac:dyDescent="0.2">
      <c r="A783" s="29"/>
      <c r="B783" s="29">
        <v>59032903</v>
      </c>
      <c r="C783" s="29" t="s">
        <v>1528</v>
      </c>
      <c r="D783" s="29" t="s">
        <v>2405</v>
      </c>
      <c r="E783" s="29" t="s">
        <v>1974</v>
      </c>
      <c r="F783" s="29" t="s">
        <v>1152</v>
      </c>
    </row>
    <row r="784" spans="1:26" ht="15.75" hidden="1" customHeight="1" x14ac:dyDescent="0.2">
      <c r="A784" s="29"/>
      <c r="B784" s="29">
        <v>59347603</v>
      </c>
      <c r="C784" s="29" t="s">
        <v>1528</v>
      </c>
      <c r="D784" s="29" t="s">
        <v>2385</v>
      </c>
      <c r="E784" s="29" t="s">
        <v>1866</v>
      </c>
      <c r="F784" s="29" t="s">
        <v>305</v>
      </c>
    </row>
    <row r="785" spans="1:6" ht="15.75" hidden="1" customHeight="1" x14ac:dyDescent="0.2">
      <c r="A785" s="29"/>
      <c r="B785" s="29">
        <v>21898003</v>
      </c>
      <c r="C785" s="29" t="s">
        <v>1528</v>
      </c>
      <c r="D785" s="29" t="s">
        <v>2392</v>
      </c>
      <c r="E785" s="29" t="s">
        <v>2406</v>
      </c>
      <c r="F785" s="29" t="s">
        <v>1640</v>
      </c>
    </row>
    <row r="786" spans="1:6" ht="15.75" hidden="1" customHeight="1" x14ac:dyDescent="0.2">
      <c r="A786" s="29"/>
      <c r="B786" s="29">
        <v>75169802</v>
      </c>
      <c r="C786" s="29" t="s">
        <v>1528</v>
      </c>
      <c r="D786" s="29" t="s">
        <v>2392</v>
      </c>
      <c r="E786" s="29" t="s">
        <v>2407</v>
      </c>
      <c r="F786" s="29" t="s">
        <v>601</v>
      </c>
    </row>
    <row r="787" spans="1:6" ht="15.75" hidden="1" customHeight="1" x14ac:dyDescent="0.2">
      <c r="A787" s="29"/>
      <c r="B787" s="29">
        <v>43748303</v>
      </c>
      <c r="C787" s="29" t="s">
        <v>1528</v>
      </c>
      <c r="D787" s="29" t="s">
        <v>2404</v>
      </c>
      <c r="E787" s="29" t="s">
        <v>2408</v>
      </c>
      <c r="F787" s="29" t="s">
        <v>802</v>
      </c>
    </row>
    <row r="788" spans="1:6" ht="15.75" customHeight="1" x14ac:dyDescent="0.2">
      <c r="A788" s="29"/>
      <c r="B788" s="29">
        <v>65144703</v>
      </c>
      <c r="C788" s="29" t="s">
        <v>1528</v>
      </c>
      <c r="D788" s="29" t="s">
        <v>2409</v>
      </c>
      <c r="E788" s="29" t="s">
        <v>1717</v>
      </c>
      <c r="F788" s="29" t="s">
        <v>963</v>
      </c>
    </row>
    <row r="789" spans="1:6" ht="15.75" hidden="1" customHeight="1" x14ac:dyDescent="0.2">
      <c r="A789" s="29"/>
      <c r="B789" s="29">
        <v>59032903</v>
      </c>
      <c r="C789" s="29" t="s">
        <v>1528</v>
      </c>
      <c r="D789" s="29" t="s">
        <v>2410</v>
      </c>
      <c r="E789" s="29" t="s">
        <v>2224</v>
      </c>
      <c r="F789" s="29" t="s">
        <v>1152</v>
      </c>
    </row>
    <row r="790" spans="1:6" ht="15.75" hidden="1" customHeight="1" x14ac:dyDescent="0.2">
      <c r="A790" s="29"/>
      <c r="B790" s="29">
        <v>83945503</v>
      </c>
      <c r="C790" s="29" t="s">
        <v>1543</v>
      </c>
      <c r="D790" s="29" t="s">
        <v>2405</v>
      </c>
      <c r="E790" s="29" t="s">
        <v>1843</v>
      </c>
      <c r="F790" s="29" t="s">
        <v>2411</v>
      </c>
    </row>
    <row r="791" spans="1:6" ht="15.75" hidden="1" customHeight="1" x14ac:dyDescent="0.25">
      <c r="A791" s="29"/>
      <c r="B791" s="147">
        <v>45962</v>
      </c>
      <c r="C791" s="29"/>
      <c r="D791" s="29"/>
      <c r="E791" s="29"/>
      <c r="F791" s="29">
        <v>1</v>
      </c>
    </row>
    <row r="792" spans="1:6" ht="15.75" hidden="1" customHeight="1" x14ac:dyDescent="0.2">
      <c r="A792" s="29"/>
      <c r="B792" s="95">
        <v>50258603</v>
      </c>
      <c r="C792" s="29" t="s">
        <v>1528</v>
      </c>
      <c r="D792" s="29" t="s">
        <v>2412</v>
      </c>
      <c r="E792" s="29" t="s">
        <v>1774</v>
      </c>
      <c r="F792" s="29" t="s">
        <v>1450</v>
      </c>
    </row>
    <row r="793" spans="1:6" ht="15.75" hidden="1" customHeight="1" x14ac:dyDescent="0.2">
      <c r="A793" s="29"/>
      <c r="B793" s="38">
        <v>42009002</v>
      </c>
      <c r="C793" s="29" t="s">
        <v>1528</v>
      </c>
      <c r="D793" s="29" t="s">
        <v>2413</v>
      </c>
      <c r="E793" s="29" t="s">
        <v>2414</v>
      </c>
      <c r="F793" s="29" t="s">
        <v>1141</v>
      </c>
    </row>
    <row r="794" spans="1:6" ht="15.75" hidden="1" customHeight="1" x14ac:dyDescent="0.2">
      <c r="A794" s="29"/>
      <c r="B794" s="29">
        <v>63109602</v>
      </c>
      <c r="C794" s="29" t="s">
        <v>1528</v>
      </c>
      <c r="D794" s="29" t="s">
        <v>2415</v>
      </c>
      <c r="E794" s="29" t="s">
        <v>2416</v>
      </c>
      <c r="F794" s="29" t="s">
        <v>1604</v>
      </c>
    </row>
    <row r="795" spans="1:6" ht="15.75" hidden="1" customHeight="1" x14ac:dyDescent="0.2">
      <c r="A795" s="29"/>
      <c r="B795" s="29">
        <v>12198203</v>
      </c>
      <c r="C795" s="29" t="s">
        <v>1637</v>
      </c>
      <c r="D795" s="29" t="s">
        <v>2417</v>
      </c>
      <c r="E795" s="29" t="s">
        <v>2391</v>
      </c>
      <c r="F795" s="29" t="s">
        <v>2418</v>
      </c>
    </row>
    <row r="796" spans="1:6" ht="15.75" customHeight="1" x14ac:dyDescent="0.2">
      <c r="A796" s="29"/>
      <c r="B796" s="29">
        <v>65144703</v>
      </c>
      <c r="C796" s="29" t="s">
        <v>1528</v>
      </c>
      <c r="D796" s="29" t="s">
        <v>2419</v>
      </c>
      <c r="E796" s="29" t="s">
        <v>2420</v>
      </c>
      <c r="F796" s="29" t="s">
        <v>963</v>
      </c>
    </row>
    <row r="797" spans="1:6" ht="15.75" hidden="1" customHeight="1" x14ac:dyDescent="0.2">
      <c r="A797" s="29"/>
      <c r="B797" s="29">
        <v>59124103</v>
      </c>
      <c r="C797" s="29" t="s">
        <v>1528</v>
      </c>
      <c r="D797" s="29" t="s">
        <v>2419</v>
      </c>
      <c r="E797" s="29" t="s">
        <v>1836</v>
      </c>
      <c r="F797" s="29" t="s">
        <v>774</v>
      </c>
    </row>
    <row r="798" spans="1:6" ht="15.75" hidden="1" customHeight="1" x14ac:dyDescent="0.2">
      <c r="A798" s="29"/>
      <c r="B798" s="29">
        <v>15539804</v>
      </c>
      <c r="C798" s="29" t="s">
        <v>1814</v>
      </c>
      <c r="D798" s="29" t="s">
        <v>2419</v>
      </c>
      <c r="E798" s="29" t="s">
        <v>2421</v>
      </c>
      <c r="F798" s="29" t="s">
        <v>2304</v>
      </c>
    </row>
    <row r="799" spans="1:6" ht="15.75" hidden="1" customHeight="1" x14ac:dyDescent="0.2">
      <c r="A799" s="29"/>
      <c r="B799" s="29">
        <v>83945503</v>
      </c>
      <c r="C799" s="29" t="s">
        <v>1528</v>
      </c>
      <c r="D799" s="29" t="s">
        <v>422</v>
      </c>
      <c r="E799" s="29" t="s">
        <v>1772</v>
      </c>
      <c r="F799" s="29" t="s">
        <v>2411</v>
      </c>
    </row>
    <row r="800" spans="1:6" ht="15.75" hidden="1" customHeight="1" x14ac:dyDescent="0.2">
      <c r="A800" s="29"/>
      <c r="B800" s="29">
        <v>43748203</v>
      </c>
      <c r="C800" s="29" t="s">
        <v>1543</v>
      </c>
      <c r="D800" s="29" t="s">
        <v>422</v>
      </c>
      <c r="E800" s="29" t="s">
        <v>1616</v>
      </c>
      <c r="F800" s="29" t="s">
        <v>877</v>
      </c>
    </row>
    <row r="801" spans="1:26" ht="15.75" hidden="1" customHeight="1" x14ac:dyDescent="0.2">
      <c r="A801" s="29"/>
      <c r="B801" s="29">
        <v>22045903</v>
      </c>
      <c r="C801" s="29" t="s">
        <v>1530</v>
      </c>
      <c r="D801" s="29" t="s">
        <v>87</v>
      </c>
      <c r="E801" s="29" t="s">
        <v>2422</v>
      </c>
      <c r="F801" s="29" t="s">
        <v>868</v>
      </c>
    </row>
    <row r="802" spans="1:26" ht="15.75" hidden="1" customHeight="1" x14ac:dyDescent="0.2">
      <c r="A802" s="29"/>
      <c r="B802" s="95">
        <v>50258603</v>
      </c>
      <c r="C802" s="29" t="s">
        <v>1528</v>
      </c>
      <c r="D802" s="29" t="s">
        <v>2423</v>
      </c>
      <c r="E802" s="29" t="s">
        <v>2424</v>
      </c>
      <c r="F802" s="29" t="s">
        <v>1450</v>
      </c>
    </row>
    <row r="803" spans="1:26" ht="15.75" hidden="1" customHeight="1" x14ac:dyDescent="0.2">
      <c r="A803" s="29"/>
      <c r="B803" s="29">
        <v>44480903</v>
      </c>
      <c r="C803" s="29" t="s">
        <v>1543</v>
      </c>
      <c r="D803" s="29" t="s">
        <v>2425</v>
      </c>
      <c r="E803" s="29" t="s">
        <v>1934</v>
      </c>
      <c r="F803" s="29" t="s">
        <v>2316</v>
      </c>
    </row>
    <row r="804" spans="1:26" ht="15.75" hidden="1" customHeight="1" x14ac:dyDescent="0.2">
      <c r="A804" s="29"/>
      <c r="B804" s="29">
        <v>59321401</v>
      </c>
      <c r="C804" s="29" t="s">
        <v>1528</v>
      </c>
      <c r="D804" s="29" t="s">
        <v>75</v>
      </c>
      <c r="E804" s="29" t="s">
        <v>2426</v>
      </c>
      <c r="F804" s="29" t="s">
        <v>844</v>
      </c>
    </row>
    <row r="805" spans="1:26" ht="15.75" hidden="1" customHeight="1" x14ac:dyDescent="0.2">
      <c r="A805" s="29"/>
      <c r="B805" s="95">
        <v>50258603</v>
      </c>
      <c r="C805" s="29" t="s">
        <v>1528</v>
      </c>
      <c r="D805" s="29" t="s">
        <v>2427</v>
      </c>
      <c r="E805" s="29" t="s">
        <v>1857</v>
      </c>
      <c r="F805" s="29" t="s">
        <v>1450</v>
      </c>
    </row>
    <row r="806" spans="1:26" ht="15.75" hidden="1" customHeight="1" x14ac:dyDescent="0.2">
      <c r="A806" s="29"/>
      <c r="B806" s="29">
        <v>65178203</v>
      </c>
      <c r="C806" s="29" t="s">
        <v>1528</v>
      </c>
      <c r="D806" s="29" t="s">
        <v>28</v>
      </c>
      <c r="E806" s="29" t="s">
        <v>1774</v>
      </c>
      <c r="F806" s="29" t="s">
        <v>723</v>
      </c>
    </row>
    <row r="807" spans="1:26" ht="15.75" hidden="1" customHeight="1" x14ac:dyDescent="0.2">
      <c r="A807" s="29"/>
      <c r="B807" s="29">
        <v>83027002</v>
      </c>
      <c r="C807" s="29" t="s">
        <v>1528</v>
      </c>
      <c r="D807" s="29" t="s">
        <v>2428</v>
      </c>
      <c r="E807" s="29" t="s">
        <v>1934</v>
      </c>
      <c r="F807" s="29" t="s">
        <v>1657</v>
      </c>
    </row>
    <row r="808" spans="1:26" ht="15.75" hidden="1" customHeight="1" x14ac:dyDescent="0.2">
      <c r="A808" s="26"/>
      <c r="B808" s="26">
        <v>59321401</v>
      </c>
      <c r="C808" s="26" t="s">
        <v>1528</v>
      </c>
      <c r="D808" s="26" t="s">
        <v>2429</v>
      </c>
      <c r="E808" s="26" t="s">
        <v>2430</v>
      </c>
      <c r="F808" s="26" t="s">
        <v>2431</v>
      </c>
      <c r="G808" s="36"/>
      <c r="H808" s="36"/>
      <c r="I808" s="36"/>
      <c r="J808" s="36"/>
      <c r="K808" s="36"/>
      <c r="L808" s="36"/>
      <c r="M808" s="36"/>
      <c r="N808" s="36"/>
      <c r="O808" s="36"/>
      <c r="P808" s="36"/>
      <c r="Q808" s="36"/>
      <c r="R808" s="36"/>
      <c r="S808" s="36"/>
      <c r="T808" s="36"/>
      <c r="U808" s="36"/>
      <c r="V808" s="36"/>
      <c r="W808" s="36"/>
      <c r="X808" s="36"/>
      <c r="Y808" s="36"/>
      <c r="Z808" s="36"/>
    </row>
    <row r="809" spans="1:26" ht="15.75" hidden="1" customHeight="1" x14ac:dyDescent="0.2">
      <c r="A809" s="29"/>
      <c r="B809" s="29">
        <v>44480903</v>
      </c>
      <c r="C809" s="29" t="s">
        <v>1528</v>
      </c>
      <c r="D809" s="29" t="s">
        <v>2432</v>
      </c>
      <c r="E809" s="29" t="s">
        <v>2433</v>
      </c>
      <c r="F809" s="29" t="s">
        <v>2316</v>
      </c>
    </row>
    <row r="810" spans="1:26" ht="15.75" hidden="1" customHeight="1" x14ac:dyDescent="0.2">
      <c r="A810" s="29"/>
      <c r="B810" s="29">
        <v>40399103</v>
      </c>
      <c r="C810" s="29" t="s">
        <v>1528</v>
      </c>
      <c r="D810" s="29" t="s">
        <v>2412</v>
      </c>
      <c r="E810" s="29" t="s">
        <v>1594</v>
      </c>
      <c r="F810" s="29" t="s">
        <v>596</v>
      </c>
    </row>
    <row r="811" spans="1:26" ht="15.75" hidden="1" customHeight="1" x14ac:dyDescent="0.2">
      <c r="A811" s="29"/>
      <c r="B811" s="29">
        <v>83143703</v>
      </c>
      <c r="C811" s="29" t="s">
        <v>1528</v>
      </c>
      <c r="D811" s="29" t="s">
        <v>422</v>
      </c>
      <c r="E811" s="29" t="s">
        <v>1594</v>
      </c>
      <c r="F811" s="29" t="s">
        <v>1080</v>
      </c>
    </row>
    <row r="812" spans="1:26" ht="15.75" customHeight="1" x14ac:dyDescent="0.2">
      <c r="A812" s="29"/>
      <c r="B812" s="29">
        <v>65144703</v>
      </c>
      <c r="C812" s="29" t="s">
        <v>1528</v>
      </c>
      <c r="D812" s="29" t="s">
        <v>452</v>
      </c>
      <c r="E812" s="29" t="s">
        <v>1774</v>
      </c>
      <c r="F812" s="29" t="s">
        <v>963</v>
      </c>
    </row>
    <row r="813" spans="1:26" ht="15.75" hidden="1" customHeight="1" x14ac:dyDescent="0.2">
      <c r="A813" s="29"/>
      <c r="B813" s="29">
        <v>22187603</v>
      </c>
      <c r="C813" s="29" t="s">
        <v>1528</v>
      </c>
      <c r="D813" s="29" t="s">
        <v>2434</v>
      </c>
      <c r="E813" s="29" t="s">
        <v>2435</v>
      </c>
      <c r="F813" s="29" t="s">
        <v>2436</v>
      </c>
    </row>
    <row r="814" spans="1:26" ht="15.75" hidden="1" customHeight="1" x14ac:dyDescent="0.25">
      <c r="A814" s="29"/>
      <c r="B814" s="147">
        <v>45992</v>
      </c>
      <c r="C814" s="29"/>
      <c r="D814" s="29"/>
      <c r="E814" s="29"/>
      <c r="F814" s="29">
        <v>1</v>
      </c>
    </row>
    <row r="815" spans="1:26" ht="15.75" hidden="1" customHeight="1" x14ac:dyDescent="0.2">
      <c r="A815" s="29"/>
      <c r="B815" s="29">
        <v>22045903</v>
      </c>
      <c r="C815" s="29" t="s">
        <v>1528</v>
      </c>
      <c r="D815" s="29" t="s">
        <v>2437</v>
      </c>
      <c r="E815" s="29" t="s">
        <v>1901</v>
      </c>
      <c r="F815" s="29" t="s">
        <v>1394</v>
      </c>
    </row>
    <row r="816" spans="1:26" ht="15.75" hidden="1" customHeight="1" x14ac:dyDescent="0.2">
      <c r="A816" s="29"/>
      <c r="B816" s="29">
        <v>65388703</v>
      </c>
      <c r="C816" s="29" t="s">
        <v>1528</v>
      </c>
      <c r="D816" s="29" t="s">
        <v>2437</v>
      </c>
      <c r="E816" s="29" t="s">
        <v>1774</v>
      </c>
      <c r="F816" s="29" t="s">
        <v>1027</v>
      </c>
    </row>
    <row r="817" spans="1:6" ht="15.75" hidden="1" customHeight="1" x14ac:dyDescent="0.2">
      <c r="A817" s="29"/>
      <c r="B817" s="29">
        <v>44480903</v>
      </c>
      <c r="C817" s="29" t="s">
        <v>1543</v>
      </c>
      <c r="D817" s="29" t="s">
        <v>2438</v>
      </c>
      <c r="E817" s="29" t="s">
        <v>2439</v>
      </c>
      <c r="F817" s="29" t="s">
        <v>2316</v>
      </c>
    </row>
    <row r="818" spans="1:6" ht="15.75" hidden="1" customHeight="1" x14ac:dyDescent="0.2">
      <c r="A818" s="29"/>
      <c r="B818" s="29">
        <v>59124103</v>
      </c>
      <c r="C818" s="29" t="s">
        <v>1637</v>
      </c>
      <c r="D818" s="29" t="s">
        <v>2440</v>
      </c>
      <c r="E818" s="29" t="s">
        <v>1659</v>
      </c>
      <c r="F818" s="29" t="s">
        <v>2441</v>
      </c>
    </row>
    <row r="819" spans="1:6" ht="15.75" hidden="1" customHeight="1" x14ac:dyDescent="0.2">
      <c r="A819" s="29"/>
      <c r="B819" s="14">
        <v>42009002</v>
      </c>
      <c r="C819" s="29" t="s">
        <v>1528</v>
      </c>
      <c r="D819" s="29" t="s">
        <v>200</v>
      </c>
      <c r="E819" s="29" t="s">
        <v>2442</v>
      </c>
      <c r="F819" s="29" t="s">
        <v>1141</v>
      </c>
    </row>
    <row r="820" spans="1:6" ht="15.75" hidden="1" customHeight="1" x14ac:dyDescent="0.2">
      <c r="A820" s="29"/>
      <c r="B820" s="29">
        <v>40399103</v>
      </c>
      <c r="C820" s="29" t="s">
        <v>1528</v>
      </c>
      <c r="D820" s="29" t="s">
        <v>200</v>
      </c>
      <c r="E820" s="29" t="s">
        <v>2443</v>
      </c>
      <c r="F820" s="29" t="s">
        <v>596</v>
      </c>
    </row>
    <row r="821" spans="1:6" ht="15.75" hidden="1" customHeight="1" x14ac:dyDescent="0.2">
      <c r="A821" s="29"/>
      <c r="B821" s="29">
        <v>40399103</v>
      </c>
      <c r="C821" s="29" t="s">
        <v>1528</v>
      </c>
      <c r="D821" s="29" t="s">
        <v>400</v>
      </c>
      <c r="E821" s="29" t="s">
        <v>1774</v>
      </c>
      <c r="F821" s="29" t="s">
        <v>1626</v>
      </c>
    </row>
    <row r="822" spans="1:6" ht="15.75" hidden="1" customHeight="1" x14ac:dyDescent="0.2">
      <c r="A822" s="29"/>
      <c r="B822" s="29">
        <v>19958504</v>
      </c>
      <c r="C822" s="29" t="s">
        <v>1637</v>
      </c>
      <c r="D822" s="29" t="s">
        <v>398</v>
      </c>
      <c r="E822" s="29" t="s">
        <v>1843</v>
      </c>
      <c r="F822" s="29" t="s">
        <v>1708</v>
      </c>
    </row>
    <row r="823" spans="1:6" ht="15.75" hidden="1" customHeight="1" x14ac:dyDescent="0.2">
      <c r="A823" s="29"/>
      <c r="B823" s="29">
        <v>15539804</v>
      </c>
      <c r="C823" s="29" t="s">
        <v>1637</v>
      </c>
      <c r="D823" s="29" t="s">
        <v>398</v>
      </c>
      <c r="E823" s="29" t="s">
        <v>2183</v>
      </c>
      <c r="F823" s="29" t="s">
        <v>2444</v>
      </c>
    </row>
    <row r="824" spans="1:6" ht="15.75" hidden="1" customHeight="1" x14ac:dyDescent="0.2">
      <c r="A824" s="29"/>
      <c r="B824" s="29">
        <v>24889103</v>
      </c>
      <c r="C824" s="29" t="s">
        <v>1528</v>
      </c>
      <c r="D824" s="29" t="s">
        <v>2445</v>
      </c>
      <c r="E824" s="29" t="s">
        <v>1774</v>
      </c>
      <c r="F824" s="29" t="s">
        <v>2311</v>
      </c>
    </row>
    <row r="825" spans="1:6" ht="15.75" hidden="1" customHeight="1" x14ac:dyDescent="0.2">
      <c r="A825" s="29"/>
      <c r="B825" s="29">
        <v>63109602</v>
      </c>
      <c r="C825" s="29" t="s">
        <v>1528</v>
      </c>
      <c r="D825" s="29"/>
      <c r="E825" s="29" t="s">
        <v>2446</v>
      </c>
      <c r="F825" s="29" t="s">
        <v>1604</v>
      </c>
    </row>
    <row r="826" spans="1:6" ht="15.75" hidden="1" customHeight="1" x14ac:dyDescent="0.2">
      <c r="A826" s="29"/>
      <c r="B826" s="29">
        <v>44480903</v>
      </c>
      <c r="C826" s="29" t="s">
        <v>1528</v>
      </c>
      <c r="D826" s="29" t="s">
        <v>2447</v>
      </c>
      <c r="E826" s="29" t="s">
        <v>1714</v>
      </c>
      <c r="F826" s="29" t="s">
        <v>618</v>
      </c>
    </row>
    <row r="827" spans="1:6" ht="15.75" hidden="1" customHeight="1" x14ac:dyDescent="0.2">
      <c r="A827" s="29"/>
      <c r="B827" s="29">
        <v>59032903</v>
      </c>
      <c r="C827" s="29" t="s">
        <v>1528</v>
      </c>
      <c r="D827" s="29" t="s">
        <v>2448</v>
      </c>
      <c r="E827" s="29" t="s">
        <v>1774</v>
      </c>
      <c r="F827" s="29" t="s">
        <v>2449</v>
      </c>
    </row>
    <row r="828" spans="1:6" ht="15.75" hidden="1" customHeight="1" x14ac:dyDescent="0.2">
      <c r="A828" s="29"/>
      <c r="B828" s="29">
        <v>59032903</v>
      </c>
      <c r="C828" s="29" t="s">
        <v>1528</v>
      </c>
      <c r="D828" s="29" t="s">
        <v>2405</v>
      </c>
      <c r="E828" s="29" t="s">
        <v>2450</v>
      </c>
      <c r="F828" s="29" t="s">
        <v>2451</v>
      </c>
    </row>
    <row r="829" spans="1:6" ht="15.75" hidden="1" customHeight="1" x14ac:dyDescent="0.2">
      <c r="A829" s="29"/>
      <c r="B829" s="29">
        <v>73445703</v>
      </c>
      <c r="C829" s="29" t="s">
        <v>1528</v>
      </c>
      <c r="D829" s="29" t="s">
        <v>181</v>
      </c>
      <c r="E829" s="29" t="s">
        <v>2452</v>
      </c>
      <c r="F829" s="29" t="s">
        <v>2453</v>
      </c>
    </row>
    <row r="830" spans="1:6" ht="15.75" hidden="1" customHeight="1" x14ac:dyDescent="0.2">
      <c r="A830" s="29"/>
      <c r="B830" s="29">
        <v>59317903</v>
      </c>
      <c r="C830" s="29" t="s">
        <v>1814</v>
      </c>
      <c r="D830" s="29" t="s">
        <v>2454</v>
      </c>
      <c r="E830" s="29" t="s">
        <v>2160</v>
      </c>
      <c r="F830" s="29" t="s">
        <v>2436</v>
      </c>
    </row>
    <row r="831" spans="1:6" ht="15.75" hidden="1" customHeight="1" x14ac:dyDescent="0.2">
      <c r="A831" s="29"/>
      <c r="B831" s="29">
        <v>44480903</v>
      </c>
      <c r="C831" s="29" t="s">
        <v>1528</v>
      </c>
      <c r="D831" s="29" t="s">
        <v>200</v>
      </c>
      <c r="E831" s="29" t="s">
        <v>1774</v>
      </c>
      <c r="F831" s="29" t="s">
        <v>2316</v>
      </c>
    </row>
    <row r="832" spans="1:6" ht="15.75" hidden="1" customHeight="1" x14ac:dyDescent="0.2">
      <c r="A832" s="29"/>
      <c r="B832" s="29">
        <v>83945203</v>
      </c>
      <c r="C832" s="29" t="s">
        <v>1528</v>
      </c>
      <c r="D832" s="29" t="s">
        <v>2454</v>
      </c>
      <c r="E832" s="29" t="s">
        <v>1616</v>
      </c>
      <c r="F832" s="29" t="s">
        <v>567</v>
      </c>
    </row>
    <row r="833" spans="1:6" ht="15.75" hidden="1" customHeight="1" x14ac:dyDescent="0.25">
      <c r="A833" s="29"/>
      <c r="B833" s="147">
        <v>46023</v>
      </c>
      <c r="C833" s="29"/>
      <c r="D833" s="29"/>
      <c r="E833" s="29"/>
      <c r="F833" s="29">
        <v>1</v>
      </c>
    </row>
    <row r="834" spans="1:6" ht="15.75" hidden="1" customHeight="1" x14ac:dyDescent="0.2">
      <c r="A834" s="29"/>
      <c r="B834" s="14">
        <v>59321401</v>
      </c>
      <c r="C834" s="29" t="s">
        <v>1528</v>
      </c>
      <c r="D834" s="29" t="s">
        <v>2455</v>
      </c>
      <c r="E834" s="29" t="s">
        <v>2357</v>
      </c>
      <c r="F834" s="29" t="s">
        <v>844</v>
      </c>
    </row>
    <row r="835" spans="1:6" ht="15.75" hidden="1" customHeight="1" x14ac:dyDescent="0.2">
      <c r="A835" s="29"/>
      <c r="B835" s="14">
        <v>59317903</v>
      </c>
      <c r="C835" s="29" t="s">
        <v>1637</v>
      </c>
      <c r="D835" s="29" t="s">
        <v>2455</v>
      </c>
      <c r="E835" s="29" t="s">
        <v>1793</v>
      </c>
      <c r="F835" s="29" t="s">
        <v>2436</v>
      </c>
    </row>
    <row r="836" spans="1:6" ht="15.75" hidden="1" customHeight="1" x14ac:dyDescent="0.2">
      <c r="A836" s="29"/>
      <c r="B836" s="29">
        <v>24164803</v>
      </c>
      <c r="C836" s="29" t="s">
        <v>1528</v>
      </c>
      <c r="D836" s="29" t="s">
        <v>213</v>
      </c>
      <c r="E836" s="29" t="s">
        <v>1774</v>
      </c>
      <c r="F836" s="29" t="s">
        <v>2456</v>
      </c>
    </row>
    <row r="837" spans="1:6" ht="15.75" hidden="1" customHeight="1" x14ac:dyDescent="0.2">
      <c r="A837" s="29"/>
      <c r="B837" s="29">
        <v>65388703</v>
      </c>
      <c r="C837" s="29" t="s">
        <v>1543</v>
      </c>
      <c r="D837" s="29" t="s">
        <v>2457</v>
      </c>
      <c r="E837" s="29" t="s">
        <v>2458</v>
      </c>
      <c r="F837" s="29" t="s">
        <v>1027</v>
      </c>
    </row>
    <row r="838" spans="1:6" ht="15.75" hidden="1" customHeight="1" x14ac:dyDescent="0.2">
      <c r="A838" s="29"/>
      <c r="B838" s="29">
        <v>50258603</v>
      </c>
      <c r="C838" s="29" t="s">
        <v>1528</v>
      </c>
      <c r="D838" s="29" t="s">
        <v>209</v>
      </c>
      <c r="E838" s="29" t="s">
        <v>1774</v>
      </c>
      <c r="F838" s="29" t="s">
        <v>1450</v>
      </c>
    </row>
    <row r="839" spans="1:6" ht="15.75" hidden="1" customHeight="1" x14ac:dyDescent="0.2">
      <c r="A839" s="29"/>
      <c r="B839" s="29">
        <v>59032903</v>
      </c>
      <c r="C839" s="29" t="s">
        <v>1543</v>
      </c>
      <c r="D839" s="29" t="s">
        <v>2459</v>
      </c>
      <c r="E839" s="29" t="s">
        <v>2460</v>
      </c>
      <c r="F839" s="29" t="s">
        <v>2449</v>
      </c>
    </row>
    <row r="840" spans="1:6" ht="15.75" hidden="1" customHeight="1" x14ac:dyDescent="0.2">
      <c r="A840" s="29"/>
      <c r="B840" s="29">
        <v>21705703</v>
      </c>
      <c r="C840" s="29" t="s">
        <v>1528</v>
      </c>
      <c r="D840" s="29" t="s">
        <v>2459</v>
      </c>
      <c r="E840" s="29" t="s">
        <v>1901</v>
      </c>
      <c r="F840" s="29" t="s">
        <v>1417</v>
      </c>
    </row>
    <row r="841" spans="1:6" ht="15.75" hidden="1" customHeight="1" x14ac:dyDescent="0.2">
      <c r="A841" s="29"/>
      <c r="B841" s="29">
        <v>64792303</v>
      </c>
      <c r="C841" s="29" t="s">
        <v>1528</v>
      </c>
      <c r="D841" s="29" t="s">
        <v>2461</v>
      </c>
      <c r="E841" s="29" t="s">
        <v>1616</v>
      </c>
      <c r="F841" s="29" t="s">
        <v>2380</v>
      </c>
    </row>
    <row r="842" spans="1:6" ht="15.75" hidden="1" customHeight="1" x14ac:dyDescent="0.2">
      <c r="A842" s="29"/>
      <c r="B842" s="29">
        <v>21898003</v>
      </c>
      <c r="C842" s="29" t="s">
        <v>1528</v>
      </c>
      <c r="D842" s="29" t="s">
        <v>152</v>
      </c>
      <c r="E842" s="29" t="s">
        <v>2315</v>
      </c>
      <c r="F842" s="29" t="s">
        <v>1640</v>
      </c>
    </row>
    <row r="843" spans="1:6" ht="15.75" customHeight="1" x14ac:dyDescent="0.2">
      <c r="A843" s="29"/>
      <c r="B843" s="29">
        <v>65144703</v>
      </c>
      <c r="C843" s="29" t="s">
        <v>1637</v>
      </c>
      <c r="D843" s="29" t="s">
        <v>2462</v>
      </c>
      <c r="E843" s="29" t="s">
        <v>2463</v>
      </c>
      <c r="F843" s="29" t="s">
        <v>963</v>
      </c>
    </row>
    <row r="844" spans="1:6" ht="15.75" hidden="1" customHeight="1" x14ac:dyDescent="0.2">
      <c r="A844" s="29"/>
      <c r="B844" s="29">
        <v>13738004</v>
      </c>
      <c r="C844" s="29" t="s">
        <v>1543</v>
      </c>
      <c r="D844" s="29" t="s">
        <v>152</v>
      </c>
      <c r="E844" s="29" t="s">
        <v>2464</v>
      </c>
      <c r="F844" s="29" t="s">
        <v>2465</v>
      </c>
    </row>
    <row r="845" spans="1:6" ht="15.75" hidden="1" customHeight="1" x14ac:dyDescent="0.2">
      <c r="A845" s="29"/>
      <c r="B845" s="29">
        <v>64782302</v>
      </c>
      <c r="C845" s="29" t="s">
        <v>1528</v>
      </c>
      <c r="D845" s="29" t="s">
        <v>209</v>
      </c>
      <c r="E845" s="29" t="s">
        <v>2466</v>
      </c>
      <c r="F845" s="29" t="s">
        <v>1905</v>
      </c>
    </row>
    <row r="846" spans="1:6" ht="15.75" hidden="1" customHeight="1" x14ac:dyDescent="0.2">
      <c r="A846" s="29"/>
      <c r="B846" s="154">
        <v>43748203</v>
      </c>
      <c r="C846" s="29" t="s">
        <v>1528</v>
      </c>
      <c r="D846" s="29" t="s">
        <v>392</v>
      </c>
      <c r="E846" s="29" t="s">
        <v>2467</v>
      </c>
      <c r="F846" s="29" t="s">
        <v>877</v>
      </c>
    </row>
    <row r="847" spans="1:6" ht="15.75" hidden="1" customHeight="1" x14ac:dyDescent="0.2">
      <c r="A847" s="29"/>
      <c r="B847" s="26">
        <v>14104704</v>
      </c>
      <c r="C847" s="29" t="s">
        <v>1528</v>
      </c>
      <c r="D847" s="29" t="s">
        <v>392</v>
      </c>
      <c r="E847" s="29" t="s">
        <v>2468</v>
      </c>
      <c r="F847" s="29" t="s">
        <v>1075</v>
      </c>
    </row>
    <row r="848" spans="1:6" ht="15.75" hidden="1" customHeight="1" x14ac:dyDescent="0.2">
      <c r="A848" s="29"/>
      <c r="B848" s="29">
        <v>42009002</v>
      </c>
      <c r="C848" s="29" t="s">
        <v>1528</v>
      </c>
      <c r="D848" s="29" t="s">
        <v>392</v>
      </c>
      <c r="E848" s="29" t="s">
        <v>2469</v>
      </c>
      <c r="F848" s="29" t="s">
        <v>1141</v>
      </c>
    </row>
    <row r="849" spans="1:26" ht="15.75" hidden="1" customHeight="1" x14ac:dyDescent="0.2">
      <c r="A849" s="29"/>
      <c r="B849" s="29">
        <v>17053103</v>
      </c>
      <c r="C849" s="29" t="s">
        <v>1528</v>
      </c>
      <c r="D849" s="29" t="s">
        <v>392</v>
      </c>
      <c r="E849" s="29" t="s">
        <v>2470</v>
      </c>
      <c r="F849" s="29" t="s">
        <v>1357</v>
      </c>
    </row>
    <row r="850" spans="1:26" ht="15.75" hidden="1" customHeight="1" x14ac:dyDescent="0.2">
      <c r="A850" s="29"/>
      <c r="B850" s="29">
        <v>59317703</v>
      </c>
      <c r="C850" s="29" t="s">
        <v>1528</v>
      </c>
      <c r="D850" s="29" t="s">
        <v>2471</v>
      </c>
      <c r="E850" s="29" t="s">
        <v>2472</v>
      </c>
      <c r="F850" s="29" t="s">
        <v>1187</v>
      </c>
    </row>
    <row r="851" spans="1:26" ht="15.75" hidden="1" customHeight="1" x14ac:dyDescent="0.2">
      <c r="A851" s="29"/>
      <c r="B851" s="14">
        <v>65178203</v>
      </c>
      <c r="C851" s="29" t="s">
        <v>1528</v>
      </c>
      <c r="D851" s="29" t="s">
        <v>403</v>
      </c>
      <c r="E851" s="29" t="s">
        <v>2473</v>
      </c>
      <c r="F851" s="29" t="s">
        <v>723</v>
      </c>
    </row>
    <row r="852" spans="1:26" ht="15.75" hidden="1" customHeight="1" x14ac:dyDescent="0.2">
      <c r="A852" s="155"/>
      <c r="B852" s="14">
        <v>59317703</v>
      </c>
      <c r="C852" s="156" t="s">
        <v>1528</v>
      </c>
      <c r="D852" s="29" t="s">
        <v>2474</v>
      </c>
      <c r="E852" s="29" t="s">
        <v>2475</v>
      </c>
      <c r="F852" s="29" t="s">
        <v>1187</v>
      </c>
    </row>
    <row r="853" spans="1:26" ht="15.75" hidden="1" customHeight="1" x14ac:dyDescent="0.2">
      <c r="A853" s="155"/>
      <c r="B853" s="14">
        <v>23243904</v>
      </c>
      <c r="C853" s="156" t="s">
        <v>1528</v>
      </c>
      <c r="D853" s="29" t="s">
        <v>2476</v>
      </c>
      <c r="E853" s="29" t="s">
        <v>1774</v>
      </c>
      <c r="F853" s="29" t="s">
        <v>517</v>
      </c>
    </row>
    <row r="854" spans="1:26" ht="15.75" hidden="1" customHeight="1" x14ac:dyDescent="0.2">
      <c r="A854" s="29"/>
      <c r="B854" s="152">
        <v>40399103</v>
      </c>
      <c r="C854" s="29" t="s">
        <v>1528</v>
      </c>
      <c r="D854" s="29" t="s">
        <v>117</v>
      </c>
      <c r="E854" s="29" t="s">
        <v>2477</v>
      </c>
      <c r="F854" s="29" t="s">
        <v>1626</v>
      </c>
    </row>
    <row r="855" spans="1:26" ht="15.75" hidden="1" customHeight="1" x14ac:dyDescent="0.25">
      <c r="A855" s="29"/>
      <c r="B855" s="147">
        <v>46054</v>
      </c>
      <c r="C855" s="29"/>
      <c r="D855" s="29"/>
      <c r="E855" s="29"/>
      <c r="F855" s="29">
        <v>1</v>
      </c>
    </row>
    <row r="856" spans="1:26" ht="15.75" hidden="1" customHeight="1" x14ac:dyDescent="0.2">
      <c r="A856" s="29"/>
      <c r="B856" s="29">
        <v>42009002</v>
      </c>
      <c r="C856" s="29" t="s">
        <v>1814</v>
      </c>
      <c r="D856" s="29" t="s">
        <v>47</v>
      </c>
      <c r="E856" s="29" t="s">
        <v>2478</v>
      </c>
      <c r="F856" s="29" t="s">
        <v>1141</v>
      </c>
    </row>
    <row r="857" spans="1:26" ht="15.75" hidden="1" customHeight="1" x14ac:dyDescent="0.2">
      <c r="A857" s="29"/>
      <c r="B857" s="29">
        <v>59317703</v>
      </c>
      <c r="C857" s="29" t="s">
        <v>1528</v>
      </c>
      <c r="D857" s="29" t="s">
        <v>2479</v>
      </c>
      <c r="E857" s="29" t="s">
        <v>1774</v>
      </c>
      <c r="F857" s="29" t="s">
        <v>1187</v>
      </c>
    </row>
    <row r="858" spans="1:26" ht="15.75" hidden="1" customHeight="1" x14ac:dyDescent="0.2">
      <c r="A858" s="29"/>
      <c r="B858" s="29">
        <v>59317703</v>
      </c>
      <c r="C858" s="29" t="s">
        <v>1543</v>
      </c>
      <c r="D858" s="29" t="s">
        <v>2480</v>
      </c>
      <c r="E858" s="29" t="s">
        <v>1659</v>
      </c>
      <c r="F858" s="29" t="s">
        <v>1187</v>
      </c>
    </row>
    <row r="859" spans="1:26" ht="15.75" hidden="1" customHeight="1" x14ac:dyDescent="0.2">
      <c r="A859" s="26"/>
      <c r="B859" s="14">
        <v>44480903</v>
      </c>
      <c r="C859" s="26" t="s">
        <v>1528</v>
      </c>
      <c r="D859" s="26" t="s">
        <v>2481</v>
      </c>
      <c r="E859" s="26" t="s">
        <v>2482</v>
      </c>
      <c r="F859" s="26" t="s">
        <v>618</v>
      </c>
      <c r="G859" s="36"/>
      <c r="H859" s="36"/>
      <c r="I859" s="36"/>
      <c r="J859" s="36"/>
      <c r="K859" s="36"/>
      <c r="L859" s="36"/>
      <c r="M859" s="36"/>
      <c r="N859" s="36"/>
      <c r="O859" s="36"/>
      <c r="P859" s="36"/>
      <c r="Q859" s="36"/>
      <c r="R859" s="36"/>
      <c r="S859" s="36"/>
      <c r="T859" s="36"/>
      <c r="U859" s="36"/>
      <c r="V859" s="36"/>
      <c r="W859" s="36"/>
      <c r="X859" s="36"/>
      <c r="Y859" s="36"/>
      <c r="Z859" s="36"/>
    </row>
    <row r="860" spans="1:26" ht="15.75" hidden="1" customHeight="1" x14ac:dyDescent="0.2">
      <c r="A860" s="29"/>
      <c r="B860" s="29">
        <v>83945303</v>
      </c>
      <c r="C860" s="29" t="s">
        <v>2483</v>
      </c>
      <c r="D860" s="29" t="s">
        <v>2484</v>
      </c>
      <c r="E860" s="29" t="s">
        <v>2183</v>
      </c>
      <c r="F860" s="29" t="s">
        <v>1139</v>
      </c>
    </row>
    <row r="861" spans="1:26" ht="15.75" hidden="1" customHeight="1" x14ac:dyDescent="0.2">
      <c r="A861" s="29"/>
      <c r="B861" s="29">
        <v>55423702</v>
      </c>
      <c r="C861" s="29" t="s">
        <v>2483</v>
      </c>
      <c r="D861" s="29" t="s">
        <v>2485</v>
      </c>
      <c r="E861" s="29" t="s">
        <v>2486</v>
      </c>
      <c r="F861" s="29" t="s">
        <v>2465</v>
      </c>
    </row>
    <row r="862" spans="1:26" ht="15.75" hidden="1" customHeight="1" x14ac:dyDescent="0.2">
      <c r="A862" s="29"/>
      <c r="B862" s="29">
        <v>59032903</v>
      </c>
      <c r="C862" s="29" t="s">
        <v>1543</v>
      </c>
      <c r="D862" s="29" t="s">
        <v>153</v>
      </c>
      <c r="E862" s="29" t="s">
        <v>2487</v>
      </c>
      <c r="F862" s="29" t="s">
        <v>2449</v>
      </c>
    </row>
    <row r="863" spans="1:26" ht="15.75" hidden="1" customHeight="1" x14ac:dyDescent="0.2">
      <c r="A863" s="29"/>
      <c r="B863" s="29">
        <v>17053103</v>
      </c>
      <c r="C863" s="29" t="s">
        <v>1528</v>
      </c>
      <c r="D863" s="29" t="s">
        <v>399</v>
      </c>
      <c r="E863" s="29" t="s">
        <v>2488</v>
      </c>
      <c r="F863" s="29" t="s">
        <v>1357</v>
      </c>
    </row>
    <row r="864" spans="1:26" ht="15.75" hidden="1" customHeight="1" x14ac:dyDescent="0.2">
      <c r="A864" s="29"/>
      <c r="B864" s="29">
        <v>58185503</v>
      </c>
      <c r="C864" s="29" t="s">
        <v>1637</v>
      </c>
      <c r="D864" s="29" t="s">
        <v>2489</v>
      </c>
      <c r="E864" s="29" t="s">
        <v>2208</v>
      </c>
      <c r="F864" s="29" t="s">
        <v>2244</v>
      </c>
    </row>
    <row r="865" spans="1:26" ht="15.75" hidden="1" customHeight="1" x14ac:dyDescent="0.2">
      <c r="A865" s="29"/>
      <c r="B865" s="29">
        <v>50258603</v>
      </c>
      <c r="C865" s="29" t="s">
        <v>1637</v>
      </c>
      <c r="D865" s="29" t="s">
        <v>399</v>
      </c>
      <c r="E865" s="29" t="s">
        <v>1912</v>
      </c>
      <c r="F865" s="29" t="s">
        <v>1450</v>
      </c>
    </row>
    <row r="866" spans="1:26" ht="15.75" hidden="1" customHeight="1" x14ac:dyDescent="0.2">
      <c r="A866" s="29"/>
      <c r="B866" s="29">
        <v>21898003</v>
      </c>
      <c r="C866" s="29" t="s">
        <v>1528</v>
      </c>
      <c r="D866" s="29" t="s">
        <v>2490</v>
      </c>
      <c r="E866" s="29" t="s">
        <v>2491</v>
      </c>
      <c r="F866" s="29" t="s">
        <v>1640</v>
      </c>
    </row>
    <row r="867" spans="1:26" ht="15.75" hidden="1" customHeight="1" x14ac:dyDescent="0.2">
      <c r="A867" s="29"/>
      <c r="B867" s="29">
        <v>21898003</v>
      </c>
      <c r="C867" s="29" t="s">
        <v>1543</v>
      </c>
      <c r="D867" s="29" t="s">
        <v>2490</v>
      </c>
      <c r="E867" s="29" t="s">
        <v>2492</v>
      </c>
      <c r="F867" s="29" t="s">
        <v>1640</v>
      </c>
    </row>
    <row r="868" spans="1:26" ht="15.75" hidden="1" customHeight="1" x14ac:dyDescent="0.2">
      <c r="A868" s="29"/>
      <c r="B868" s="29">
        <v>83945303</v>
      </c>
      <c r="C868" s="29" t="s">
        <v>2483</v>
      </c>
      <c r="D868" s="29" t="s">
        <v>2484</v>
      </c>
      <c r="E868" s="29" t="s">
        <v>1616</v>
      </c>
      <c r="F868" s="29" t="s">
        <v>1139</v>
      </c>
    </row>
    <row r="869" spans="1:26" ht="15.75" hidden="1" customHeight="1" x14ac:dyDescent="0.2">
      <c r="A869" s="29"/>
      <c r="B869" s="14">
        <v>65178203</v>
      </c>
      <c r="C869" s="29" t="s">
        <v>1543</v>
      </c>
      <c r="D869" s="29" t="s">
        <v>2493</v>
      </c>
      <c r="E869" s="29" t="s">
        <v>1825</v>
      </c>
      <c r="F869" s="29" t="s">
        <v>723</v>
      </c>
    </row>
    <row r="870" spans="1:26" ht="15.75" hidden="1" customHeight="1" x14ac:dyDescent="0.2">
      <c r="A870" s="29"/>
      <c r="B870" s="14">
        <v>65388703</v>
      </c>
      <c r="C870" s="29" t="s">
        <v>1543</v>
      </c>
      <c r="D870" s="29" t="s">
        <v>2494</v>
      </c>
      <c r="E870" s="29" t="s">
        <v>2495</v>
      </c>
      <c r="F870" s="29" t="s">
        <v>1027</v>
      </c>
    </row>
    <row r="871" spans="1:26" ht="15.75" hidden="1" customHeight="1" x14ac:dyDescent="0.2">
      <c r="A871" s="29"/>
      <c r="B871" s="14">
        <v>83945203</v>
      </c>
      <c r="C871" s="29" t="s">
        <v>1528</v>
      </c>
      <c r="D871" s="29" t="s">
        <v>2496</v>
      </c>
      <c r="E871" s="29" t="s">
        <v>2497</v>
      </c>
      <c r="F871" s="29" t="s">
        <v>567</v>
      </c>
    </row>
    <row r="872" spans="1:26" ht="15.75" hidden="1" customHeight="1" x14ac:dyDescent="0.2">
      <c r="A872" s="29"/>
      <c r="B872" s="29">
        <v>44480903</v>
      </c>
      <c r="C872" s="29" t="s">
        <v>1543</v>
      </c>
      <c r="D872" s="29" t="s">
        <v>269</v>
      </c>
      <c r="E872" s="29" t="s">
        <v>1896</v>
      </c>
      <c r="F872" s="29" t="s">
        <v>618</v>
      </c>
    </row>
    <row r="873" spans="1:26" ht="15" hidden="1" customHeight="1" x14ac:dyDescent="0.25">
      <c r="A873" s="29"/>
      <c r="B873" s="147">
        <v>46082</v>
      </c>
      <c r="C873" s="29"/>
      <c r="D873" s="29"/>
      <c r="E873" s="29"/>
      <c r="F873" s="29">
        <v>1</v>
      </c>
    </row>
    <row r="874" spans="1:26" ht="15.75" hidden="1" customHeight="1" x14ac:dyDescent="0.2">
      <c r="A874" s="49"/>
      <c r="B874" s="49">
        <v>44480903</v>
      </c>
      <c r="C874" s="49" t="s">
        <v>1528</v>
      </c>
      <c r="D874" s="49"/>
      <c r="E874" s="49" t="s">
        <v>2498</v>
      </c>
      <c r="F874" s="49">
        <v>-60</v>
      </c>
      <c r="G874" s="50"/>
      <c r="H874" s="50"/>
      <c r="I874" s="50"/>
      <c r="J874" s="50"/>
      <c r="K874" s="50"/>
      <c r="L874" s="50"/>
      <c r="M874" s="50"/>
      <c r="N874" s="50"/>
      <c r="O874" s="50"/>
      <c r="P874" s="50"/>
      <c r="Q874" s="50"/>
      <c r="R874" s="50"/>
      <c r="S874" s="50"/>
      <c r="T874" s="50"/>
      <c r="U874" s="50"/>
      <c r="V874" s="50"/>
      <c r="W874" s="50"/>
      <c r="X874" s="50"/>
      <c r="Y874" s="50"/>
      <c r="Z874" s="50"/>
    </row>
    <row r="875" spans="1:26" ht="15.75" hidden="1" customHeight="1" x14ac:dyDescent="0.2">
      <c r="A875" s="29"/>
      <c r="B875" s="14">
        <v>44480903</v>
      </c>
      <c r="C875" s="26" t="s">
        <v>1528</v>
      </c>
      <c r="D875" s="26" t="s">
        <v>2481</v>
      </c>
      <c r="E875" s="26" t="s">
        <v>2482</v>
      </c>
      <c r="F875" s="26" t="s">
        <v>2499</v>
      </c>
    </row>
    <row r="876" spans="1:26" ht="15.75" hidden="1" customHeight="1" x14ac:dyDescent="0.2">
      <c r="A876" s="29"/>
      <c r="B876" s="29">
        <v>65388702</v>
      </c>
      <c r="C876" s="29" t="s">
        <v>1528</v>
      </c>
      <c r="D876" s="29" t="s">
        <v>2500</v>
      </c>
      <c r="E876" s="29" t="s">
        <v>2501</v>
      </c>
      <c r="F876" s="29" t="s">
        <v>1027</v>
      </c>
    </row>
    <row r="877" spans="1:26" ht="15.75" hidden="1" customHeight="1" x14ac:dyDescent="0.2">
      <c r="A877" s="29"/>
      <c r="B877" s="29">
        <v>43747603</v>
      </c>
      <c r="C877" s="29" t="s">
        <v>1528</v>
      </c>
      <c r="D877" s="29" t="s">
        <v>2502</v>
      </c>
      <c r="E877" s="29" t="s">
        <v>2503</v>
      </c>
      <c r="F877" s="29" t="s">
        <v>663</v>
      </c>
    </row>
    <row r="878" spans="1:26" ht="15.75" hidden="1" customHeight="1" x14ac:dyDescent="0.2">
      <c r="A878" s="29"/>
      <c r="B878" s="29">
        <v>83945403</v>
      </c>
      <c r="C878" s="29" t="s">
        <v>1543</v>
      </c>
      <c r="D878" s="29" t="s">
        <v>2504</v>
      </c>
      <c r="E878" s="29" t="s">
        <v>1609</v>
      </c>
      <c r="F878" s="29" t="s">
        <v>1033</v>
      </c>
    </row>
    <row r="879" spans="1:26" ht="15.75" hidden="1" customHeight="1" x14ac:dyDescent="0.2">
      <c r="A879" s="29"/>
      <c r="B879" s="29">
        <v>43748303</v>
      </c>
      <c r="C879" s="29" t="s">
        <v>2505</v>
      </c>
      <c r="D879" s="29" t="s">
        <v>443</v>
      </c>
      <c r="E879" s="29" t="s">
        <v>2506</v>
      </c>
      <c r="F879" s="29" t="s">
        <v>802</v>
      </c>
    </row>
    <row r="880" spans="1:26" ht="15.75" hidden="1" customHeight="1" x14ac:dyDescent="0.2">
      <c r="A880" s="29"/>
      <c r="B880" s="29">
        <v>59317703</v>
      </c>
      <c r="C880" s="29" t="s">
        <v>1528</v>
      </c>
      <c r="D880" s="29" t="s">
        <v>437</v>
      </c>
      <c r="E880" s="29" t="s">
        <v>2492</v>
      </c>
      <c r="F880" s="29" t="s">
        <v>1187</v>
      </c>
    </row>
    <row r="881" spans="1:6" ht="15.75" hidden="1" customHeight="1" x14ac:dyDescent="0.2">
      <c r="A881" s="29"/>
      <c r="B881" s="29">
        <v>43748203</v>
      </c>
      <c r="C881" s="29" t="s">
        <v>1543</v>
      </c>
      <c r="D881" s="29" t="s">
        <v>103</v>
      </c>
      <c r="E881" s="29" t="s">
        <v>2507</v>
      </c>
      <c r="F881" s="29" t="s">
        <v>2508</v>
      </c>
    </row>
    <row r="882" spans="1:6" ht="15.75" hidden="1" customHeight="1" x14ac:dyDescent="0.2">
      <c r="A882" s="29"/>
      <c r="B882" s="29">
        <v>75169802</v>
      </c>
      <c r="C882" s="29" t="s">
        <v>1528</v>
      </c>
      <c r="D882" s="29" t="s">
        <v>103</v>
      </c>
      <c r="E882" s="29" t="s">
        <v>1774</v>
      </c>
      <c r="F882" s="29" t="s">
        <v>601</v>
      </c>
    </row>
    <row r="883" spans="1:6" ht="15.75" hidden="1" customHeight="1" x14ac:dyDescent="0.2">
      <c r="A883" s="29"/>
      <c r="B883" s="29">
        <v>83143703</v>
      </c>
      <c r="C883" s="29" t="s">
        <v>1814</v>
      </c>
      <c r="D883" s="29" t="s">
        <v>2509</v>
      </c>
      <c r="E883" s="29" t="s">
        <v>2510</v>
      </c>
      <c r="F883" s="29" t="s">
        <v>1080</v>
      </c>
    </row>
    <row r="884" spans="1:6" ht="15.75" hidden="1" customHeight="1" x14ac:dyDescent="0.25">
      <c r="A884" s="29"/>
      <c r="B884" s="147">
        <v>46113</v>
      </c>
      <c r="C884" s="29"/>
      <c r="D884" s="29"/>
      <c r="E884" s="29"/>
      <c r="F884" s="29">
        <v>1</v>
      </c>
    </row>
    <row r="885" spans="1:6" ht="15.75" hidden="1" customHeight="1" x14ac:dyDescent="0.2">
      <c r="A885" s="29"/>
      <c r="B885" s="29">
        <v>59032903</v>
      </c>
      <c r="C885" s="29" t="s">
        <v>1528</v>
      </c>
      <c r="D885" s="29" t="s">
        <v>2511</v>
      </c>
      <c r="E885" s="29" t="s">
        <v>1774</v>
      </c>
      <c r="F885" s="29" t="s">
        <v>2449</v>
      </c>
    </row>
    <row r="886" spans="1:6" ht="15.75" hidden="1" customHeight="1" x14ac:dyDescent="0.2">
      <c r="A886" s="29"/>
      <c r="B886" s="29">
        <v>59317903</v>
      </c>
      <c r="C886" s="29" t="s">
        <v>1637</v>
      </c>
      <c r="D886" s="29" t="s">
        <v>2511</v>
      </c>
      <c r="E886" s="29" t="s">
        <v>1659</v>
      </c>
      <c r="F886" s="29" t="s">
        <v>2436</v>
      </c>
    </row>
    <row r="887" spans="1:6" ht="15.75" hidden="1" customHeight="1" x14ac:dyDescent="0.2">
      <c r="A887" s="29"/>
      <c r="B887" s="29">
        <v>59032903</v>
      </c>
      <c r="C887" s="29" t="s">
        <v>1543</v>
      </c>
      <c r="D887" s="29" t="s">
        <v>2511</v>
      </c>
      <c r="E887" s="29" t="s">
        <v>2512</v>
      </c>
      <c r="F887" s="29" t="s">
        <v>2449</v>
      </c>
    </row>
    <row r="888" spans="1:6" ht="15.75" hidden="1" customHeight="1" x14ac:dyDescent="0.2">
      <c r="A888" s="29"/>
      <c r="B888" s="29">
        <v>65388703</v>
      </c>
      <c r="C888" s="29" t="s">
        <v>2505</v>
      </c>
      <c r="D888" s="29" t="s">
        <v>321</v>
      </c>
      <c r="E888" s="29" t="s">
        <v>1774</v>
      </c>
      <c r="F888" s="29" t="s">
        <v>1027</v>
      </c>
    </row>
    <row r="889" spans="1:6" ht="15.75" hidden="1" customHeight="1" x14ac:dyDescent="0.2">
      <c r="A889" s="29"/>
      <c r="B889" s="14">
        <v>58155204</v>
      </c>
      <c r="C889" s="29" t="s">
        <v>2505</v>
      </c>
      <c r="D889" s="29" t="s">
        <v>2513</v>
      </c>
      <c r="E889" s="29" t="s">
        <v>1774</v>
      </c>
      <c r="F889" s="29" t="s">
        <v>1417</v>
      </c>
    </row>
    <row r="890" spans="1:6" ht="15.75" hidden="1" customHeight="1" x14ac:dyDescent="0.2">
      <c r="A890" s="29"/>
      <c r="B890" s="29">
        <v>14104704</v>
      </c>
      <c r="C890" s="29" t="s">
        <v>1543</v>
      </c>
      <c r="D890" s="29" t="s">
        <v>2513</v>
      </c>
      <c r="E890" s="29" t="s">
        <v>1866</v>
      </c>
      <c r="F890" s="29" t="s">
        <v>1075</v>
      </c>
    </row>
    <row r="891" spans="1:6" ht="15.75" hidden="1" customHeight="1" x14ac:dyDescent="0.2">
      <c r="A891" s="29"/>
      <c r="B891" s="14">
        <v>55423702</v>
      </c>
      <c r="C891" s="29" t="s">
        <v>1528</v>
      </c>
      <c r="D891" s="29" t="s">
        <v>2514</v>
      </c>
      <c r="E891" s="29" t="s">
        <v>2515</v>
      </c>
      <c r="F891" s="29" t="s">
        <v>2465</v>
      </c>
    </row>
    <row r="892" spans="1:6" ht="15.75" customHeight="1" x14ac:dyDescent="0.2">
      <c r="A892" s="29"/>
      <c r="B892" s="29">
        <v>65144703</v>
      </c>
      <c r="C892" s="29" t="s">
        <v>1814</v>
      </c>
      <c r="D892" s="29" t="s">
        <v>317</v>
      </c>
      <c r="E892" s="29" t="s">
        <v>1774</v>
      </c>
      <c r="F892" s="29" t="s">
        <v>963</v>
      </c>
    </row>
    <row r="893" spans="1:6" ht="15.75" hidden="1" customHeight="1" x14ac:dyDescent="0.2">
      <c r="A893" s="29"/>
      <c r="B893" s="29">
        <v>83027002</v>
      </c>
      <c r="C893" s="29" t="s">
        <v>1528</v>
      </c>
      <c r="D893" s="29" t="s">
        <v>231</v>
      </c>
      <c r="E893" s="29" t="s">
        <v>2516</v>
      </c>
      <c r="F893" s="29" t="s">
        <v>1657</v>
      </c>
    </row>
    <row r="894" spans="1:6" ht="15.75" hidden="1" customHeight="1" x14ac:dyDescent="0.25">
      <c r="A894" s="29"/>
      <c r="B894" s="147">
        <v>46143</v>
      </c>
      <c r="C894" s="29"/>
      <c r="D894" s="29"/>
      <c r="E894" s="29"/>
      <c r="F894" s="29">
        <v>1</v>
      </c>
    </row>
    <row r="895" spans="1:6" ht="15.75" hidden="1" customHeight="1" x14ac:dyDescent="0.2">
      <c r="A895" s="29"/>
      <c r="B895" s="29">
        <v>59321401</v>
      </c>
      <c r="C895" s="29" t="s">
        <v>1637</v>
      </c>
      <c r="D895" s="29" t="s">
        <v>289</v>
      </c>
      <c r="E895" s="29" t="s">
        <v>2208</v>
      </c>
      <c r="F895" s="29" t="s">
        <v>2353</v>
      </c>
    </row>
    <row r="896" spans="1:6" ht="15.75" hidden="1" customHeight="1" x14ac:dyDescent="0.2">
      <c r="A896" s="29"/>
      <c r="B896" s="29">
        <v>50258603</v>
      </c>
      <c r="C896" s="29" t="s">
        <v>1528</v>
      </c>
      <c r="D896" s="29" t="s">
        <v>238</v>
      </c>
      <c r="E896" s="29" t="s">
        <v>2517</v>
      </c>
      <c r="F896" s="29" t="s">
        <v>1450</v>
      </c>
    </row>
    <row r="897" spans="1:6" ht="15.75" hidden="1" customHeight="1" x14ac:dyDescent="0.2">
      <c r="A897" s="29"/>
      <c r="B897" s="29">
        <v>59317703</v>
      </c>
      <c r="C897" s="29" t="s">
        <v>1528</v>
      </c>
      <c r="D897" s="29" t="s">
        <v>2518</v>
      </c>
      <c r="E897" s="29" t="s">
        <v>1714</v>
      </c>
      <c r="F897" s="29" t="s">
        <v>1187</v>
      </c>
    </row>
    <row r="898" spans="1:6" ht="15.75" customHeight="1" x14ac:dyDescent="0.2">
      <c r="A898" s="29"/>
      <c r="B898" s="29">
        <v>65144703</v>
      </c>
      <c r="C898" s="29" t="s">
        <v>1528</v>
      </c>
      <c r="D898" s="29" t="s">
        <v>238</v>
      </c>
      <c r="E898" s="29" t="s">
        <v>2519</v>
      </c>
      <c r="F898" s="29" t="s">
        <v>963</v>
      </c>
    </row>
    <row r="899" spans="1:6" ht="15.75" hidden="1" customHeight="1" x14ac:dyDescent="0.2">
      <c r="A899" s="29"/>
      <c r="B899" s="29">
        <v>59347603</v>
      </c>
      <c r="C899" s="29" t="s">
        <v>1528</v>
      </c>
      <c r="D899" s="29" t="s">
        <v>2520</v>
      </c>
      <c r="E899" s="29" t="s">
        <v>2224</v>
      </c>
      <c r="F899" s="29" t="s">
        <v>1450</v>
      </c>
    </row>
    <row r="900" spans="1:6" ht="15.75" hidden="1" customHeight="1" x14ac:dyDescent="0.2">
      <c r="A900" s="29"/>
      <c r="B900" s="14">
        <v>73445703</v>
      </c>
      <c r="C900" s="29" t="s">
        <v>1528</v>
      </c>
      <c r="D900" s="29" t="s">
        <v>2520</v>
      </c>
      <c r="E900" s="29" t="s">
        <v>1774</v>
      </c>
      <c r="F900" s="29" t="s">
        <v>2453</v>
      </c>
    </row>
    <row r="901" spans="1:6" ht="15.75" hidden="1" customHeight="1" x14ac:dyDescent="0.2">
      <c r="A901" s="29"/>
      <c r="B901" s="29">
        <v>59124103</v>
      </c>
      <c r="C901" s="29" t="s">
        <v>1528</v>
      </c>
      <c r="D901" s="29" t="s">
        <v>2520</v>
      </c>
      <c r="E901" s="29" t="s">
        <v>2521</v>
      </c>
      <c r="F901" s="29" t="s">
        <v>774</v>
      </c>
    </row>
    <row r="902" spans="1:6" ht="15.75" hidden="1" customHeight="1" x14ac:dyDescent="0.2">
      <c r="A902" s="29"/>
      <c r="B902" s="29">
        <v>58185503</v>
      </c>
      <c r="C902" s="29" t="s">
        <v>1814</v>
      </c>
      <c r="D902" s="29"/>
      <c r="E902" s="29" t="s">
        <v>2522</v>
      </c>
      <c r="F902" s="29" t="s">
        <v>2244</v>
      </c>
    </row>
    <row r="903" spans="1:6" ht="15.75" customHeight="1" x14ac:dyDescent="0.2">
      <c r="A903" s="29"/>
      <c r="B903" s="29">
        <v>65144703</v>
      </c>
      <c r="C903" s="29" t="s">
        <v>1528</v>
      </c>
      <c r="D903" s="29" t="s">
        <v>409</v>
      </c>
      <c r="E903" s="29" t="s">
        <v>2523</v>
      </c>
      <c r="F903" s="29" t="s">
        <v>2524</v>
      </c>
    </row>
    <row r="904" spans="1:6" ht="15.75" hidden="1" customHeight="1" x14ac:dyDescent="0.2">
      <c r="A904" s="29"/>
      <c r="B904" s="29">
        <v>43748303</v>
      </c>
      <c r="C904" s="29" t="s">
        <v>1528</v>
      </c>
      <c r="D904" s="29" t="s">
        <v>2525</v>
      </c>
      <c r="E904" s="29" t="s">
        <v>2369</v>
      </c>
      <c r="F904" s="29" t="s">
        <v>802</v>
      </c>
    </row>
    <row r="905" spans="1:6" ht="15.75" hidden="1" customHeight="1" x14ac:dyDescent="0.2">
      <c r="A905" s="29"/>
      <c r="B905" s="29">
        <v>65178203</v>
      </c>
      <c r="C905" s="29" t="s">
        <v>1528</v>
      </c>
      <c r="D905" s="29" t="s">
        <v>434</v>
      </c>
      <c r="E905" s="29" t="s">
        <v>1774</v>
      </c>
      <c r="F905" s="29" t="s">
        <v>723</v>
      </c>
    </row>
    <row r="906" spans="1:6" ht="15.75" hidden="1" customHeight="1" x14ac:dyDescent="0.2">
      <c r="A906" s="29"/>
      <c r="B906" s="29">
        <v>64792303</v>
      </c>
      <c r="C906" s="29" t="s">
        <v>1528</v>
      </c>
      <c r="D906" s="29" t="s">
        <v>2526</v>
      </c>
      <c r="E906" s="29" t="s">
        <v>1774</v>
      </c>
      <c r="F906" s="29" t="s">
        <v>2380</v>
      </c>
    </row>
    <row r="907" spans="1:6" ht="15.75" customHeight="1" x14ac:dyDescent="0.2">
      <c r="A907" s="29"/>
      <c r="B907" s="29">
        <v>65144703</v>
      </c>
      <c r="C907" s="29" t="s">
        <v>1637</v>
      </c>
      <c r="D907" s="29" t="s">
        <v>2526</v>
      </c>
      <c r="E907" s="29" t="s">
        <v>1825</v>
      </c>
      <c r="F907" s="29" t="s">
        <v>963</v>
      </c>
    </row>
    <row r="908" spans="1:6" ht="15.75" hidden="1" customHeight="1" x14ac:dyDescent="0.2">
      <c r="A908" s="29"/>
      <c r="B908" s="29">
        <v>15539804</v>
      </c>
      <c r="C908" s="29" t="s">
        <v>1528</v>
      </c>
      <c r="D908" s="29" t="s">
        <v>2527</v>
      </c>
      <c r="E908" s="29" t="s">
        <v>1772</v>
      </c>
      <c r="F908" s="29" t="s">
        <v>2444</v>
      </c>
    </row>
    <row r="909" spans="1:6" ht="15.75" hidden="1" customHeight="1" x14ac:dyDescent="0.2">
      <c r="A909" s="29"/>
      <c r="B909" s="29">
        <v>58185503</v>
      </c>
      <c r="C909" s="29" t="s">
        <v>1528</v>
      </c>
      <c r="D909" s="29" t="s">
        <v>238</v>
      </c>
      <c r="E909" s="29" t="s">
        <v>1774</v>
      </c>
      <c r="F909" s="29" t="s">
        <v>2244</v>
      </c>
    </row>
    <row r="910" spans="1:6" ht="15.75" hidden="1" customHeight="1" x14ac:dyDescent="0.2">
      <c r="A910" s="29"/>
      <c r="B910" s="29">
        <v>59032903</v>
      </c>
      <c r="C910" s="29" t="s">
        <v>1528</v>
      </c>
      <c r="D910" s="29"/>
      <c r="E910" s="29" t="s">
        <v>2330</v>
      </c>
      <c r="F910" s="29" t="s">
        <v>2449</v>
      </c>
    </row>
    <row r="911" spans="1:6" ht="15.75" hidden="1" customHeight="1" x14ac:dyDescent="0.25">
      <c r="A911" s="29"/>
      <c r="B911" s="147">
        <v>46174</v>
      </c>
      <c r="C911" s="29"/>
      <c r="D911" s="29"/>
      <c r="E911" s="29"/>
      <c r="F911" s="29">
        <v>1</v>
      </c>
    </row>
    <row r="912" spans="1:6" ht="15.75" hidden="1" customHeight="1" x14ac:dyDescent="0.2">
      <c r="A912" s="29"/>
      <c r="B912" s="29">
        <v>59317703</v>
      </c>
      <c r="C912" s="29" t="s">
        <v>2483</v>
      </c>
      <c r="D912" s="29" t="s">
        <v>146</v>
      </c>
      <c r="E912" s="29" t="s">
        <v>2528</v>
      </c>
      <c r="F912" s="29" t="s">
        <v>1187</v>
      </c>
    </row>
    <row r="913" spans="1:6" ht="15.75" customHeight="1" x14ac:dyDescent="0.2">
      <c r="A913" s="29"/>
      <c r="B913" s="29">
        <v>65144703</v>
      </c>
      <c r="C913" s="29" t="s">
        <v>1528</v>
      </c>
      <c r="D913" s="29" t="s">
        <v>146</v>
      </c>
      <c r="E913" s="29" t="s">
        <v>2529</v>
      </c>
      <c r="F913" s="29" t="s">
        <v>2524</v>
      </c>
    </row>
    <row r="914" spans="1:6" ht="15.75" hidden="1" customHeight="1" x14ac:dyDescent="0.2">
      <c r="A914" s="29"/>
      <c r="B914" s="29">
        <v>15539804</v>
      </c>
      <c r="C914" s="29" t="s">
        <v>2483</v>
      </c>
      <c r="D914" s="29" t="s">
        <v>283</v>
      </c>
      <c r="E914" s="29" t="s">
        <v>1913</v>
      </c>
      <c r="F914" s="29" t="s">
        <v>2444</v>
      </c>
    </row>
    <row r="915" spans="1:6" ht="15.75" hidden="1" customHeight="1" x14ac:dyDescent="0.2">
      <c r="A915" s="29"/>
      <c r="B915" s="29">
        <v>83945503</v>
      </c>
      <c r="C915" s="29" t="s">
        <v>1528</v>
      </c>
      <c r="D915" s="29" t="s">
        <v>361</v>
      </c>
      <c r="E915" s="29" t="s">
        <v>2530</v>
      </c>
      <c r="F915" s="29" t="s">
        <v>2411</v>
      </c>
    </row>
    <row r="916" spans="1:6" ht="15.75" hidden="1" customHeight="1" x14ac:dyDescent="0.2">
      <c r="A916" s="29"/>
      <c r="B916" s="29">
        <v>43748303</v>
      </c>
      <c r="C916" s="29" t="s">
        <v>1528</v>
      </c>
      <c r="D916" s="29" t="s">
        <v>274</v>
      </c>
      <c r="E916" s="29" t="s">
        <v>1774</v>
      </c>
      <c r="F916" s="29" t="s">
        <v>802</v>
      </c>
    </row>
    <row r="917" spans="1:6" ht="15.75" hidden="1" customHeight="1" x14ac:dyDescent="0.2">
      <c r="A917" s="29"/>
      <c r="B917" s="29">
        <v>65178203</v>
      </c>
      <c r="C917" s="29" t="s">
        <v>1528</v>
      </c>
      <c r="D917" s="29" t="s">
        <v>274</v>
      </c>
      <c r="E917" s="29" t="s">
        <v>1774</v>
      </c>
      <c r="F917" s="29" t="s">
        <v>723</v>
      </c>
    </row>
    <row r="918" spans="1:6" ht="15.75" hidden="1" customHeight="1" x14ac:dyDescent="0.2">
      <c r="A918" s="29"/>
      <c r="B918" s="29">
        <v>15539804</v>
      </c>
      <c r="C918" s="29" t="s">
        <v>1814</v>
      </c>
      <c r="D918" s="29" t="s">
        <v>4082</v>
      </c>
      <c r="E918" s="29" t="s">
        <v>4081</v>
      </c>
      <c r="F918" s="29" t="s">
        <v>2444</v>
      </c>
    </row>
    <row r="919" spans="1:6" ht="15.75" hidden="1" customHeight="1" x14ac:dyDescent="0.2">
      <c r="A919" s="29"/>
      <c r="B919" s="29">
        <v>83143703</v>
      </c>
      <c r="C919" s="29" t="s">
        <v>1528</v>
      </c>
      <c r="D919" s="29" t="s">
        <v>361</v>
      </c>
      <c r="E919" s="29" t="s">
        <v>4083</v>
      </c>
      <c r="F919" s="29" t="s">
        <v>1080</v>
      </c>
    </row>
    <row r="920" spans="1:6" ht="15.75" hidden="1" customHeight="1" x14ac:dyDescent="0.2">
      <c r="A920" s="29"/>
      <c r="B920" s="14">
        <v>83945403</v>
      </c>
      <c r="C920" s="29" t="s">
        <v>4089</v>
      </c>
      <c r="D920" s="29" t="s">
        <v>4088</v>
      </c>
      <c r="E920" s="29" t="s">
        <v>4086</v>
      </c>
      <c r="F920" s="29" t="s">
        <v>4087</v>
      </c>
    </row>
    <row r="921" spans="1:6" ht="15.75" hidden="1" customHeight="1" x14ac:dyDescent="0.2">
      <c r="A921" s="29"/>
      <c r="B921" s="29">
        <v>64792303</v>
      </c>
      <c r="C921" s="29" t="s">
        <v>1528</v>
      </c>
      <c r="D921" s="314" t="s">
        <v>4091</v>
      </c>
      <c r="E921" s="29" t="s">
        <v>1774</v>
      </c>
      <c r="F921" s="29" t="s">
        <v>2380</v>
      </c>
    </row>
    <row r="922" spans="1:6" ht="15.75" hidden="1" customHeight="1" x14ac:dyDescent="0.2">
      <c r="A922" s="29"/>
      <c r="B922" s="29">
        <v>73445703</v>
      </c>
      <c r="C922" s="29" t="s">
        <v>1528</v>
      </c>
      <c r="D922" s="29" t="s">
        <v>4095</v>
      </c>
      <c r="E922" s="29" t="s">
        <v>4096</v>
      </c>
      <c r="F922" s="29" t="s">
        <v>4097</v>
      </c>
    </row>
    <row r="923" spans="1:6" ht="15.75" customHeight="1" x14ac:dyDescent="0.2">
      <c r="A923" s="29"/>
      <c r="B923" s="29">
        <v>65144703</v>
      </c>
      <c r="C923" s="314" t="s">
        <v>1528</v>
      </c>
      <c r="D923" s="314" t="s">
        <v>4123</v>
      </c>
      <c r="E923" s="314" t="s">
        <v>4124</v>
      </c>
      <c r="F923" s="314" t="s">
        <v>2524</v>
      </c>
    </row>
    <row r="924" spans="1:6" ht="15.75" hidden="1" customHeight="1" x14ac:dyDescent="0.2">
      <c r="A924" s="29"/>
      <c r="B924" s="29"/>
      <c r="C924" s="29"/>
      <c r="D924" s="29"/>
      <c r="E924" s="29"/>
      <c r="F924" s="29"/>
    </row>
    <row r="925" spans="1:6" ht="15.75" hidden="1" customHeight="1" x14ac:dyDescent="0.2">
      <c r="A925" s="29"/>
      <c r="B925" s="29"/>
      <c r="C925" s="29"/>
      <c r="D925" s="29"/>
      <c r="E925" s="29"/>
      <c r="F925" s="29"/>
    </row>
    <row r="926" spans="1:6" ht="15.75" hidden="1" customHeight="1" x14ac:dyDescent="0.2">
      <c r="A926" s="29"/>
      <c r="B926" s="29"/>
      <c r="C926" s="29"/>
      <c r="D926" s="29"/>
      <c r="E926" s="29"/>
      <c r="F926" s="29"/>
    </row>
    <row r="927" spans="1:6" ht="15.75" hidden="1" customHeight="1" x14ac:dyDescent="0.2">
      <c r="A927" s="29"/>
      <c r="B927" s="29"/>
      <c r="C927" s="29"/>
      <c r="D927" s="29"/>
      <c r="E927" s="29"/>
      <c r="F927" s="29"/>
    </row>
    <row r="928" spans="1:6" ht="15.75" hidden="1" customHeight="1" x14ac:dyDescent="0.2">
      <c r="A928" s="29"/>
      <c r="B928" s="29"/>
      <c r="C928" s="29"/>
      <c r="D928" s="29"/>
      <c r="E928" s="29"/>
      <c r="F928" s="29"/>
    </row>
    <row r="929" spans="1:6" ht="15.75" hidden="1" customHeight="1" x14ac:dyDescent="0.2">
      <c r="A929" s="29"/>
      <c r="B929" s="29"/>
      <c r="C929" s="29"/>
      <c r="D929" s="29"/>
      <c r="E929" s="29"/>
      <c r="F929" s="29"/>
    </row>
    <row r="930" spans="1:6" ht="15.75" hidden="1" customHeight="1" x14ac:dyDescent="0.2">
      <c r="A930" s="29"/>
      <c r="B930" s="29"/>
      <c r="C930" s="29"/>
      <c r="D930" s="29"/>
      <c r="E930" s="29"/>
      <c r="F930" s="29"/>
    </row>
    <row r="931" spans="1:6" ht="15.75" hidden="1" customHeight="1" x14ac:dyDescent="0.2">
      <c r="A931" s="29"/>
      <c r="B931" s="29"/>
      <c r="C931" s="29"/>
      <c r="D931" s="29"/>
      <c r="E931" s="29"/>
      <c r="F931" s="29"/>
    </row>
    <row r="932" spans="1:6" ht="15.75" hidden="1" customHeight="1" x14ac:dyDescent="0.2">
      <c r="A932" s="29"/>
      <c r="B932" s="29"/>
      <c r="C932" s="29"/>
      <c r="D932" s="29"/>
      <c r="E932" s="29"/>
      <c r="F932" s="29"/>
    </row>
    <row r="933" spans="1:6" ht="15.75" hidden="1" customHeight="1" x14ac:dyDescent="0.2">
      <c r="A933" s="29"/>
      <c r="B933" s="29"/>
      <c r="C933" s="29"/>
      <c r="D933" s="29"/>
      <c r="E933" s="29"/>
      <c r="F933" s="29"/>
    </row>
    <row r="934" spans="1:6" ht="15.75" hidden="1" customHeight="1" x14ac:dyDescent="0.2">
      <c r="A934" s="29"/>
      <c r="B934" s="29"/>
      <c r="C934" s="29"/>
      <c r="D934" s="29"/>
      <c r="E934" s="29"/>
      <c r="F934" s="29"/>
    </row>
    <row r="935" spans="1:6" ht="15.75" hidden="1" customHeight="1" x14ac:dyDescent="0.2">
      <c r="A935" s="29"/>
      <c r="B935" s="29"/>
      <c r="C935" s="29"/>
      <c r="D935" s="29"/>
      <c r="E935" s="29"/>
      <c r="F935" s="29"/>
    </row>
    <row r="936" spans="1:6" ht="15.75" hidden="1" customHeight="1" x14ac:dyDescent="0.2">
      <c r="A936" s="29"/>
      <c r="B936" s="29"/>
      <c r="C936" s="29"/>
      <c r="D936" s="29"/>
      <c r="E936" s="29"/>
      <c r="F936" s="29"/>
    </row>
    <row r="937" spans="1:6" ht="15.75" hidden="1" customHeight="1" x14ac:dyDescent="0.2">
      <c r="A937" s="29"/>
      <c r="B937" s="29"/>
      <c r="C937" s="29"/>
      <c r="D937" s="29"/>
      <c r="E937" s="29"/>
      <c r="F937" s="29"/>
    </row>
    <row r="938" spans="1:6" ht="15.75" hidden="1" customHeight="1" x14ac:dyDescent="0.2">
      <c r="A938" s="29"/>
      <c r="B938" s="29"/>
      <c r="C938" s="29"/>
      <c r="D938" s="29"/>
      <c r="E938" s="29"/>
      <c r="F938" s="29"/>
    </row>
    <row r="939" spans="1:6" ht="15.75" hidden="1" customHeight="1" x14ac:dyDescent="0.2">
      <c r="A939" s="29"/>
      <c r="B939" s="29"/>
      <c r="C939" s="29"/>
      <c r="D939" s="29"/>
      <c r="E939" s="29"/>
      <c r="F939" s="29"/>
    </row>
    <row r="940" spans="1:6" ht="15.75" hidden="1" customHeight="1" x14ac:dyDescent="0.2">
      <c r="A940" s="29"/>
      <c r="B940" s="29"/>
      <c r="C940" s="29"/>
      <c r="D940" s="29"/>
      <c r="E940" s="29"/>
      <c r="F940" s="29"/>
    </row>
    <row r="941" spans="1:6" ht="15.75" hidden="1" customHeight="1" x14ac:dyDescent="0.2">
      <c r="A941" s="29"/>
      <c r="B941" s="29"/>
      <c r="C941" s="29"/>
      <c r="D941" s="29"/>
      <c r="E941" s="29"/>
      <c r="F941" s="29"/>
    </row>
    <row r="942" spans="1:6" ht="15.75" hidden="1" customHeight="1" x14ac:dyDescent="0.2">
      <c r="A942" s="29"/>
      <c r="B942" s="29"/>
      <c r="C942" s="29"/>
      <c r="D942" s="29"/>
      <c r="E942" s="29"/>
      <c r="F942" s="29"/>
    </row>
    <row r="943" spans="1:6" ht="15.75" hidden="1" customHeight="1" x14ac:dyDescent="0.2">
      <c r="A943" s="29"/>
      <c r="B943" s="29"/>
      <c r="C943" s="29"/>
      <c r="D943" s="29"/>
      <c r="E943" s="29"/>
      <c r="F943" s="29"/>
    </row>
    <row r="944" spans="1:6" ht="15.75" hidden="1" customHeight="1" x14ac:dyDescent="0.2">
      <c r="A944" s="29"/>
      <c r="B944" s="29"/>
      <c r="C944" s="29"/>
      <c r="D944" s="29"/>
      <c r="E944" s="29"/>
      <c r="F944" s="29"/>
    </row>
    <row r="945" spans="1:6" ht="15.75" hidden="1" customHeight="1" x14ac:dyDescent="0.2">
      <c r="A945" s="29"/>
      <c r="B945" s="29"/>
      <c r="C945" s="29"/>
      <c r="D945" s="29"/>
      <c r="E945" s="29"/>
      <c r="F945" s="29"/>
    </row>
    <row r="946" spans="1:6" ht="15.75" hidden="1" customHeight="1" x14ac:dyDescent="0.2">
      <c r="A946" s="29"/>
      <c r="B946" s="29"/>
      <c r="C946" s="29"/>
      <c r="D946" s="29"/>
      <c r="E946" s="29"/>
      <c r="F946" s="29"/>
    </row>
    <row r="947" spans="1:6" ht="15.75" hidden="1" customHeight="1" x14ac:dyDescent="0.2">
      <c r="A947" s="29"/>
      <c r="B947" s="29"/>
      <c r="C947" s="29"/>
      <c r="D947" s="29"/>
      <c r="E947" s="29"/>
      <c r="F947" s="29"/>
    </row>
    <row r="948" spans="1:6" ht="15.75" hidden="1" customHeight="1" x14ac:dyDescent="0.2">
      <c r="A948" s="29"/>
      <c r="B948" s="29"/>
      <c r="C948" s="29"/>
      <c r="D948" s="29"/>
      <c r="E948" s="29"/>
      <c r="F948" s="29"/>
    </row>
    <row r="949" spans="1:6" ht="15.75" hidden="1" customHeight="1" x14ac:dyDescent="0.2">
      <c r="A949" s="29"/>
      <c r="B949" s="29"/>
      <c r="C949" s="29"/>
      <c r="D949" s="29"/>
      <c r="E949" s="29"/>
      <c r="F949" s="29"/>
    </row>
    <row r="950" spans="1:6" ht="15.75" hidden="1" customHeight="1" x14ac:dyDescent="0.2">
      <c r="A950" s="29"/>
      <c r="B950" s="29"/>
      <c r="C950" s="29"/>
      <c r="D950" s="29"/>
      <c r="E950" s="29"/>
      <c r="F950" s="29"/>
    </row>
    <row r="951" spans="1:6" ht="15.75" hidden="1" customHeight="1" x14ac:dyDescent="0.2">
      <c r="A951" s="29"/>
      <c r="B951" s="29"/>
      <c r="C951" s="29"/>
      <c r="D951" s="29"/>
      <c r="E951" s="29"/>
      <c r="F951" s="29"/>
    </row>
    <row r="952" spans="1:6" ht="15.75" hidden="1" customHeight="1" x14ac:dyDescent="0.2">
      <c r="A952" s="29"/>
      <c r="B952" s="29"/>
      <c r="C952" s="29"/>
      <c r="D952" s="29"/>
      <c r="E952" s="29"/>
      <c r="F952" s="29"/>
    </row>
    <row r="953" spans="1:6" ht="15.75" hidden="1" customHeight="1" x14ac:dyDescent="0.2">
      <c r="A953" s="29"/>
      <c r="B953" s="29"/>
      <c r="C953" s="29"/>
      <c r="D953" s="29"/>
      <c r="E953" s="29"/>
      <c r="F953" s="29"/>
    </row>
    <row r="954" spans="1:6" ht="15.75" hidden="1" customHeight="1" x14ac:dyDescent="0.2">
      <c r="A954" s="29"/>
      <c r="B954" s="29"/>
      <c r="C954" s="29"/>
      <c r="D954" s="29"/>
      <c r="E954" s="29"/>
      <c r="F954" s="29"/>
    </row>
    <row r="955" spans="1:6" ht="15.75" hidden="1" customHeight="1" x14ac:dyDescent="0.2">
      <c r="A955" s="29"/>
      <c r="B955" s="29"/>
      <c r="C955" s="29"/>
      <c r="D955" s="29"/>
      <c r="E955" s="29"/>
      <c r="F955" s="29"/>
    </row>
    <row r="956" spans="1:6" ht="15.75" hidden="1" customHeight="1" x14ac:dyDescent="0.2">
      <c r="A956" s="29"/>
      <c r="B956" s="29"/>
      <c r="C956" s="29"/>
      <c r="D956" s="29"/>
      <c r="E956" s="29"/>
      <c r="F956" s="29"/>
    </row>
    <row r="957" spans="1:6" ht="15.75" hidden="1" customHeight="1" x14ac:dyDescent="0.2">
      <c r="A957" s="29"/>
      <c r="B957" s="29"/>
      <c r="C957" s="29"/>
      <c r="D957" s="29"/>
      <c r="E957" s="29"/>
      <c r="F957" s="29"/>
    </row>
    <row r="958" spans="1:6" ht="15.75" hidden="1" customHeight="1" x14ac:dyDescent="0.2">
      <c r="A958" s="29"/>
      <c r="B958" s="29"/>
      <c r="C958" s="29"/>
      <c r="D958" s="29"/>
      <c r="E958" s="29"/>
      <c r="F958" s="29"/>
    </row>
    <row r="959" spans="1:6" ht="15.75" hidden="1" customHeight="1" x14ac:dyDescent="0.2">
      <c r="A959" s="29"/>
      <c r="B959" s="29"/>
      <c r="C959" s="29"/>
      <c r="D959" s="29"/>
      <c r="E959" s="29"/>
      <c r="F959" s="29"/>
    </row>
    <row r="960" spans="1:6" ht="15.75" hidden="1" customHeight="1" x14ac:dyDescent="0.2">
      <c r="A960" s="29"/>
      <c r="B960" s="29"/>
      <c r="C960" s="29"/>
      <c r="D960" s="29"/>
      <c r="E960" s="29"/>
      <c r="F960" s="29"/>
    </row>
    <row r="961" spans="1:6" ht="15.75" hidden="1" customHeight="1" x14ac:dyDescent="0.2">
      <c r="A961" s="29"/>
      <c r="B961" s="29"/>
      <c r="C961" s="29"/>
      <c r="D961" s="29"/>
      <c r="E961" s="29"/>
      <c r="F961" s="29"/>
    </row>
    <row r="962" spans="1:6" ht="15.75" hidden="1" customHeight="1" x14ac:dyDescent="0.2">
      <c r="A962" s="29"/>
      <c r="B962" s="29"/>
      <c r="C962" s="29"/>
      <c r="D962" s="29"/>
      <c r="E962" s="29"/>
      <c r="F962" s="29"/>
    </row>
    <row r="963" spans="1:6" ht="15.75" hidden="1" customHeight="1" x14ac:dyDescent="0.2">
      <c r="A963" s="29"/>
      <c r="B963" s="29"/>
      <c r="C963" s="29"/>
      <c r="D963" s="29"/>
      <c r="E963" s="29"/>
      <c r="F963" s="29"/>
    </row>
    <row r="964" spans="1:6" ht="15.75" hidden="1" customHeight="1" x14ac:dyDescent="0.2">
      <c r="A964" s="29"/>
      <c r="B964" s="29"/>
      <c r="C964" s="29"/>
      <c r="D964" s="29"/>
      <c r="E964" s="29"/>
      <c r="F964" s="29"/>
    </row>
    <row r="965" spans="1:6" ht="15.75" hidden="1" customHeight="1" x14ac:dyDescent="0.2">
      <c r="A965" s="29"/>
      <c r="B965" s="29"/>
      <c r="C965" s="29"/>
      <c r="D965" s="29"/>
      <c r="E965" s="29"/>
      <c r="F965" s="29"/>
    </row>
    <row r="966" spans="1:6" ht="15.75" hidden="1" customHeight="1" x14ac:dyDescent="0.2">
      <c r="A966" s="29"/>
      <c r="B966" s="29"/>
      <c r="C966" s="29"/>
      <c r="D966" s="29"/>
      <c r="E966" s="29"/>
      <c r="F966" s="29"/>
    </row>
    <row r="967" spans="1:6" ht="15.75" hidden="1" customHeight="1" x14ac:dyDescent="0.2">
      <c r="A967" s="29"/>
      <c r="B967" s="29"/>
      <c r="C967" s="29"/>
      <c r="D967" s="29"/>
      <c r="E967" s="29"/>
      <c r="F967" s="29"/>
    </row>
    <row r="968" spans="1:6" ht="15.75" hidden="1" customHeight="1" x14ac:dyDescent="0.2">
      <c r="A968" s="29"/>
      <c r="B968" s="29"/>
      <c r="C968" s="29"/>
      <c r="D968" s="29"/>
      <c r="E968" s="29"/>
      <c r="F968" s="29"/>
    </row>
    <row r="969" spans="1:6" ht="15.75" hidden="1" customHeight="1" x14ac:dyDescent="0.2">
      <c r="A969" s="29"/>
      <c r="B969" s="29"/>
      <c r="C969" s="29"/>
      <c r="D969" s="29"/>
      <c r="E969" s="29"/>
      <c r="F969" s="29"/>
    </row>
    <row r="970" spans="1:6" ht="15.75" hidden="1" customHeight="1" x14ac:dyDescent="0.2">
      <c r="A970" s="29"/>
      <c r="B970" s="29"/>
      <c r="C970" s="29"/>
      <c r="D970" s="29"/>
      <c r="E970" s="29"/>
      <c r="F970" s="29"/>
    </row>
    <row r="971" spans="1:6" ht="15.75" hidden="1" customHeight="1" x14ac:dyDescent="0.2">
      <c r="A971" s="29"/>
      <c r="B971" s="29"/>
      <c r="C971" s="29"/>
      <c r="D971" s="29"/>
      <c r="E971" s="29"/>
      <c r="F971" s="29"/>
    </row>
    <row r="972" spans="1:6" ht="15.75" hidden="1" customHeight="1" x14ac:dyDescent="0.2">
      <c r="A972" s="29"/>
      <c r="B972" s="29"/>
      <c r="C972" s="29"/>
      <c r="D972" s="29"/>
      <c r="E972" s="29"/>
      <c r="F972" s="29"/>
    </row>
    <row r="973" spans="1:6" ht="15.75" hidden="1" customHeight="1" x14ac:dyDescent="0.2">
      <c r="A973" s="29"/>
      <c r="B973" s="29"/>
      <c r="C973" s="29"/>
      <c r="D973" s="29"/>
      <c r="E973" s="29"/>
      <c r="F973" s="29"/>
    </row>
    <row r="974" spans="1:6" ht="15.75" hidden="1" customHeight="1" x14ac:dyDescent="0.2">
      <c r="A974" s="29"/>
      <c r="B974" s="29"/>
      <c r="C974" s="29"/>
      <c r="D974" s="29"/>
      <c r="E974" s="29"/>
      <c r="F974" s="29"/>
    </row>
    <row r="975" spans="1:6" ht="15.75" hidden="1" customHeight="1" x14ac:dyDescent="0.2">
      <c r="A975" s="29"/>
      <c r="B975" s="29"/>
      <c r="C975" s="29"/>
      <c r="D975" s="29"/>
      <c r="E975" s="29"/>
      <c r="F975" s="29"/>
    </row>
    <row r="976" spans="1:6" ht="15.75" hidden="1" customHeight="1" x14ac:dyDescent="0.2">
      <c r="A976" s="29"/>
      <c r="B976" s="29"/>
      <c r="C976" s="29"/>
      <c r="D976" s="29"/>
      <c r="E976" s="29"/>
      <c r="F976" s="29"/>
    </row>
    <row r="977" spans="1:6" ht="15.75" hidden="1" customHeight="1" x14ac:dyDescent="0.2">
      <c r="A977" s="29"/>
      <c r="B977" s="29"/>
      <c r="C977" s="29"/>
      <c r="D977" s="29"/>
      <c r="E977" s="29"/>
      <c r="F977" s="29"/>
    </row>
    <row r="978" spans="1:6" ht="15.75" hidden="1" customHeight="1" x14ac:dyDescent="0.2">
      <c r="A978" s="29"/>
      <c r="B978" s="29"/>
      <c r="C978" s="29"/>
      <c r="D978" s="29"/>
      <c r="E978" s="29"/>
      <c r="F978" s="29"/>
    </row>
    <row r="979" spans="1:6" ht="15.75" hidden="1" customHeight="1" x14ac:dyDescent="0.2">
      <c r="A979" s="29"/>
      <c r="B979" s="29"/>
      <c r="C979" s="29"/>
      <c r="D979" s="29"/>
      <c r="E979" s="29"/>
      <c r="F979" s="29"/>
    </row>
    <row r="980" spans="1:6" ht="15.75" hidden="1" customHeight="1" x14ac:dyDescent="0.2">
      <c r="A980" s="29"/>
      <c r="B980" s="29"/>
      <c r="C980" s="29"/>
      <c r="D980" s="29"/>
      <c r="E980" s="29"/>
      <c r="F980" s="29"/>
    </row>
    <row r="981" spans="1:6" ht="15.75" hidden="1" customHeight="1" x14ac:dyDescent="0.2">
      <c r="A981" s="29"/>
      <c r="B981" s="29"/>
      <c r="C981" s="29"/>
      <c r="D981" s="29"/>
      <c r="E981" s="29"/>
      <c r="F981" s="29"/>
    </row>
    <row r="982" spans="1:6" ht="15.75" hidden="1" customHeight="1" x14ac:dyDescent="0.2">
      <c r="A982" s="29"/>
      <c r="B982" s="29"/>
      <c r="C982" s="29"/>
      <c r="D982" s="29"/>
      <c r="E982" s="29"/>
      <c r="F982" s="29"/>
    </row>
    <row r="983" spans="1:6" ht="15.75" hidden="1" customHeight="1" x14ac:dyDescent="0.2">
      <c r="A983" s="29"/>
      <c r="B983" s="29"/>
      <c r="C983" s="29"/>
      <c r="D983" s="29"/>
      <c r="E983" s="29"/>
      <c r="F983" s="29"/>
    </row>
    <row r="984" spans="1:6" ht="15.75" hidden="1" customHeight="1" x14ac:dyDescent="0.2">
      <c r="A984" s="29"/>
      <c r="B984" s="29"/>
      <c r="C984" s="29"/>
      <c r="D984" s="29"/>
      <c r="E984" s="29"/>
      <c r="F984" s="29"/>
    </row>
    <row r="985" spans="1:6" ht="15.75" hidden="1" customHeight="1" x14ac:dyDescent="0.2">
      <c r="A985" s="29"/>
      <c r="B985" s="29"/>
      <c r="C985" s="29"/>
      <c r="D985" s="29"/>
      <c r="E985" s="29"/>
      <c r="F985" s="29"/>
    </row>
    <row r="986" spans="1:6" ht="15.75" hidden="1" customHeight="1" x14ac:dyDescent="0.2">
      <c r="A986" s="29"/>
      <c r="B986" s="29"/>
      <c r="C986" s="29"/>
      <c r="D986" s="29"/>
      <c r="E986" s="29"/>
      <c r="F986" s="29"/>
    </row>
    <row r="987" spans="1:6" ht="15.75" hidden="1" customHeight="1" x14ac:dyDescent="0.2">
      <c r="A987" s="29"/>
      <c r="B987" s="29"/>
      <c r="C987" s="29"/>
      <c r="D987" s="29"/>
      <c r="E987" s="29"/>
      <c r="F987" s="29"/>
    </row>
    <row r="988" spans="1:6" ht="15.75" hidden="1" customHeight="1" x14ac:dyDescent="0.2">
      <c r="A988" s="29"/>
      <c r="B988" s="29"/>
      <c r="C988" s="29"/>
      <c r="D988" s="29"/>
      <c r="E988" s="29"/>
      <c r="F988" s="29"/>
    </row>
    <row r="989" spans="1:6" ht="15.75" hidden="1" customHeight="1" x14ac:dyDescent="0.2">
      <c r="A989" s="29"/>
      <c r="B989" s="29"/>
      <c r="C989" s="29"/>
      <c r="D989" s="29"/>
      <c r="E989" s="29"/>
      <c r="F989" s="29"/>
    </row>
    <row r="990" spans="1:6" ht="15.75" hidden="1" customHeight="1" x14ac:dyDescent="0.2">
      <c r="A990" s="29"/>
      <c r="B990" s="29"/>
      <c r="C990" s="29"/>
      <c r="D990" s="29"/>
      <c r="E990" s="29"/>
      <c r="F990" s="29"/>
    </row>
    <row r="991" spans="1:6" ht="15.75" hidden="1" customHeight="1" x14ac:dyDescent="0.2">
      <c r="A991" s="29"/>
      <c r="B991" s="29"/>
      <c r="C991" s="29"/>
      <c r="D991" s="29"/>
      <c r="E991" s="29"/>
      <c r="F991" s="29"/>
    </row>
    <row r="992" spans="1:6" ht="15.75" hidden="1" customHeight="1" x14ac:dyDescent="0.2">
      <c r="A992" s="29"/>
      <c r="B992" s="29"/>
      <c r="C992" s="29"/>
      <c r="D992" s="29"/>
      <c r="E992" s="29"/>
      <c r="F992" s="29"/>
    </row>
    <row r="993" spans="1:6" ht="15.75" hidden="1" customHeight="1" x14ac:dyDescent="0.2">
      <c r="A993" s="29"/>
      <c r="B993" s="29"/>
      <c r="C993" s="29"/>
      <c r="D993" s="29"/>
      <c r="E993" s="29"/>
      <c r="F993" s="29"/>
    </row>
    <row r="994" spans="1:6" ht="15.75" hidden="1" customHeight="1" x14ac:dyDescent="0.2">
      <c r="A994" s="29"/>
      <c r="B994" s="29"/>
      <c r="C994" s="29"/>
      <c r="D994" s="29"/>
      <c r="E994" s="29"/>
      <c r="F994" s="29"/>
    </row>
    <row r="995" spans="1:6" ht="15.75" hidden="1" customHeight="1" x14ac:dyDescent="0.2">
      <c r="A995" s="29"/>
      <c r="B995" s="29"/>
      <c r="C995" s="29"/>
      <c r="D995" s="29"/>
      <c r="E995" s="29"/>
      <c r="F995" s="29"/>
    </row>
    <row r="996" spans="1:6" ht="15.75" hidden="1" customHeight="1" x14ac:dyDescent="0.2">
      <c r="A996" s="29"/>
      <c r="B996" s="29"/>
      <c r="C996" s="29"/>
      <c r="D996" s="29"/>
      <c r="E996" s="29"/>
      <c r="F996" s="29"/>
    </row>
    <row r="997" spans="1:6" ht="15.75" hidden="1" customHeight="1" x14ac:dyDescent="0.2">
      <c r="A997" s="29"/>
      <c r="B997" s="29"/>
      <c r="C997" s="29"/>
      <c r="D997" s="29"/>
      <c r="E997" s="29"/>
      <c r="F997" s="29"/>
    </row>
    <row r="998" spans="1:6" ht="15.75" hidden="1" customHeight="1" x14ac:dyDescent="0.2">
      <c r="A998" s="29"/>
      <c r="B998" s="29"/>
      <c r="C998" s="29"/>
      <c r="D998" s="29"/>
      <c r="E998" s="29"/>
      <c r="F998" s="29"/>
    </row>
    <row r="999" spans="1:6" ht="15.75" hidden="1" customHeight="1" x14ac:dyDescent="0.2">
      <c r="A999" s="29"/>
      <c r="B999" s="29"/>
      <c r="C999" s="29"/>
      <c r="D999" s="29"/>
      <c r="E999" s="29"/>
      <c r="F999" s="29"/>
    </row>
    <row r="1000" spans="1:6" ht="15.75" hidden="1" customHeight="1" x14ac:dyDescent="0.2">
      <c r="A1000" s="29"/>
      <c r="B1000" s="29"/>
      <c r="C1000" s="29"/>
      <c r="D1000" s="29"/>
      <c r="E1000" s="29"/>
      <c r="F1000" s="29"/>
    </row>
    <row r="1001" spans="1:6" ht="15.75" hidden="1" customHeight="1" x14ac:dyDescent="0.2">
      <c r="A1001" s="29"/>
      <c r="B1001" s="29"/>
      <c r="C1001" s="29"/>
      <c r="D1001" s="29"/>
      <c r="E1001" s="29"/>
      <c r="F1001" s="29"/>
    </row>
    <row r="1002" spans="1:6" ht="15.75" hidden="1" customHeight="1" x14ac:dyDescent="0.2">
      <c r="A1002" s="29"/>
      <c r="B1002" s="29"/>
      <c r="C1002" s="29"/>
      <c r="D1002" s="29"/>
      <c r="E1002" s="29"/>
      <c r="F1002" s="29"/>
    </row>
    <row r="1003" spans="1:6" ht="15.75" hidden="1" customHeight="1" x14ac:dyDescent="0.2">
      <c r="A1003" s="29"/>
      <c r="B1003" s="29"/>
      <c r="C1003" s="29"/>
      <c r="D1003" s="29"/>
      <c r="E1003" s="29"/>
      <c r="F1003" s="29"/>
    </row>
    <row r="1004" spans="1:6" ht="15.75" hidden="1" customHeight="1" x14ac:dyDescent="0.2">
      <c r="A1004" s="29"/>
      <c r="B1004" s="29"/>
      <c r="C1004" s="29"/>
      <c r="D1004" s="29"/>
      <c r="E1004" s="29"/>
      <c r="F1004" s="29"/>
    </row>
    <row r="1005" spans="1:6" ht="15.75" hidden="1" customHeight="1" x14ac:dyDescent="0.2">
      <c r="A1005" s="29"/>
      <c r="B1005" s="29"/>
      <c r="C1005" s="29"/>
      <c r="D1005" s="29"/>
      <c r="E1005" s="29"/>
      <c r="F1005" s="29"/>
    </row>
    <row r="1006" spans="1:6" ht="15.75" hidden="1" customHeight="1" x14ac:dyDescent="0.2">
      <c r="A1006" s="29"/>
      <c r="B1006" s="29"/>
      <c r="C1006" s="29"/>
      <c r="D1006" s="29"/>
      <c r="E1006" s="29"/>
      <c r="F1006" s="29"/>
    </row>
    <row r="1007" spans="1:6" ht="15.75" hidden="1" customHeight="1" x14ac:dyDescent="0.2">
      <c r="A1007" s="29"/>
      <c r="B1007" s="29"/>
      <c r="C1007" s="29"/>
      <c r="D1007" s="29"/>
      <c r="E1007" s="29"/>
      <c r="F1007" s="29"/>
    </row>
    <row r="1008" spans="1:6" ht="15.75" hidden="1" customHeight="1" x14ac:dyDescent="0.2">
      <c r="A1008" s="29"/>
      <c r="B1008" s="29"/>
      <c r="C1008" s="29"/>
      <c r="D1008" s="29"/>
      <c r="E1008" s="29"/>
      <c r="F1008" s="29"/>
    </row>
  </sheetData>
  <autoFilter ref="B1:B1008" xr:uid="{00000000-0009-0000-0000-000003000000}">
    <filterColumn colId="0">
      <filters>
        <filter val="65144703"/>
      </filters>
    </filterColumn>
  </autoFilter>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rightToLeft="1" workbookViewId="0">
      <pane ySplit="1" topLeftCell="A93" activePane="bottomLeft" state="frozen"/>
      <selection pane="bottomLeft" activeCell="G121" sqref="G121"/>
    </sheetView>
  </sheetViews>
  <sheetFormatPr defaultColWidth="12.625" defaultRowHeight="15" customHeight="1" x14ac:dyDescent="0.2"/>
  <cols>
    <col min="1" max="1" width="5.25" customWidth="1"/>
    <col min="2" max="2" width="22.625" customWidth="1"/>
    <col min="3" max="3" width="14.5" customWidth="1"/>
    <col min="4" max="4" width="26.5" customWidth="1"/>
    <col min="5" max="5" width="6.5" customWidth="1"/>
    <col min="6" max="6" width="11.5" customWidth="1"/>
    <col min="7" max="7" width="19.75" customWidth="1"/>
    <col min="8" max="8" width="8.875" customWidth="1"/>
    <col min="9" max="9" width="14.25" customWidth="1"/>
    <col min="10" max="10" width="20.25" customWidth="1"/>
    <col min="11" max="11" width="14.375" customWidth="1"/>
    <col min="12" max="12" width="212.125" customWidth="1"/>
    <col min="13" max="26" width="8.75" customWidth="1"/>
  </cols>
  <sheetData>
    <row r="1" spans="1:26" ht="14.25" customHeight="1" x14ac:dyDescent="0.3">
      <c r="A1" s="157" t="s">
        <v>0</v>
      </c>
      <c r="B1" s="158" t="s">
        <v>2531</v>
      </c>
      <c r="C1" s="158" t="s">
        <v>2532</v>
      </c>
      <c r="D1" s="158" t="s">
        <v>2533</v>
      </c>
      <c r="E1" s="158" t="s">
        <v>2534</v>
      </c>
      <c r="F1" s="159" t="s">
        <v>2535</v>
      </c>
      <c r="G1" s="159" t="s">
        <v>2536</v>
      </c>
      <c r="H1" s="159" t="s">
        <v>2537</v>
      </c>
      <c r="I1" s="159" t="s">
        <v>2538</v>
      </c>
      <c r="J1" s="159" t="s">
        <v>2539</v>
      </c>
      <c r="K1" s="159" t="s">
        <v>2540</v>
      </c>
      <c r="L1" s="160" t="s">
        <v>2541</v>
      </c>
      <c r="M1" s="67"/>
      <c r="N1" s="67"/>
      <c r="O1" s="67"/>
      <c r="P1" s="67"/>
      <c r="Q1" s="67"/>
      <c r="R1" s="67"/>
      <c r="S1" s="67"/>
      <c r="T1" s="67"/>
      <c r="U1" s="67"/>
      <c r="V1" s="67"/>
      <c r="W1" s="67"/>
      <c r="X1" s="67"/>
      <c r="Y1" s="67"/>
      <c r="Z1" s="67"/>
    </row>
    <row r="2" spans="1:26" ht="14.25" customHeight="1" x14ac:dyDescent="0.25">
      <c r="A2" s="161">
        <v>1</v>
      </c>
      <c r="B2" s="162">
        <v>90521157307</v>
      </c>
      <c r="C2" s="163" t="s">
        <v>2542</v>
      </c>
      <c r="D2" s="162" t="s">
        <v>2543</v>
      </c>
      <c r="E2" s="162">
        <v>10</v>
      </c>
      <c r="F2" s="162" t="s">
        <v>2544</v>
      </c>
      <c r="G2" s="162" t="s">
        <v>2545</v>
      </c>
      <c r="H2" s="162">
        <v>42008802</v>
      </c>
      <c r="I2" s="162">
        <v>5.21</v>
      </c>
      <c r="J2" s="162" t="s">
        <v>2546</v>
      </c>
      <c r="K2" s="162" t="s">
        <v>2547</v>
      </c>
      <c r="L2" s="164"/>
      <c r="M2" s="67"/>
      <c r="N2" s="67"/>
      <c r="O2" s="67"/>
      <c r="P2" s="67"/>
      <c r="Q2" s="67"/>
      <c r="R2" s="67"/>
      <c r="S2" s="67"/>
      <c r="T2" s="67"/>
      <c r="U2" s="67"/>
      <c r="V2" s="67"/>
      <c r="W2" s="67"/>
      <c r="X2" s="67"/>
      <c r="Y2" s="67"/>
      <c r="Z2" s="67"/>
    </row>
    <row r="3" spans="1:26" ht="14.25" customHeight="1" x14ac:dyDescent="0.25">
      <c r="A3" s="165">
        <v>2</v>
      </c>
      <c r="B3" s="166">
        <v>90522143800</v>
      </c>
      <c r="C3" s="166" t="s">
        <v>2548</v>
      </c>
      <c r="D3" s="166" t="s">
        <v>2549</v>
      </c>
      <c r="E3" s="166">
        <v>10</v>
      </c>
      <c r="F3" s="166" t="s">
        <v>2550</v>
      </c>
      <c r="G3" s="166" t="s">
        <v>1430</v>
      </c>
      <c r="H3" s="166">
        <v>64078501</v>
      </c>
      <c r="I3" s="166">
        <v>11.21</v>
      </c>
      <c r="J3" s="166" t="s">
        <v>2548</v>
      </c>
      <c r="K3" s="166" t="s">
        <v>2551</v>
      </c>
      <c r="L3" s="167"/>
      <c r="M3" s="67"/>
      <c r="N3" s="67"/>
      <c r="O3" s="67"/>
      <c r="P3" s="67"/>
      <c r="Q3" s="67"/>
      <c r="R3" s="67"/>
      <c r="S3" s="67"/>
      <c r="T3" s="67"/>
      <c r="U3" s="67"/>
      <c r="V3" s="67"/>
      <c r="W3" s="67"/>
      <c r="X3" s="67"/>
      <c r="Y3" s="67"/>
      <c r="Z3" s="67"/>
    </row>
    <row r="4" spans="1:26" ht="14.25" customHeight="1" x14ac:dyDescent="0.25">
      <c r="A4" s="168">
        <v>3</v>
      </c>
      <c r="B4" s="166" t="s">
        <v>2552</v>
      </c>
      <c r="C4" s="166" t="s">
        <v>2553</v>
      </c>
      <c r="D4" s="166"/>
      <c r="E4" s="166"/>
      <c r="F4" s="166" t="s">
        <v>2554</v>
      </c>
      <c r="G4" s="166" t="s">
        <v>1303</v>
      </c>
      <c r="H4" s="166">
        <v>20418302</v>
      </c>
      <c r="I4" s="166" t="s">
        <v>2555</v>
      </c>
      <c r="J4" s="169">
        <v>17.2</v>
      </c>
      <c r="K4" s="166"/>
      <c r="L4" s="170"/>
      <c r="M4" s="67"/>
      <c r="N4" s="67"/>
      <c r="O4" s="67"/>
      <c r="P4" s="67"/>
      <c r="Q4" s="67"/>
      <c r="R4" s="67"/>
      <c r="S4" s="67"/>
      <c r="T4" s="67"/>
      <c r="U4" s="67"/>
      <c r="V4" s="67"/>
      <c r="W4" s="67"/>
      <c r="X4" s="67"/>
      <c r="Y4" s="67"/>
      <c r="Z4" s="67"/>
    </row>
    <row r="5" spans="1:26" ht="14.25" customHeight="1" x14ac:dyDescent="0.25">
      <c r="A5" s="168">
        <v>4</v>
      </c>
      <c r="B5" s="166">
        <v>90522876433</v>
      </c>
      <c r="C5" s="166" t="s">
        <v>2556</v>
      </c>
      <c r="D5" s="166" t="s">
        <v>2557</v>
      </c>
      <c r="E5" s="166">
        <v>10</v>
      </c>
      <c r="F5" s="166" t="s">
        <v>2558</v>
      </c>
      <c r="G5" s="166" t="s">
        <v>2559</v>
      </c>
      <c r="H5" s="166">
        <v>76644301</v>
      </c>
      <c r="I5" s="166" t="s">
        <v>2560</v>
      </c>
      <c r="J5" s="169" t="s">
        <v>2561</v>
      </c>
      <c r="K5" s="166">
        <v>13.3</v>
      </c>
      <c r="L5" s="170"/>
      <c r="M5" s="67"/>
      <c r="N5" s="67"/>
      <c r="O5" s="67"/>
      <c r="P5" s="67"/>
      <c r="Q5" s="67"/>
      <c r="R5" s="67"/>
      <c r="S5" s="67"/>
      <c r="T5" s="67"/>
      <c r="U5" s="67"/>
      <c r="V5" s="67"/>
      <c r="W5" s="67"/>
      <c r="X5" s="67"/>
      <c r="Y5" s="67"/>
      <c r="Z5" s="67"/>
    </row>
    <row r="6" spans="1:26" ht="14.25" customHeight="1" x14ac:dyDescent="0.25">
      <c r="A6" s="161">
        <v>5</v>
      </c>
      <c r="B6" s="166">
        <v>90523050137</v>
      </c>
      <c r="C6" s="166" t="s">
        <v>2560</v>
      </c>
      <c r="D6" s="166" t="s">
        <v>2562</v>
      </c>
      <c r="E6" s="166">
        <v>8</v>
      </c>
      <c r="F6" s="166" t="s">
        <v>2563</v>
      </c>
      <c r="G6" s="166" t="s">
        <v>2559</v>
      </c>
      <c r="H6" s="166">
        <v>76644301</v>
      </c>
      <c r="I6" s="166" t="s">
        <v>2564</v>
      </c>
      <c r="J6" s="169" t="s">
        <v>2561</v>
      </c>
      <c r="K6" s="166"/>
      <c r="L6" s="170"/>
      <c r="M6" s="67"/>
      <c r="N6" s="67"/>
      <c r="O6" s="67"/>
      <c r="P6" s="67"/>
      <c r="Q6" s="67"/>
      <c r="R6" s="67"/>
      <c r="S6" s="67"/>
      <c r="T6" s="67"/>
      <c r="U6" s="67"/>
      <c r="V6" s="67"/>
      <c r="W6" s="67"/>
      <c r="X6" s="67"/>
      <c r="Y6" s="67"/>
      <c r="Z6" s="67"/>
    </row>
    <row r="7" spans="1:26" ht="14.25" customHeight="1" x14ac:dyDescent="0.25">
      <c r="A7" s="165">
        <v>6</v>
      </c>
      <c r="B7" s="166">
        <v>90522930362</v>
      </c>
      <c r="C7" s="166" t="s">
        <v>571</v>
      </c>
      <c r="D7" s="166" t="s">
        <v>2565</v>
      </c>
      <c r="E7" s="166">
        <v>8</v>
      </c>
      <c r="F7" s="166" t="s">
        <v>2566</v>
      </c>
      <c r="G7" s="166" t="s">
        <v>2559</v>
      </c>
      <c r="H7" s="166">
        <v>76644301</v>
      </c>
      <c r="I7" s="166" t="s">
        <v>2560</v>
      </c>
      <c r="J7" s="169" t="s">
        <v>2561</v>
      </c>
      <c r="K7" s="166">
        <v>13.3</v>
      </c>
      <c r="L7" s="170"/>
      <c r="M7" s="67"/>
      <c r="N7" s="67"/>
      <c r="O7" s="67"/>
      <c r="P7" s="67"/>
      <c r="Q7" s="67"/>
      <c r="R7" s="67"/>
      <c r="S7" s="67"/>
      <c r="T7" s="67"/>
      <c r="U7" s="67"/>
      <c r="V7" s="67"/>
      <c r="W7" s="67"/>
      <c r="X7" s="67"/>
      <c r="Y7" s="67"/>
      <c r="Z7" s="67"/>
    </row>
    <row r="8" spans="1:26" ht="14.25" customHeight="1" x14ac:dyDescent="0.25">
      <c r="A8" s="168">
        <v>7</v>
      </c>
      <c r="B8" s="166">
        <v>30500552986</v>
      </c>
      <c r="C8" s="166" t="s">
        <v>2567</v>
      </c>
      <c r="D8" s="166" t="s">
        <v>2568</v>
      </c>
      <c r="E8" s="166">
        <v>8</v>
      </c>
      <c r="F8" s="166" t="s">
        <v>2569</v>
      </c>
      <c r="G8" s="166" t="s">
        <v>1307</v>
      </c>
      <c r="H8" s="166">
        <v>64079101</v>
      </c>
      <c r="I8" s="166" t="s">
        <v>2560</v>
      </c>
      <c r="J8" s="169" t="s">
        <v>2561</v>
      </c>
      <c r="K8" s="166">
        <v>13.3</v>
      </c>
      <c r="L8" s="170"/>
      <c r="M8" s="67"/>
      <c r="N8" s="67"/>
      <c r="O8" s="67"/>
      <c r="P8" s="67"/>
      <c r="Q8" s="67"/>
      <c r="R8" s="67"/>
      <c r="S8" s="67"/>
      <c r="T8" s="67"/>
      <c r="U8" s="67"/>
      <c r="V8" s="67"/>
      <c r="W8" s="67"/>
      <c r="X8" s="67"/>
      <c r="Y8" s="67"/>
      <c r="Z8" s="67"/>
    </row>
    <row r="9" spans="1:26" ht="14.25" customHeight="1" x14ac:dyDescent="0.25">
      <c r="A9" s="168">
        <v>8</v>
      </c>
      <c r="B9" s="166">
        <v>30500553018</v>
      </c>
      <c r="C9" s="166" t="s">
        <v>2570</v>
      </c>
      <c r="D9" s="166" t="s">
        <v>2568</v>
      </c>
      <c r="E9" s="166">
        <v>8</v>
      </c>
      <c r="F9" s="166" t="s">
        <v>2569</v>
      </c>
      <c r="G9" s="166" t="s">
        <v>2571</v>
      </c>
      <c r="H9" s="166">
        <v>63109602</v>
      </c>
      <c r="I9" s="166" t="s">
        <v>2560</v>
      </c>
      <c r="J9" s="169" t="s">
        <v>650</v>
      </c>
      <c r="K9" s="166" t="s">
        <v>2572</v>
      </c>
      <c r="L9" s="170"/>
      <c r="M9" s="67"/>
      <c r="N9" s="67"/>
      <c r="O9" s="67"/>
      <c r="P9" s="67"/>
      <c r="Q9" s="67"/>
      <c r="R9" s="67"/>
      <c r="S9" s="67"/>
      <c r="T9" s="67"/>
      <c r="U9" s="67"/>
      <c r="V9" s="67"/>
      <c r="W9" s="67"/>
      <c r="X9" s="67"/>
      <c r="Y9" s="67"/>
      <c r="Z9" s="67"/>
    </row>
    <row r="10" spans="1:26" ht="14.25" customHeight="1" x14ac:dyDescent="0.25">
      <c r="A10" s="161">
        <v>9</v>
      </c>
      <c r="B10" s="166">
        <v>95500899273</v>
      </c>
      <c r="C10" s="166" t="s">
        <v>2573</v>
      </c>
      <c r="D10" s="166" t="s">
        <v>2574</v>
      </c>
      <c r="E10" s="166">
        <v>8</v>
      </c>
      <c r="F10" s="166" t="s">
        <v>2566</v>
      </c>
      <c r="G10" s="166" t="s">
        <v>2418</v>
      </c>
      <c r="H10" s="166">
        <v>76644701</v>
      </c>
      <c r="I10" s="166" t="s">
        <v>2575</v>
      </c>
      <c r="J10" s="169" t="s">
        <v>2576</v>
      </c>
      <c r="K10" s="166"/>
      <c r="L10" s="170"/>
      <c r="M10" s="67"/>
      <c r="N10" s="67"/>
      <c r="O10" s="67"/>
      <c r="P10" s="67"/>
      <c r="Q10" s="67"/>
      <c r="R10" s="67"/>
      <c r="S10" s="67"/>
      <c r="T10" s="67"/>
      <c r="U10" s="67"/>
      <c r="V10" s="67"/>
      <c r="W10" s="67"/>
      <c r="X10" s="67"/>
      <c r="Y10" s="67"/>
      <c r="Z10" s="67"/>
    </row>
    <row r="11" spans="1:26" ht="14.25" customHeight="1" x14ac:dyDescent="0.25">
      <c r="A11" s="165">
        <v>10</v>
      </c>
      <c r="B11" s="166">
        <v>90523302074</v>
      </c>
      <c r="C11" s="166" t="s">
        <v>2577</v>
      </c>
      <c r="D11" s="166" t="s">
        <v>2578</v>
      </c>
      <c r="E11" s="166">
        <v>8</v>
      </c>
      <c r="F11" s="166" t="s">
        <v>2566</v>
      </c>
      <c r="G11" s="166" t="s">
        <v>2465</v>
      </c>
      <c r="H11" s="166">
        <v>76376601</v>
      </c>
      <c r="I11" s="166" t="s">
        <v>2575</v>
      </c>
      <c r="J11" s="169" t="s">
        <v>2579</v>
      </c>
      <c r="K11" s="166"/>
      <c r="L11" s="170"/>
      <c r="M11" s="67"/>
      <c r="N11" s="67"/>
      <c r="O11" s="67"/>
      <c r="P11" s="67"/>
      <c r="Q11" s="67"/>
      <c r="R11" s="67"/>
      <c r="S11" s="67"/>
      <c r="T11" s="67"/>
      <c r="U11" s="67"/>
      <c r="V11" s="67"/>
      <c r="W11" s="67"/>
      <c r="X11" s="67"/>
      <c r="Y11" s="67"/>
      <c r="Z11" s="67"/>
    </row>
    <row r="12" spans="1:26" ht="14.25" customHeight="1" x14ac:dyDescent="0.25">
      <c r="A12" s="168">
        <v>11</v>
      </c>
      <c r="B12" s="166">
        <v>90523499250</v>
      </c>
      <c r="C12" s="166" t="s">
        <v>2580</v>
      </c>
      <c r="D12" s="166" t="s">
        <v>2578</v>
      </c>
      <c r="E12" s="166">
        <v>8</v>
      </c>
      <c r="F12" s="166" t="s">
        <v>2566</v>
      </c>
      <c r="G12" s="166" t="s">
        <v>2465</v>
      </c>
      <c r="H12" s="166">
        <v>64078501</v>
      </c>
      <c r="I12" s="166" t="s">
        <v>2575</v>
      </c>
      <c r="J12" s="169" t="s">
        <v>2579</v>
      </c>
      <c r="K12" s="166"/>
      <c r="L12" s="170"/>
      <c r="M12" s="67"/>
      <c r="N12" s="67"/>
      <c r="O12" s="67"/>
      <c r="P12" s="67"/>
      <c r="Q12" s="67"/>
      <c r="R12" s="67"/>
      <c r="S12" s="67"/>
      <c r="T12" s="67"/>
      <c r="U12" s="67"/>
      <c r="V12" s="67"/>
      <c r="W12" s="67"/>
      <c r="X12" s="67"/>
      <c r="Y12" s="67"/>
      <c r="Z12" s="67"/>
    </row>
    <row r="13" spans="1:26" ht="14.25" customHeight="1" x14ac:dyDescent="0.25">
      <c r="A13" s="168">
        <v>12</v>
      </c>
      <c r="B13" s="166">
        <v>10501400369</v>
      </c>
      <c r="C13" s="166" t="s">
        <v>2581</v>
      </c>
      <c r="D13" s="166" t="s">
        <v>2582</v>
      </c>
      <c r="E13" s="166"/>
      <c r="F13" s="166" t="s">
        <v>2563</v>
      </c>
      <c r="G13" s="166" t="s">
        <v>680</v>
      </c>
      <c r="H13" s="166">
        <v>17053103</v>
      </c>
      <c r="I13" s="166"/>
      <c r="J13" s="169"/>
      <c r="K13" s="166"/>
      <c r="L13" s="170" t="s">
        <v>2583</v>
      </c>
      <c r="M13" s="67"/>
      <c r="N13" s="67"/>
      <c r="O13" s="67"/>
      <c r="P13" s="67"/>
      <c r="Q13" s="67"/>
      <c r="R13" s="67"/>
      <c r="S13" s="67"/>
      <c r="T13" s="67"/>
      <c r="U13" s="67"/>
      <c r="V13" s="67"/>
      <c r="W13" s="67"/>
      <c r="X13" s="67"/>
      <c r="Y13" s="67"/>
      <c r="Z13" s="67"/>
    </row>
    <row r="14" spans="1:26" ht="14.25" customHeight="1" x14ac:dyDescent="0.25">
      <c r="A14" s="161">
        <v>13</v>
      </c>
      <c r="B14" s="166">
        <v>90525273786</v>
      </c>
      <c r="C14" s="166" t="s">
        <v>2584</v>
      </c>
      <c r="D14" s="166" t="s">
        <v>2585</v>
      </c>
      <c r="E14" s="166">
        <v>10</v>
      </c>
      <c r="F14" s="166" t="s">
        <v>2544</v>
      </c>
      <c r="G14" s="166" t="s">
        <v>697</v>
      </c>
      <c r="H14" s="166">
        <v>21705703</v>
      </c>
      <c r="I14" s="166"/>
      <c r="J14" s="169"/>
      <c r="K14" s="166"/>
      <c r="L14" s="170"/>
      <c r="M14" s="67"/>
      <c r="N14" s="67"/>
      <c r="O14" s="67"/>
      <c r="P14" s="67"/>
      <c r="Q14" s="67"/>
      <c r="R14" s="67"/>
      <c r="S14" s="67"/>
      <c r="T14" s="67"/>
      <c r="U14" s="67"/>
      <c r="V14" s="67"/>
      <c r="W14" s="67"/>
      <c r="X14" s="67"/>
      <c r="Y14" s="67"/>
      <c r="Z14" s="67"/>
    </row>
    <row r="15" spans="1:26" ht="14.25" customHeight="1" x14ac:dyDescent="0.25">
      <c r="A15" s="171">
        <v>14</v>
      </c>
      <c r="B15" s="34">
        <v>3003221118</v>
      </c>
      <c r="C15" s="34" t="s">
        <v>281</v>
      </c>
      <c r="D15" s="34" t="s">
        <v>2586</v>
      </c>
      <c r="E15" s="34"/>
      <c r="F15" s="34">
        <v>250</v>
      </c>
      <c r="G15" s="34" t="s">
        <v>766</v>
      </c>
      <c r="H15" s="34">
        <v>79735202</v>
      </c>
      <c r="I15" s="34"/>
      <c r="J15" s="172"/>
      <c r="K15" s="34"/>
      <c r="L15" s="173" t="s">
        <v>2587</v>
      </c>
      <c r="M15" s="174"/>
      <c r="N15" s="174"/>
      <c r="O15" s="174"/>
      <c r="P15" s="174"/>
      <c r="Q15" s="174"/>
      <c r="R15" s="174"/>
      <c r="S15" s="174"/>
      <c r="T15" s="174"/>
      <c r="U15" s="174"/>
      <c r="V15" s="174"/>
      <c r="W15" s="174"/>
      <c r="X15" s="174"/>
      <c r="Y15" s="174"/>
      <c r="Z15" s="174"/>
    </row>
    <row r="16" spans="1:26" ht="42.75" customHeight="1" x14ac:dyDescent="0.25">
      <c r="A16" s="175">
        <v>15</v>
      </c>
      <c r="B16" s="176" t="s">
        <v>2588</v>
      </c>
      <c r="C16" s="176" t="s">
        <v>2589</v>
      </c>
      <c r="D16" s="34" t="s">
        <v>2590</v>
      </c>
      <c r="E16" s="34"/>
      <c r="F16" s="34"/>
      <c r="G16" s="176" t="s">
        <v>2591</v>
      </c>
      <c r="H16" s="176" t="s">
        <v>2592</v>
      </c>
      <c r="I16" s="34"/>
      <c r="J16" s="172"/>
      <c r="K16" s="34"/>
      <c r="L16" s="177" t="s">
        <v>2593</v>
      </c>
      <c r="M16" s="174"/>
      <c r="N16" s="174"/>
      <c r="O16" s="174"/>
      <c r="P16" s="174"/>
      <c r="Q16" s="174"/>
      <c r="R16" s="174"/>
      <c r="S16" s="174"/>
      <c r="T16" s="174"/>
      <c r="U16" s="174"/>
      <c r="V16" s="174"/>
      <c r="W16" s="174"/>
      <c r="X16" s="174"/>
      <c r="Y16" s="174"/>
      <c r="Z16" s="174"/>
    </row>
    <row r="17" spans="1:26" ht="68.25" customHeight="1" x14ac:dyDescent="0.25">
      <c r="A17" s="175">
        <v>16</v>
      </c>
      <c r="B17" s="176" t="s">
        <v>2594</v>
      </c>
      <c r="C17" s="176" t="s">
        <v>2595</v>
      </c>
      <c r="D17" s="176" t="s">
        <v>2596</v>
      </c>
      <c r="E17" s="34"/>
      <c r="F17" s="34"/>
      <c r="G17" s="176" t="s">
        <v>2597</v>
      </c>
      <c r="H17" s="176" t="s">
        <v>2598</v>
      </c>
      <c r="I17" s="34"/>
      <c r="J17" s="172"/>
      <c r="K17" s="34"/>
      <c r="L17" s="177" t="s">
        <v>2599</v>
      </c>
      <c r="M17" s="67"/>
      <c r="N17" s="67"/>
      <c r="O17" s="67"/>
      <c r="P17" s="67"/>
      <c r="Q17" s="67"/>
      <c r="R17" s="67"/>
      <c r="S17" s="67"/>
      <c r="T17" s="67"/>
      <c r="U17" s="67"/>
      <c r="V17" s="67"/>
      <c r="W17" s="67"/>
      <c r="X17" s="67"/>
      <c r="Y17" s="67"/>
      <c r="Z17" s="67"/>
    </row>
    <row r="18" spans="1:26" ht="56.25" customHeight="1" x14ac:dyDescent="0.25">
      <c r="A18" s="175">
        <v>17</v>
      </c>
      <c r="B18" s="176" t="s">
        <v>2600</v>
      </c>
      <c r="C18" s="176" t="s">
        <v>2601</v>
      </c>
      <c r="D18" s="34" t="s">
        <v>2602</v>
      </c>
      <c r="E18" s="34"/>
      <c r="F18" s="176" t="s">
        <v>2603</v>
      </c>
      <c r="G18" s="176" t="s">
        <v>2604</v>
      </c>
      <c r="H18" s="176" t="s">
        <v>2605</v>
      </c>
      <c r="I18" s="34"/>
      <c r="J18" s="172"/>
      <c r="K18" s="34"/>
      <c r="L18" s="177" t="s">
        <v>2606</v>
      </c>
      <c r="M18" s="174"/>
      <c r="N18" s="174"/>
      <c r="O18" s="174"/>
      <c r="P18" s="174"/>
      <c r="Q18" s="174"/>
      <c r="R18" s="174"/>
      <c r="S18" s="174"/>
      <c r="T18" s="174"/>
      <c r="U18" s="174"/>
      <c r="V18" s="174"/>
      <c r="W18" s="174"/>
      <c r="X18" s="174"/>
      <c r="Y18" s="174"/>
      <c r="Z18" s="174"/>
    </row>
    <row r="19" spans="1:26" ht="14.25" customHeight="1" x14ac:dyDescent="0.25">
      <c r="A19" s="175">
        <v>18</v>
      </c>
      <c r="B19" s="34">
        <v>20036203</v>
      </c>
      <c r="C19" s="34" t="s">
        <v>2607</v>
      </c>
      <c r="D19" s="34" t="s">
        <v>2608</v>
      </c>
      <c r="E19" s="34"/>
      <c r="F19" s="34">
        <v>500</v>
      </c>
      <c r="G19" s="34" t="s">
        <v>2609</v>
      </c>
      <c r="H19" s="34">
        <v>20036203</v>
      </c>
      <c r="I19" s="34"/>
      <c r="J19" s="172"/>
      <c r="K19" s="34"/>
      <c r="L19" s="173"/>
      <c r="M19" s="67"/>
      <c r="N19" s="67"/>
      <c r="O19" s="67"/>
      <c r="P19" s="67"/>
      <c r="Q19" s="67"/>
      <c r="R19" s="67"/>
      <c r="S19" s="67"/>
      <c r="T19" s="67"/>
      <c r="U19" s="67"/>
      <c r="V19" s="67"/>
      <c r="W19" s="67"/>
      <c r="X19" s="67"/>
      <c r="Y19" s="67"/>
      <c r="Z19" s="67"/>
    </row>
    <row r="20" spans="1:26" ht="60" customHeight="1" x14ac:dyDescent="0.25">
      <c r="A20" s="168">
        <v>19</v>
      </c>
      <c r="B20" s="178" t="s">
        <v>2610</v>
      </c>
      <c r="C20" s="178" t="s">
        <v>2611</v>
      </c>
      <c r="D20" s="166" t="s">
        <v>2602</v>
      </c>
      <c r="E20" s="166"/>
      <c r="F20" s="178" t="s">
        <v>2612</v>
      </c>
      <c r="G20" s="178" t="s">
        <v>2613</v>
      </c>
      <c r="H20" s="178" t="s">
        <v>2614</v>
      </c>
      <c r="I20" s="166"/>
      <c r="J20" s="169"/>
      <c r="K20" s="166"/>
      <c r="L20" s="179" t="s">
        <v>2615</v>
      </c>
      <c r="M20" s="67"/>
      <c r="N20" s="67"/>
      <c r="O20" s="67"/>
      <c r="P20" s="67"/>
      <c r="Q20" s="67"/>
      <c r="R20" s="67"/>
      <c r="S20" s="67"/>
      <c r="T20" s="67"/>
      <c r="U20" s="67"/>
      <c r="V20" s="67"/>
      <c r="W20" s="67"/>
      <c r="X20" s="67"/>
      <c r="Y20" s="67"/>
      <c r="Z20" s="67"/>
    </row>
    <row r="21" spans="1:26" ht="14.25" customHeight="1" x14ac:dyDescent="0.25">
      <c r="A21" s="175">
        <v>20</v>
      </c>
      <c r="B21" s="34">
        <v>28466761</v>
      </c>
      <c r="C21" s="34" t="s">
        <v>558</v>
      </c>
      <c r="D21" s="34" t="s">
        <v>2602</v>
      </c>
      <c r="E21" s="34"/>
      <c r="F21" s="34">
        <v>155</v>
      </c>
      <c r="G21" s="34" t="s">
        <v>1569</v>
      </c>
      <c r="H21" s="34">
        <v>45366702</v>
      </c>
      <c r="I21" s="34"/>
      <c r="J21" s="172"/>
      <c r="K21" s="34"/>
      <c r="L21" s="173" t="s">
        <v>2616</v>
      </c>
      <c r="M21" s="174"/>
      <c r="N21" s="174"/>
      <c r="O21" s="174"/>
      <c r="P21" s="174"/>
      <c r="Q21" s="174"/>
      <c r="R21" s="174"/>
      <c r="S21" s="174"/>
      <c r="T21" s="174"/>
      <c r="U21" s="174"/>
      <c r="V21" s="174"/>
      <c r="W21" s="174"/>
      <c r="X21" s="174"/>
      <c r="Y21" s="174"/>
      <c r="Z21" s="174"/>
    </row>
    <row r="22" spans="1:26" ht="14.25" customHeight="1" x14ac:dyDescent="0.25">
      <c r="A22" s="175">
        <v>21</v>
      </c>
      <c r="B22" s="34">
        <v>86291978</v>
      </c>
      <c r="C22" s="34" t="s">
        <v>2617</v>
      </c>
      <c r="D22" s="34" t="s">
        <v>2608</v>
      </c>
      <c r="E22" s="34"/>
      <c r="F22" s="34">
        <v>500</v>
      </c>
      <c r="G22" s="34" t="s">
        <v>1946</v>
      </c>
      <c r="H22" s="34">
        <v>21897903</v>
      </c>
      <c r="I22" s="34"/>
      <c r="J22" s="172"/>
      <c r="K22" s="34"/>
      <c r="L22" s="173" t="s">
        <v>2618</v>
      </c>
      <c r="M22" s="67"/>
      <c r="N22" s="67"/>
      <c r="O22" s="67"/>
      <c r="P22" s="67"/>
      <c r="Q22" s="67"/>
      <c r="R22" s="67"/>
      <c r="S22" s="67"/>
      <c r="T22" s="67"/>
      <c r="U22" s="67"/>
      <c r="V22" s="67"/>
      <c r="W22" s="67"/>
      <c r="X22" s="67"/>
      <c r="Y22" s="67"/>
      <c r="Z22" s="67"/>
    </row>
    <row r="23" spans="1:26" ht="14.25" customHeight="1" x14ac:dyDescent="0.25">
      <c r="A23" s="175">
        <v>22</v>
      </c>
      <c r="B23" s="34">
        <v>121799</v>
      </c>
      <c r="C23" s="34" t="s">
        <v>2619</v>
      </c>
      <c r="D23" s="34" t="s">
        <v>2620</v>
      </c>
      <c r="E23" s="34"/>
      <c r="F23" s="34">
        <v>475</v>
      </c>
      <c r="G23" s="34" t="s">
        <v>731</v>
      </c>
      <c r="H23" s="34">
        <v>43688603</v>
      </c>
      <c r="I23" s="34"/>
      <c r="J23" s="172"/>
      <c r="K23" s="34"/>
      <c r="L23" s="173" t="s">
        <v>2621</v>
      </c>
      <c r="M23" s="174"/>
      <c r="N23" s="174"/>
      <c r="O23" s="174"/>
      <c r="P23" s="174"/>
      <c r="Q23" s="174"/>
      <c r="R23" s="174"/>
      <c r="S23" s="174"/>
      <c r="T23" s="174"/>
      <c r="U23" s="174"/>
      <c r="V23" s="174"/>
      <c r="W23" s="174"/>
      <c r="X23" s="174"/>
      <c r="Y23" s="174"/>
      <c r="Z23" s="174"/>
    </row>
    <row r="24" spans="1:26" ht="14.25" customHeight="1" x14ac:dyDescent="0.25">
      <c r="A24" s="180">
        <v>23</v>
      </c>
      <c r="B24" s="181">
        <v>3003424032</v>
      </c>
      <c r="C24" s="181" t="s">
        <v>1906</v>
      </c>
      <c r="D24" s="181" t="s">
        <v>2602</v>
      </c>
      <c r="E24" s="181"/>
      <c r="F24" s="181">
        <v>100</v>
      </c>
      <c r="G24" s="181" t="s">
        <v>1307</v>
      </c>
      <c r="H24" s="181">
        <v>75170102</v>
      </c>
      <c r="I24" s="181"/>
      <c r="J24" s="182"/>
      <c r="K24" s="181"/>
      <c r="L24" s="183" t="s">
        <v>2622</v>
      </c>
      <c r="M24" s="67"/>
      <c r="N24" s="67"/>
      <c r="O24" s="67"/>
      <c r="P24" s="67"/>
      <c r="Q24" s="67"/>
      <c r="R24" s="67"/>
      <c r="S24" s="67"/>
      <c r="T24" s="67"/>
      <c r="U24" s="67"/>
      <c r="V24" s="67"/>
      <c r="W24" s="67"/>
      <c r="X24" s="67"/>
      <c r="Y24" s="67"/>
      <c r="Z24" s="67"/>
    </row>
    <row r="25" spans="1:26" ht="14.25" customHeight="1" x14ac:dyDescent="0.25">
      <c r="A25" s="34">
        <v>24</v>
      </c>
      <c r="B25" s="34">
        <v>2001779788</v>
      </c>
      <c r="C25" s="184" t="s">
        <v>2623</v>
      </c>
      <c r="D25" s="34" t="s">
        <v>2608</v>
      </c>
      <c r="E25" s="34"/>
      <c r="F25" s="34">
        <v>500</v>
      </c>
      <c r="G25" s="34" t="s">
        <v>1261</v>
      </c>
      <c r="H25" s="34">
        <v>72069702</v>
      </c>
      <c r="I25" s="34"/>
      <c r="J25" s="34"/>
      <c r="K25" s="34"/>
      <c r="L25" s="34" t="s">
        <v>2624</v>
      </c>
      <c r="M25" s="185"/>
      <c r="N25" s="185"/>
      <c r="O25" s="185"/>
      <c r="P25" s="185"/>
      <c r="Q25" s="185"/>
      <c r="R25" s="185"/>
      <c r="S25" s="185"/>
      <c r="T25" s="185"/>
      <c r="U25" s="185"/>
      <c r="V25" s="185"/>
      <c r="W25" s="185"/>
      <c r="X25" s="185"/>
      <c r="Y25" s="185"/>
      <c r="Z25" s="185"/>
    </row>
    <row r="26" spans="1:26" ht="14.25" customHeight="1" x14ac:dyDescent="0.25">
      <c r="A26" s="186">
        <v>25</v>
      </c>
      <c r="B26" s="186">
        <v>10501727134</v>
      </c>
      <c r="C26" s="186" t="s">
        <v>1979</v>
      </c>
      <c r="D26" s="186" t="s">
        <v>2625</v>
      </c>
      <c r="E26" s="186"/>
      <c r="F26" s="186">
        <v>1000</v>
      </c>
      <c r="G26" s="186" t="s">
        <v>1598</v>
      </c>
      <c r="H26" s="186">
        <v>22187603</v>
      </c>
      <c r="I26" s="186"/>
      <c r="J26" s="186"/>
      <c r="K26" s="186"/>
      <c r="L26" s="186" t="s">
        <v>2626</v>
      </c>
      <c r="M26" s="174"/>
      <c r="N26" s="174"/>
      <c r="O26" s="174"/>
      <c r="P26" s="174"/>
      <c r="Q26" s="174"/>
      <c r="R26" s="174"/>
      <c r="S26" s="174"/>
      <c r="T26" s="174"/>
      <c r="U26" s="174"/>
      <c r="V26" s="174"/>
      <c r="W26" s="174"/>
      <c r="X26" s="174"/>
      <c r="Y26" s="174"/>
      <c r="Z26" s="174"/>
    </row>
    <row r="27" spans="1:26" ht="14.25" customHeight="1" x14ac:dyDescent="0.25">
      <c r="A27" s="186">
        <v>26</v>
      </c>
      <c r="B27" s="186">
        <v>11500891103</v>
      </c>
      <c r="C27" s="186" t="s">
        <v>332</v>
      </c>
      <c r="D27" s="186" t="s">
        <v>2627</v>
      </c>
      <c r="E27" s="186" t="s">
        <v>30</v>
      </c>
      <c r="F27" s="186">
        <v>1500</v>
      </c>
      <c r="G27" s="186" t="s">
        <v>2628</v>
      </c>
      <c r="H27" s="186">
        <v>12198203</v>
      </c>
      <c r="I27" s="186"/>
      <c r="J27" s="186"/>
      <c r="K27" s="186"/>
      <c r="L27" s="186" t="s">
        <v>2629</v>
      </c>
      <c r="M27" s="67"/>
      <c r="N27" s="67"/>
      <c r="O27" s="67"/>
      <c r="P27" s="67"/>
      <c r="Q27" s="67"/>
      <c r="R27" s="67"/>
      <c r="S27" s="67"/>
      <c r="T27" s="67"/>
      <c r="U27" s="67"/>
      <c r="V27" s="67"/>
      <c r="W27" s="67"/>
      <c r="X27" s="67"/>
      <c r="Y27" s="67"/>
      <c r="Z27" s="67"/>
    </row>
    <row r="28" spans="1:26" ht="34.5" customHeight="1" x14ac:dyDescent="0.25">
      <c r="A28" s="187">
        <v>27</v>
      </c>
      <c r="B28" s="188" t="s">
        <v>2630</v>
      </c>
      <c r="C28" s="188" t="s">
        <v>2631</v>
      </c>
      <c r="D28" s="188" t="s">
        <v>2632</v>
      </c>
      <c r="E28" s="187"/>
      <c r="F28" s="188" t="s">
        <v>2633</v>
      </c>
      <c r="G28" s="189" t="s">
        <v>1881</v>
      </c>
      <c r="H28" s="188" t="s">
        <v>2634</v>
      </c>
      <c r="I28" s="187"/>
      <c r="J28" s="187"/>
      <c r="K28" s="187"/>
      <c r="L28" s="187" t="s">
        <v>2635</v>
      </c>
      <c r="M28" s="174"/>
      <c r="N28" s="174"/>
      <c r="O28" s="174"/>
      <c r="P28" s="174"/>
      <c r="Q28" s="174"/>
      <c r="R28" s="174"/>
      <c r="S28" s="174"/>
      <c r="T28" s="174"/>
      <c r="U28" s="174"/>
      <c r="V28" s="174"/>
      <c r="W28" s="174"/>
      <c r="X28" s="174"/>
      <c r="Y28" s="174"/>
      <c r="Z28" s="174"/>
    </row>
    <row r="29" spans="1:26" ht="14.25" customHeight="1" x14ac:dyDescent="0.25">
      <c r="A29" s="187">
        <v>28</v>
      </c>
      <c r="B29" s="187">
        <v>2001329625</v>
      </c>
      <c r="C29" s="187" t="s">
        <v>2636</v>
      </c>
      <c r="D29" s="187" t="s">
        <v>2637</v>
      </c>
      <c r="E29" s="187"/>
      <c r="F29" s="187">
        <v>250</v>
      </c>
      <c r="G29" s="187" t="s">
        <v>731</v>
      </c>
      <c r="H29" s="187">
        <v>43688603</v>
      </c>
      <c r="I29" s="187"/>
      <c r="J29" s="187"/>
      <c r="K29" s="187"/>
      <c r="L29" s="187" t="s">
        <v>2638</v>
      </c>
      <c r="M29" s="174"/>
      <c r="N29" s="174"/>
      <c r="O29" s="174"/>
      <c r="P29" s="174"/>
      <c r="Q29" s="174"/>
      <c r="R29" s="174"/>
      <c r="S29" s="174"/>
      <c r="T29" s="174"/>
      <c r="U29" s="174"/>
      <c r="V29" s="174"/>
      <c r="W29" s="174"/>
      <c r="X29" s="174"/>
      <c r="Y29" s="174"/>
      <c r="Z29" s="174"/>
    </row>
    <row r="30" spans="1:26" ht="14.25" customHeight="1" x14ac:dyDescent="0.25">
      <c r="A30" s="22">
        <v>29</v>
      </c>
      <c r="B30" s="22" t="s">
        <v>2639</v>
      </c>
      <c r="C30" s="22"/>
      <c r="D30" s="186" t="s">
        <v>2640</v>
      </c>
      <c r="E30" s="22"/>
      <c r="F30" s="22"/>
      <c r="G30" s="22"/>
      <c r="H30" s="22"/>
      <c r="I30" s="22"/>
      <c r="J30" s="22"/>
      <c r="K30" s="22"/>
      <c r="L30" s="186" t="s">
        <v>2641</v>
      </c>
      <c r="M30" s="174"/>
      <c r="N30" s="174"/>
      <c r="O30" s="174"/>
      <c r="P30" s="174" t="s">
        <v>2642</v>
      </c>
      <c r="Q30" s="174"/>
      <c r="R30" s="174"/>
      <c r="S30" s="174"/>
      <c r="T30" s="174"/>
      <c r="U30" s="174"/>
      <c r="V30" s="174"/>
      <c r="W30" s="174"/>
      <c r="X30" s="174"/>
      <c r="Y30" s="174"/>
      <c r="Z30" s="174"/>
    </row>
    <row r="31" spans="1:26" ht="14.25" customHeight="1" x14ac:dyDescent="0.25">
      <c r="A31" s="22">
        <v>30</v>
      </c>
      <c r="B31" s="22">
        <v>2000982239</v>
      </c>
      <c r="C31" s="186" t="s">
        <v>2643</v>
      </c>
      <c r="D31" s="186" t="s">
        <v>2644</v>
      </c>
      <c r="E31" s="22"/>
      <c r="F31" s="186">
        <v>250</v>
      </c>
      <c r="G31" s="186" t="s">
        <v>731</v>
      </c>
      <c r="H31" s="186">
        <v>43688603</v>
      </c>
      <c r="I31" s="22"/>
      <c r="J31" s="22"/>
      <c r="K31" s="22"/>
      <c r="L31" s="186" t="s">
        <v>2645</v>
      </c>
      <c r="M31" s="174"/>
      <c r="N31" s="174"/>
      <c r="O31" s="174"/>
      <c r="P31" s="174"/>
      <c r="Q31" s="174"/>
      <c r="R31" s="174"/>
      <c r="S31" s="174"/>
      <c r="T31" s="174"/>
      <c r="U31" s="174"/>
      <c r="V31" s="174"/>
      <c r="W31" s="174"/>
      <c r="X31" s="174"/>
      <c r="Y31" s="174"/>
      <c r="Z31" s="174"/>
    </row>
    <row r="32" spans="1:26" ht="14.25" customHeight="1" x14ac:dyDescent="0.2">
      <c r="A32" s="190">
        <v>31</v>
      </c>
      <c r="B32" s="190">
        <v>17444605</v>
      </c>
      <c r="C32" s="190" t="s">
        <v>2646</v>
      </c>
      <c r="D32" s="190" t="s">
        <v>2647</v>
      </c>
      <c r="E32" s="190"/>
      <c r="F32" s="190">
        <v>100</v>
      </c>
      <c r="G32" s="190" t="s">
        <v>1806</v>
      </c>
      <c r="H32" s="190">
        <v>85045702</v>
      </c>
      <c r="I32" s="190"/>
      <c r="J32" s="190"/>
      <c r="K32" s="190"/>
      <c r="L32" s="190" t="s">
        <v>2648</v>
      </c>
      <c r="M32" s="191"/>
      <c r="N32" s="191"/>
      <c r="O32" s="191"/>
      <c r="P32" s="191"/>
      <c r="Q32" s="191"/>
      <c r="R32" s="191"/>
      <c r="S32" s="191"/>
      <c r="T32" s="191"/>
      <c r="U32" s="191"/>
      <c r="V32" s="191"/>
      <c r="W32" s="191"/>
      <c r="X32" s="191"/>
      <c r="Y32" s="191"/>
      <c r="Z32" s="191"/>
    </row>
    <row r="33" spans="1:26" ht="14.25" customHeight="1" x14ac:dyDescent="0.2">
      <c r="A33" s="22">
        <v>32</v>
      </c>
      <c r="B33" s="22" t="s">
        <v>2649</v>
      </c>
      <c r="C33" s="22" t="s">
        <v>2650</v>
      </c>
      <c r="D33" s="22" t="s">
        <v>2651</v>
      </c>
      <c r="E33" s="22"/>
      <c r="F33" s="22">
        <v>250</v>
      </c>
      <c r="G33" s="22" t="s">
        <v>697</v>
      </c>
      <c r="H33" s="22">
        <v>31404802</v>
      </c>
      <c r="I33" s="22"/>
      <c r="J33" s="22"/>
      <c r="K33" s="22"/>
      <c r="L33" s="22" t="s">
        <v>2652</v>
      </c>
      <c r="M33" s="174"/>
      <c r="N33" s="174"/>
      <c r="O33" s="174"/>
      <c r="P33" s="174"/>
      <c r="Q33" s="174"/>
      <c r="R33" s="174"/>
      <c r="S33" s="174"/>
      <c r="T33" s="174"/>
      <c r="U33" s="174"/>
      <c r="V33" s="174"/>
      <c r="W33" s="174"/>
      <c r="X33" s="174"/>
      <c r="Y33" s="174"/>
      <c r="Z33" s="174"/>
    </row>
    <row r="34" spans="1:26" ht="14.25" customHeight="1" x14ac:dyDescent="0.2">
      <c r="A34" s="60">
        <v>33</v>
      </c>
      <c r="B34" s="60">
        <v>2001848963</v>
      </c>
      <c r="C34" s="192" t="s">
        <v>2653</v>
      </c>
      <c r="D34" s="60" t="s">
        <v>2608</v>
      </c>
      <c r="E34" s="60"/>
      <c r="F34" s="60">
        <v>500</v>
      </c>
      <c r="G34" s="60" t="s">
        <v>731</v>
      </c>
      <c r="H34" s="60">
        <v>43688603</v>
      </c>
      <c r="I34" s="60"/>
      <c r="J34" s="60"/>
      <c r="K34" s="60"/>
      <c r="L34" s="193" t="s">
        <v>2654</v>
      </c>
      <c r="M34" s="174"/>
      <c r="N34" s="174"/>
      <c r="O34" s="174"/>
      <c r="P34" s="174"/>
      <c r="Q34" s="174"/>
      <c r="R34" s="174"/>
      <c r="S34" s="174"/>
      <c r="T34" s="174"/>
      <c r="U34" s="174"/>
      <c r="V34" s="174"/>
      <c r="W34" s="174"/>
      <c r="X34" s="174"/>
      <c r="Y34" s="174"/>
      <c r="Z34" s="174"/>
    </row>
    <row r="35" spans="1:26" ht="14.25" customHeight="1" x14ac:dyDescent="0.2">
      <c r="A35" s="22">
        <v>34</v>
      </c>
      <c r="B35" s="22">
        <v>2001365114</v>
      </c>
      <c r="C35" s="22" t="s">
        <v>307</v>
      </c>
      <c r="D35" s="22" t="s">
        <v>2602</v>
      </c>
      <c r="E35" s="22"/>
      <c r="F35" s="22">
        <v>250</v>
      </c>
      <c r="G35" s="22" t="s">
        <v>980</v>
      </c>
      <c r="H35" s="22">
        <v>47992303</v>
      </c>
      <c r="I35" s="22"/>
      <c r="J35" s="22"/>
      <c r="K35" s="22"/>
      <c r="L35" s="22" t="s">
        <v>2655</v>
      </c>
      <c r="M35" s="174"/>
      <c r="N35" s="174"/>
      <c r="O35" s="174"/>
      <c r="P35" s="174"/>
      <c r="Q35" s="174"/>
      <c r="R35" s="174"/>
      <c r="S35" s="174"/>
      <c r="T35" s="174"/>
      <c r="U35" s="174"/>
      <c r="V35" s="174"/>
      <c r="W35" s="174"/>
      <c r="X35" s="174"/>
      <c r="Y35" s="174"/>
      <c r="Z35" s="174"/>
    </row>
    <row r="36" spans="1:26" ht="14.25" customHeight="1" x14ac:dyDescent="0.2">
      <c r="A36" s="60">
        <v>35</v>
      </c>
      <c r="B36" s="60">
        <v>41957564</v>
      </c>
      <c r="C36" s="60" t="s">
        <v>1999</v>
      </c>
      <c r="D36" s="60" t="s">
        <v>2602</v>
      </c>
      <c r="E36" s="60"/>
      <c r="F36" s="60">
        <v>500</v>
      </c>
      <c r="G36" s="60" t="s">
        <v>1307</v>
      </c>
      <c r="H36" s="60">
        <v>75170102</v>
      </c>
      <c r="I36" s="60"/>
      <c r="J36" s="60"/>
      <c r="K36" s="60"/>
      <c r="L36" s="60" t="s">
        <v>2656</v>
      </c>
      <c r="M36" s="174"/>
      <c r="N36" s="174"/>
      <c r="O36" s="174"/>
      <c r="P36" s="174"/>
      <c r="Q36" s="174"/>
      <c r="R36" s="174"/>
      <c r="S36" s="174"/>
      <c r="T36" s="174"/>
      <c r="U36" s="174"/>
      <c r="V36" s="174"/>
      <c r="W36" s="174"/>
      <c r="X36" s="174"/>
      <c r="Y36" s="174"/>
      <c r="Z36" s="174"/>
    </row>
    <row r="37" spans="1:26" ht="14.25" customHeight="1" x14ac:dyDescent="0.2">
      <c r="A37" s="22">
        <v>36</v>
      </c>
      <c r="B37" s="22" t="s">
        <v>2657</v>
      </c>
      <c r="C37" s="22" t="s">
        <v>1907</v>
      </c>
      <c r="D37" s="22" t="s">
        <v>2602</v>
      </c>
      <c r="E37" s="22"/>
      <c r="F37" s="22">
        <v>168</v>
      </c>
      <c r="G37" s="22" t="s">
        <v>599</v>
      </c>
      <c r="H37" s="22">
        <v>41222802</v>
      </c>
      <c r="I37" s="22"/>
      <c r="J37" s="22"/>
      <c r="K37" s="22"/>
      <c r="L37" s="22" t="s">
        <v>2658</v>
      </c>
      <c r="M37" s="174"/>
      <c r="N37" s="174"/>
      <c r="O37" s="174"/>
      <c r="P37" s="174"/>
      <c r="Q37" s="174"/>
      <c r="R37" s="174"/>
      <c r="S37" s="174"/>
      <c r="T37" s="174"/>
      <c r="U37" s="174"/>
      <c r="V37" s="174"/>
      <c r="W37" s="174"/>
      <c r="X37" s="174"/>
      <c r="Y37" s="174"/>
      <c r="Z37" s="174"/>
    </row>
    <row r="38" spans="1:26" ht="14.25" customHeight="1" x14ac:dyDescent="0.2">
      <c r="A38" s="22">
        <v>37</v>
      </c>
      <c r="B38" s="22">
        <v>1883164</v>
      </c>
      <c r="C38" s="22" t="s">
        <v>2659</v>
      </c>
      <c r="D38" s="22" t="s">
        <v>2602</v>
      </c>
      <c r="E38" s="22"/>
      <c r="F38" s="22">
        <v>173</v>
      </c>
      <c r="G38" s="22" t="s">
        <v>552</v>
      </c>
      <c r="H38" s="22">
        <v>42948502</v>
      </c>
      <c r="I38" s="22"/>
      <c r="J38" s="22"/>
      <c r="K38" s="22"/>
      <c r="L38" s="22" t="s">
        <v>2660</v>
      </c>
      <c r="M38" s="174" t="s">
        <v>2661</v>
      </c>
      <c r="N38" s="174"/>
      <c r="O38" s="174"/>
      <c r="P38" s="174"/>
      <c r="Q38" s="174"/>
      <c r="R38" s="174"/>
      <c r="S38" s="174"/>
      <c r="T38" s="174"/>
      <c r="U38" s="174"/>
      <c r="V38" s="174"/>
      <c r="W38" s="174"/>
      <c r="X38" s="174"/>
      <c r="Y38" s="174"/>
      <c r="Z38" s="174"/>
    </row>
    <row r="39" spans="1:26" ht="14.25" customHeight="1" x14ac:dyDescent="0.2">
      <c r="A39" s="60">
        <v>38</v>
      </c>
      <c r="B39" s="60">
        <v>20535621</v>
      </c>
      <c r="C39" s="60" t="s">
        <v>1810</v>
      </c>
      <c r="D39" s="60" t="s">
        <v>2602</v>
      </c>
      <c r="E39" s="60"/>
      <c r="F39" s="60">
        <v>187</v>
      </c>
      <c r="G39" s="60" t="s">
        <v>1604</v>
      </c>
      <c r="H39" s="60">
        <v>63109602</v>
      </c>
      <c r="I39" s="60"/>
      <c r="J39" s="60"/>
      <c r="K39" s="60"/>
      <c r="L39" s="60" t="s">
        <v>2662</v>
      </c>
      <c r="M39" s="174"/>
      <c r="N39" s="174"/>
      <c r="O39" s="174"/>
      <c r="P39" s="174"/>
      <c r="Q39" s="174"/>
      <c r="R39" s="174"/>
      <c r="S39" s="174"/>
      <c r="T39" s="174"/>
      <c r="U39" s="174"/>
      <c r="V39" s="174"/>
      <c r="W39" s="174"/>
      <c r="X39" s="174"/>
      <c r="Y39" s="174"/>
      <c r="Z39" s="174"/>
    </row>
    <row r="40" spans="1:26" ht="14.25" customHeight="1" x14ac:dyDescent="0.2">
      <c r="A40" s="22">
        <v>39</v>
      </c>
      <c r="B40" s="22">
        <v>72669575</v>
      </c>
      <c r="C40" s="22" t="s">
        <v>2068</v>
      </c>
      <c r="D40" s="22" t="s">
        <v>2602</v>
      </c>
      <c r="E40" s="22"/>
      <c r="F40" s="22">
        <v>250</v>
      </c>
      <c r="G40" s="22" t="s">
        <v>1033</v>
      </c>
      <c r="H40" s="22">
        <v>64078901</v>
      </c>
      <c r="I40" s="22"/>
      <c r="J40" s="22"/>
      <c r="K40" s="22"/>
      <c r="L40" s="22" t="s">
        <v>2663</v>
      </c>
      <c r="M40" s="174"/>
      <c r="N40" s="174"/>
      <c r="O40" s="174"/>
      <c r="P40" s="174"/>
      <c r="Q40" s="174"/>
      <c r="R40" s="174"/>
      <c r="S40" s="174"/>
      <c r="T40" s="174"/>
      <c r="U40" s="174"/>
      <c r="V40" s="174"/>
      <c r="W40" s="174"/>
      <c r="X40" s="174"/>
      <c r="Y40" s="174"/>
      <c r="Z40" s="174"/>
    </row>
    <row r="41" spans="1:26" ht="14.25" customHeight="1" x14ac:dyDescent="0.2">
      <c r="A41" s="190">
        <v>40</v>
      </c>
      <c r="B41" s="190">
        <v>29294626</v>
      </c>
      <c r="C41" s="190" t="s">
        <v>2619</v>
      </c>
      <c r="D41" s="190" t="s">
        <v>2602</v>
      </c>
      <c r="E41" s="190"/>
      <c r="F41" s="190">
        <v>768</v>
      </c>
      <c r="G41" s="190" t="s">
        <v>2664</v>
      </c>
      <c r="H41" s="190">
        <v>24969803</v>
      </c>
      <c r="I41" s="190"/>
      <c r="J41" s="190"/>
      <c r="K41" s="190"/>
      <c r="L41" s="190" t="s">
        <v>2665</v>
      </c>
      <c r="M41" s="191"/>
      <c r="N41" s="191"/>
      <c r="O41" s="191"/>
      <c r="P41" s="191"/>
      <c r="Q41" s="191"/>
      <c r="R41" s="191"/>
      <c r="S41" s="191"/>
      <c r="T41" s="191"/>
      <c r="U41" s="191"/>
      <c r="V41" s="191"/>
      <c r="W41" s="191"/>
      <c r="X41" s="191"/>
      <c r="Y41" s="191"/>
      <c r="Z41" s="191"/>
    </row>
    <row r="42" spans="1:26" ht="14.25" customHeight="1" x14ac:dyDescent="0.2">
      <c r="A42" s="64">
        <v>41</v>
      </c>
      <c r="B42" s="64">
        <v>24796955</v>
      </c>
      <c r="C42" s="64"/>
      <c r="D42" s="64" t="s">
        <v>2666</v>
      </c>
      <c r="E42" s="64"/>
      <c r="F42" s="64">
        <v>100</v>
      </c>
      <c r="G42" s="64" t="s">
        <v>697</v>
      </c>
      <c r="H42" s="64">
        <v>31404802</v>
      </c>
      <c r="I42" s="64"/>
      <c r="J42" s="64"/>
      <c r="K42" s="64"/>
      <c r="L42" s="64" t="s">
        <v>2667</v>
      </c>
      <c r="M42" s="67"/>
      <c r="N42" s="67"/>
      <c r="O42" s="67"/>
      <c r="P42" s="67"/>
      <c r="Q42" s="67"/>
      <c r="R42" s="67"/>
      <c r="S42" s="67"/>
      <c r="T42" s="67"/>
      <c r="U42" s="67"/>
      <c r="V42" s="67"/>
      <c r="W42" s="67"/>
      <c r="X42" s="67"/>
      <c r="Y42" s="67"/>
      <c r="Z42" s="67"/>
    </row>
    <row r="43" spans="1:26" ht="14.25" customHeight="1" x14ac:dyDescent="0.2">
      <c r="A43" s="43">
        <v>42</v>
      </c>
      <c r="B43" s="43">
        <v>2001924326</v>
      </c>
      <c r="C43" s="43" t="s">
        <v>2127</v>
      </c>
      <c r="D43" s="43" t="s">
        <v>2668</v>
      </c>
      <c r="E43" s="43"/>
      <c r="F43" s="43">
        <v>500</v>
      </c>
      <c r="G43" s="43" t="s">
        <v>2049</v>
      </c>
      <c r="H43" s="43">
        <v>45366802</v>
      </c>
      <c r="I43" s="43"/>
      <c r="J43" s="43"/>
      <c r="K43" s="43"/>
      <c r="L43" s="43" t="s">
        <v>2669</v>
      </c>
      <c r="M43" s="67"/>
      <c r="N43" s="67"/>
      <c r="O43" s="67"/>
      <c r="P43" s="67"/>
      <c r="Q43" s="67"/>
      <c r="R43" s="67"/>
      <c r="S43" s="67"/>
      <c r="T43" s="67"/>
      <c r="U43" s="67"/>
      <c r="V43" s="67"/>
      <c r="W43" s="67"/>
      <c r="X43" s="67"/>
      <c r="Y43" s="67"/>
      <c r="Z43" s="67"/>
    </row>
    <row r="44" spans="1:26" ht="14.25" customHeight="1" x14ac:dyDescent="0.2">
      <c r="A44" s="22">
        <v>43</v>
      </c>
      <c r="B44" s="22">
        <v>70712849</v>
      </c>
      <c r="C44" s="22" t="s">
        <v>2072</v>
      </c>
      <c r="D44" s="22" t="s">
        <v>2608</v>
      </c>
      <c r="E44" s="22"/>
      <c r="F44" s="22">
        <v>500</v>
      </c>
      <c r="G44" s="22" t="s">
        <v>1846</v>
      </c>
      <c r="H44" s="22">
        <v>59317703</v>
      </c>
      <c r="I44" s="60"/>
      <c r="J44" s="60"/>
      <c r="K44" s="60"/>
      <c r="L44" s="22" t="s">
        <v>2670</v>
      </c>
      <c r="M44" s="174"/>
      <c r="N44" s="174"/>
      <c r="O44" s="174"/>
      <c r="P44" s="174"/>
      <c r="Q44" s="174"/>
      <c r="R44" s="174"/>
      <c r="S44" s="174"/>
      <c r="T44" s="174"/>
      <c r="U44" s="174"/>
      <c r="V44" s="174"/>
      <c r="W44" s="174"/>
      <c r="X44" s="174"/>
      <c r="Y44" s="174"/>
      <c r="Z44" s="174"/>
    </row>
    <row r="45" spans="1:26" ht="14.25" customHeight="1" x14ac:dyDescent="0.2">
      <c r="A45" s="22">
        <v>44</v>
      </c>
      <c r="B45" s="22">
        <v>11500951691</v>
      </c>
      <c r="C45" s="22" t="s">
        <v>2671</v>
      </c>
      <c r="D45" s="22" t="s">
        <v>2672</v>
      </c>
      <c r="E45" s="22">
        <v>8</v>
      </c>
      <c r="F45" s="22">
        <v>1000</v>
      </c>
      <c r="G45" s="22" t="s">
        <v>663</v>
      </c>
      <c r="H45" s="194">
        <v>89137102</v>
      </c>
      <c r="I45" s="22"/>
      <c r="J45" s="22"/>
      <c r="K45" s="22"/>
      <c r="L45" s="195" t="s">
        <v>2673</v>
      </c>
      <c r="M45" s="174"/>
      <c r="N45" s="174"/>
      <c r="O45" s="174"/>
      <c r="P45" s="174"/>
      <c r="Q45" s="174"/>
      <c r="R45" s="174"/>
      <c r="S45" s="174"/>
      <c r="T45" s="174"/>
      <c r="U45" s="174"/>
      <c r="V45" s="174"/>
      <c r="W45" s="174"/>
      <c r="X45" s="174"/>
      <c r="Y45" s="174"/>
      <c r="Z45" s="174"/>
    </row>
    <row r="46" spans="1:26" ht="14.25" customHeight="1" x14ac:dyDescent="0.2">
      <c r="A46" s="22">
        <v>45</v>
      </c>
      <c r="B46" s="22">
        <v>3004052056</v>
      </c>
      <c r="C46" s="22" t="s">
        <v>2062</v>
      </c>
      <c r="D46" s="22" t="s">
        <v>2602</v>
      </c>
      <c r="E46" s="22"/>
      <c r="F46" s="22">
        <v>100</v>
      </c>
      <c r="G46" s="22" t="s">
        <v>697</v>
      </c>
      <c r="H46" s="194">
        <v>31404802</v>
      </c>
      <c r="I46" s="22"/>
      <c r="J46" s="22"/>
      <c r="K46" s="22"/>
      <c r="L46" s="195" t="s">
        <v>2674</v>
      </c>
      <c r="M46" s="174"/>
      <c r="N46" s="174"/>
      <c r="O46" s="174"/>
      <c r="P46" s="174"/>
      <c r="Q46" s="174"/>
      <c r="R46" s="174"/>
      <c r="S46" s="174"/>
      <c r="T46" s="174"/>
      <c r="U46" s="174"/>
      <c r="V46" s="174"/>
      <c r="W46" s="174"/>
      <c r="X46" s="174"/>
      <c r="Y46" s="174"/>
      <c r="Z46" s="174"/>
    </row>
    <row r="47" spans="1:26" ht="14.25" customHeight="1" x14ac:dyDescent="0.2">
      <c r="A47" s="43">
        <v>46</v>
      </c>
      <c r="B47" s="43">
        <v>76789288</v>
      </c>
      <c r="C47" s="43" t="s">
        <v>2675</v>
      </c>
      <c r="D47" s="43" t="s">
        <v>2602</v>
      </c>
      <c r="E47" s="43"/>
      <c r="F47" s="43"/>
      <c r="G47" s="43" t="s">
        <v>1045</v>
      </c>
      <c r="H47" s="196">
        <v>24989303</v>
      </c>
      <c r="I47" s="43"/>
      <c r="J47" s="43"/>
      <c r="K47" s="43"/>
      <c r="L47" s="197" t="s">
        <v>2676</v>
      </c>
      <c r="M47" s="67"/>
      <c r="N47" s="67"/>
      <c r="O47" s="67"/>
      <c r="P47" s="67"/>
      <c r="Q47" s="67"/>
      <c r="R47" s="67"/>
      <c r="S47" s="67"/>
      <c r="T47" s="67"/>
      <c r="U47" s="67"/>
      <c r="V47" s="67"/>
      <c r="W47" s="67"/>
      <c r="X47" s="67"/>
      <c r="Y47" s="67"/>
      <c r="Z47" s="67"/>
    </row>
    <row r="48" spans="1:26" ht="14.25" customHeight="1" x14ac:dyDescent="0.2">
      <c r="A48" s="174">
        <v>47</v>
      </c>
      <c r="B48" s="198">
        <v>92438183</v>
      </c>
      <c r="C48" s="198" t="s">
        <v>2677</v>
      </c>
      <c r="D48" s="198" t="s">
        <v>2602</v>
      </c>
      <c r="E48" s="174"/>
      <c r="F48" s="198">
        <v>389</v>
      </c>
      <c r="G48" s="198" t="s">
        <v>766</v>
      </c>
      <c r="H48" s="199">
        <v>44373703</v>
      </c>
      <c r="I48" s="22"/>
      <c r="J48" s="22"/>
      <c r="K48" s="22"/>
      <c r="L48" s="200" t="s">
        <v>2678</v>
      </c>
      <c r="M48" s="174"/>
      <c r="N48" s="174"/>
      <c r="O48" s="174"/>
      <c r="P48" s="174"/>
      <c r="Q48" s="174"/>
      <c r="R48" s="174"/>
      <c r="S48" s="174"/>
      <c r="T48" s="174"/>
      <c r="U48" s="174"/>
      <c r="V48" s="174"/>
      <c r="W48" s="174"/>
      <c r="X48" s="174"/>
      <c r="Y48" s="174"/>
      <c r="Z48" s="174"/>
    </row>
    <row r="49" spans="1:26" ht="14.25" customHeight="1" x14ac:dyDescent="0.2">
      <c r="A49" s="64">
        <v>48</v>
      </c>
      <c r="B49" s="64">
        <v>2002007106</v>
      </c>
      <c r="C49" s="64" t="s">
        <v>2679</v>
      </c>
      <c r="D49" s="201" t="s">
        <v>2596</v>
      </c>
      <c r="E49" s="64"/>
      <c r="F49" s="64"/>
      <c r="G49" s="64" t="s">
        <v>601</v>
      </c>
      <c r="H49" s="64">
        <v>75169802</v>
      </c>
      <c r="I49" s="202"/>
      <c r="J49" s="202"/>
      <c r="K49" s="202"/>
      <c r="L49" s="64" t="s">
        <v>2680</v>
      </c>
      <c r="M49" s="67"/>
      <c r="N49" s="67"/>
      <c r="O49" s="67"/>
      <c r="P49" s="67"/>
      <c r="Q49" s="67"/>
      <c r="R49" s="67"/>
      <c r="S49" s="67"/>
      <c r="T49" s="67"/>
      <c r="U49" s="67"/>
      <c r="V49" s="67"/>
      <c r="W49" s="67"/>
      <c r="X49" s="67"/>
      <c r="Y49" s="67"/>
      <c r="Z49" s="67"/>
    </row>
    <row r="50" spans="1:26" ht="14.25" customHeight="1" x14ac:dyDescent="0.2">
      <c r="A50" s="60">
        <v>49</v>
      </c>
      <c r="B50" s="60">
        <v>2002031381</v>
      </c>
      <c r="C50" s="60" t="s">
        <v>2681</v>
      </c>
      <c r="D50" s="193" t="s">
        <v>2596</v>
      </c>
      <c r="E50" s="60"/>
      <c r="F50" s="60"/>
      <c r="G50" s="60" t="s">
        <v>919</v>
      </c>
      <c r="H50" s="60">
        <v>17053103</v>
      </c>
      <c r="I50" s="60"/>
      <c r="J50" s="60"/>
      <c r="K50" s="60"/>
      <c r="L50" s="60" t="s">
        <v>2682</v>
      </c>
      <c r="M50" s="174"/>
      <c r="N50" s="174"/>
      <c r="O50" s="174"/>
      <c r="P50" s="174"/>
      <c r="Q50" s="174"/>
      <c r="R50" s="174"/>
      <c r="S50" s="174"/>
      <c r="T50" s="174"/>
      <c r="U50" s="174"/>
      <c r="V50" s="174"/>
      <c r="W50" s="174"/>
      <c r="X50" s="174"/>
      <c r="Y50" s="174"/>
      <c r="Z50" s="174"/>
    </row>
    <row r="51" spans="1:26" ht="14.25" customHeight="1" x14ac:dyDescent="0.2">
      <c r="A51" s="60">
        <v>50</v>
      </c>
      <c r="B51" s="60">
        <v>706523</v>
      </c>
      <c r="C51" s="60" t="s">
        <v>2683</v>
      </c>
      <c r="D51" s="60" t="s">
        <v>2602</v>
      </c>
      <c r="E51" s="60"/>
      <c r="F51" s="60">
        <v>100</v>
      </c>
      <c r="G51" s="60" t="s">
        <v>994</v>
      </c>
      <c r="H51" s="60">
        <v>42008802</v>
      </c>
      <c r="I51" s="60"/>
      <c r="J51" s="60"/>
      <c r="K51" s="60"/>
      <c r="L51" s="60" t="s">
        <v>2684</v>
      </c>
      <c r="M51" s="174"/>
      <c r="N51" s="174"/>
      <c r="O51" s="174"/>
      <c r="P51" s="174"/>
      <c r="Q51" s="174"/>
      <c r="R51" s="174"/>
      <c r="S51" s="174"/>
      <c r="T51" s="174"/>
      <c r="U51" s="174"/>
      <c r="V51" s="174"/>
      <c r="W51" s="174"/>
      <c r="X51" s="174"/>
      <c r="Y51" s="174"/>
      <c r="Z51" s="174"/>
    </row>
    <row r="52" spans="1:26" ht="14.25" customHeight="1" x14ac:dyDescent="0.2">
      <c r="A52" s="60">
        <v>51</v>
      </c>
      <c r="B52" s="60"/>
      <c r="C52" s="60" t="s">
        <v>2154</v>
      </c>
      <c r="D52" s="60" t="s">
        <v>2602</v>
      </c>
      <c r="E52" s="60"/>
      <c r="F52" s="60">
        <v>250</v>
      </c>
      <c r="G52" s="60" t="s">
        <v>552</v>
      </c>
      <c r="H52" s="60">
        <v>21897903</v>
      </c>
      <c r="I52" s="60"/>
      <c r="J52" s="60"/>
      <c r="K52" s="60"/>
      <c r="L52" s="60" t="s">
        <v>2685</v>
      </c>
      <c r="M52" s="174"/>
      <c r="N52" s="174"/>
      <c r="O52" s="174"/>
      <c r="P52" s="174"/>
      <c r="Q52" s="174"/>
      <c r="R52" s="174"/>
      <c r="S52" s="174"/>
      <c r="T52" s="174"/>
      <c r="U52" s="174"/>
      <c r="V52" s="174"/>
      <c r="W52" s="174"/>
      <c r="X52" s="174"/>
      <c r="Y52" s="174"/>
      <c r="Z52" s="174"/>
    </row>
    <row r="53" spans="1:26" ht="14.25" customHeight="1" x14ac:dyDescent="0.2">
      <c r="A53" s="22">
        <v>52</v>
      </c>
      <c r="B53" s="22">
        <v>55756404</v>
      </c>
      <c r="C53" s="22" t="s">
        <v>2133</v>
      </c>
      <c r="D53" s="22" t="s">
        <v>2686</v>
      </c>
      <c r="E53" s="22"/>
      <c r="F53" s="22">
        <v>475</v>
      </c>
      <c r="G53" s="22" t="s">
        <v>1212</v>
      </c>
      <c r="H53" s="22">
        <v>58987302</v>
      </c>
      <c r="I53" s="22"/>
      <c r="J53" s="22"/>
      <c r="K53" s="22"/>
      <c r="L53" s="22" t="s">
        <v>2687</v>
      </c>
      <c r="M53" s="174"/>
      <c r="N53" s="174"/>
      <c r="O53" s="174"/>
      <c r="P53" s="174"/>
      <c r="Q53" s="174"/>
      <c r="R53" s="174"/>
      <c r="S53" s="174"/>
      <c r="T53" s="174"/>
      <c r="U53" s="174"/>
      <c r="V53" s="174"/>
      <c r="W53" s="174"/>
      <c r="X53" s="174"/>
      <c r="Y53" s="174"/>
      <c r="Z53" s="174"/>
    </row>
    <row r="54" spans="1:26" ht="14.25" customHeight="1" x14ac:dyDescent="0.2">
      <c r="A54" s="60">
        <v>53</v>
      </c>
      <c r="B54" s="60">
        <v>2002053313</v>
      </c>
      <c r="C54" s="60" t="s">
        <v>2688</v>
      </c>
      <c r="D54" s="193" t="s">
        <v>2596</v>
      </c>
      <c r="E54" s="60"/>
      <c r="F54" s="60">
        <v>500</v>
      </c>
      <c r="G54" s="60" t="s">
        <v>2049</v>
      </c>
      <c r="H54" s="60">
        <v>45366802</v>
      </c>
      <c r="I54" s="60"/>
      <c r="J54" s="60"/>
      <c r="K54" s="60"/>
      <c r="L54" s="60" t="s">
        <v>2689</v>
      </c>
      <c r="M54" s="174"/>
      <c r="N54" s="174"/>
      <c r="O54" s="174"/>
      <c r="P54" s="174"/>
      <c r="Q54" s="174"/>
      <c r="R54" s="174"/>
      <c r="S54" s="174"/>
      <c r="T54" s="174"/>
      <c r="U54" s="174"/>
      <c r="V54" s="174"/>
      <c r="W54" s="174"/>
      <c r="X54" s="174"/>
      <c r="Y54" s="174"/>
      <c r="Z54" s="174"/>
    </row>
    <row r="55" spans="1:26" ht="14.25" customHeight="1" x14ac:dyDescent="0.2">
      <c r="A55" s="22">
        <v>54</v>
      </c>
      <c r="B55" s="22">
        <v>2002827755</v>
      </c>
      <c r="C55" s="22" t="s">
        <v>2690</v>
      </c>
      <c r="D55" s="22" t="s">
        <v>2602</v>
      </c>
      <c r="E55" s="22"/>
      <c r="F55" s="22"/>
      <c r="G55" s="22" t="s">
        <v>980</v>
      </c>
      <c r="H55" s="22">
        <v>64792303</v>
      </c>
      <c r="I55" s="22"/>
      <c r="J55" s="22"/>
      <c r="K55" s="22"/>
      <c r="L55" s="22" t="s">
        <v>2691</v>
      </c>
      <c r="M55" s="67"/>
      <c r="N55" s="67"/>
      <c r="O55" s="67"/>
      <c r="P55" s="67"/>
      <c r="Q55" s="67"/>
      <c r="R55" s="67"/>
      <c r="S55" s="67"/>
      <c r="T55" s="67"/>
      <c r="U55" s="67"/>
      <c r="V55" s="67"/>
      <c r="W55" s="67"/>
      <c r="X55" s="67"/>
      <c r="Y55" s="67"/>
      <c r="Z55" s="67"/>
    </row>
    <row r="56" spans="1:26" ht="14.25" customHeight="1" x14ac:dyDescent="0.2">
      <c r="A56" s="60">
        <v>55</v>
      </c>
      <c r="B56" s="60">
        <v>2002069698</v>
      </c>
      <c r="C56" s="60" t="s">
        <v>2692</v>
      </c>
      <c r="D56" s="60" t="s">
        <v>2608</v>
      </c>
      <c r="E56" s="60"/>
      <c r="F56" s="60">
        <v>500</v>
      </c>
      <c r="G56" s="60" t="s">
        <v>552</v>
      </c>
      <c r="H56" s="60">
        <v>21897903</v>
      </c>
      <c r="I56" s="60"/>
      <c r="J56" s="60"/>
      <c r="K56" s="60"/>
      <c r="L56" s="60" t="s">
        <v>2693</v>
      </c>
      <c r="M56" s="174"/>
      <c r="N56" s="174"/>
      <c r="O56" s="174"/>
      <c r="P56" s="174"/>
      <c r="Q56" s="174"/>
      <c r="R56" s="174"/>
      <c r="S56" s="174"/>
      <c r="T56" s="174"/>
      <c r="U56" s="174"/>
      <c r="V56" s="174"/>
      <c r="W56" s="174"/>
      <c r="X56" s="174"/>
      <c r="Y56" s="174"/>
      <c r="Z56" s="174"/>
    </row>
    <row r="57" spans="1:26" ht="14.25" customHeight="1" x14ac:dyDescent="0.2">
      <c r="A57" s="60">
        <v>56</v>
      </c>
      <c r="B57" s="60">
        <v>30501284415</v>
      </c>
      <c r="C57" s="60" t="s">
        <v>2256</v>
      </c>
      <c r="D57" s="60" t="s">
        <v>2694</v>
      </c>
      <c r="E57" s="60">
        <v>6</v>
      </c>
      <c r="F57" s="60">
        <v>500</v>
      </c>
      <c r="G57" s="60" t="s">
        <v>2695</v>
      </c>
      <c r="H57" s="60">
        <v>59032903</v>
      </c>
      <c r="I57" s="60"/>
      <c r="J57" s="60"/>
      <c r="K57" s="60"/>
      <c r="L57" s="60" t="s">
        <v>2696</v>
      </c>
      <c r="M57" s="174"/>
      <c r="N57" s="174"/>
      <c r="O57" s="174"/>
      <c r="P57" s="174"/>
      <c r="Q57" s="174"/>
      <c r="R57" s="174"/>
      <c r="S57" s="174"/>
      <c r="T57" s="174"/>
      <c r="U57" s="174"/>
      <c r="V57" s="174"/>
      <c r="W57" s="174"/>
      <c r="X57" s="174"/>
      <c r="Y57" s="174"/>
      <c r="Z57" s="174"/>
    </row>
    <row r="58" spans="1:26" ht="14.25" customHeight="1" x14ac:dyDescent="0.2">
      <c r="A58" s="22">
        <v>57</v>
      </c>
      <c r="B58" s="203">
        <v>70712849</v>
      </c>
      <c r="C58" s="22"/>
      <c r="D58" s="22" t="s">
        <v>2586</v>
      </c>
      <c r="E58" s="22"/>
      <c r="F58" s="22"/>
      <c r="G58" s="22" t="s">
        <v>2150</v>
      </c>
      <c r="H58" s="22">
        <v>59317703</v>
      </c>
      <c r="I58" s="22"/>
      <c r="J58" s="22"/>
      <c r="K58" s="22"/>
      <c r="L58" s="22" t="s">
        <v>2697</v>
      </c>
      <c r="M58" s="174"/>
      <c r="N58" s="174"/>
      <c r="O58" s="174"/>
      <c r="P58" s="174"/>
      <c r="Q58" s="174"/>
      <c r="R58" s="174"/>
      <c r="S58" s="174"/>
      <c r="T58" s="174"/>
      <c r="U58" s="174"/>
      <c r="V58" s="174"/>
      <c r="W58" s="174"/>
      <c r="X58" s="174"/>
      <c r="Y58" s="174"/>
      <c r="Z58" s="174"/>
    </row>
    <row r="59" spans="1:26" ht="14.25" customHeight="1" x14ac:dyDescent="0.2">
      <c r="A59" s="43">
        <v>58</v>
      </c>
      <c r="B59" s="43">
        <v>2002113379</v>
      </c>
      <c r="C59" s="43" t="s">
        <v>2263</v>
      </c>
      <c r="D59" s="43" t="s">
        <v>2608</v>
      </c>
      <c r="E59" s="43"/>
      <c r="F59" s="43">
        <v>500</v>
      </c>
      <c r="G59" s="43" t="s">
        <v>1389</v>
      </c>
      <c r="H59" s="43">
        <v>45366802</v>
      </c>
      <c r="I59" s="43"/>
      <c r="J59" s="43"/>
      <c r="K59" s="43"/>
      <c r="L59" s="43" t="s">
        <v>2698</v>
      </c>
      <c r="M59" s="67"/>
      <c r="N59" s="67"/>
      <c r="O59" s="67"/>
      <c r="P59" s="67"/>
      <c r="Q59" s="67"/>
      <c r="R59" s="67"/>
      <c r="S59" s="67"/>
      <c r="T59" s="67"/>
      <c r="U59" s="67"/>
      <c r="V59" s="67"/>
      <c r="W59" s="67"/>
      <c r="X59" s="67"/>
      <c r="Y59" s="67"/>
      <c r="Z59" s="67"/>
    </row>
    <row r="60" spans="1:26" ht="14.25" customHeight="1" x14ac:dyDescent="0.2">
      <c r="A60" s="22">
        <v>59</v>
      </c>
      <c r="B60" s="22" t="s">
        <v>2699</v>
      </c>
      <c r="C60" s="22" t="s">
        <v>2404</v>
      </c>
      <c r="D60" s="22" t="s">
        <v>2608</v>
      </c>
      <c r="E60" s="22"/>
      <c r="F60" s="22">
        <v>500</v>
      </c>
      <c r="G60" s="22" t="s">
        <v>731</v>
      </c>
      <c r="H60" s="22">
        <v>43688603</v>
      </c>
      <c r="I60" s="22"/>
      <c r="J60" s="22"/>
      <c r="K60" s="22"/>
      <c r="L60" s="22" t="s">
        <v>2700</v>
      </c>
      <c r="M60" s="174"/>
      <c r="N60" s="174"/>
      <c r="O60" s="174"/>
      <c r="P60" s="174"/>
      <c r="Q60" s="174"/>
      <c r="R60" s="174"/>
      <c r="S60" s="174"/>
      <c r="T60" s="174"/>
      <c r="U60" s="174"/>
      <c r="V60" s="174"/>
      <c r="W60" s="174"/>
      <c r="X60" s="174"/>
      <c r="Y60" s="174"/>
      <c r="Z60" s="174"/>
    </row>
    <row r="61" spans="1:26" ht="14.25" customHeight="1" x14ac:dyDescent="0.2">
      <c r="A61" s="60">
        <v>60</v>
      </c>
      <c r="B61" s="60" t="s">
        <v>2701</v>
      </c>
      <c r="C61" s="60" t="s">
        <v>2258</v>
      </c>
      <c r="D61" s="60" t="s">
        <v>2608</v>
      </c>
      <c r="E61" s="60"/>
      <c r="F61" s="60">
        <v>500</v>
      </c>
      <c r="G61" s="60" t="s">
        <v>589</v>
      </c>
      <c r="H61" s="60">
        <v>34002703</v>
      </c>
      <c r="I61" s="60"/>
      <c r="J61" s="60"/>
      <c r="K61" s="60"/>
      <c r="L61" s="60" t="s">
        <v>2702</v>
      </c>
      <c r="M61" s="174"/>
      <c r="N61" s="174"/>
      <c r="O61" s="174"/>
      <c r="P61" s="174"/>
      <c r="Q61" s="174"/>
      <c r="R61" s="174"/>
      <c r="S61" s="174"/>
      <c r="T61" s="174"/>
      <c r="U61" s="174"/>
      <c r="V61" s="174"/>
      <c r="W61" s="174"/>
      <c r="X61" s="174"/>
      <c r="Y61" s="174"/>
      <c r="Z61" s="174"/>
    </row>
    <row r="62" spans="1:26" ht="14.25" customHeight="1" x14ac:dyDescent="0.2">
      <c r="A62" s="22">
        <v>61</v>
      </c>
      <c r="B62" s="22" t="s">
        <v>2703</v>
      </c>
      <c r="C62" s="22" t="s">
        <v>2257</v>
      </c>
      <c r="D62" s="22" t="s">
        <v>2608</v>
      </c>
      <c r="E62" s="22"/>
      <c r="F62" s="22">
        <v>500</v>
      </c>
      <c r="G62" s="22" t="s">
        <v>892</v>
      </c>
      <c r="H62" s="22">
        <v>61872202</v>
      </c>
      <c r="I62" s="22"/>
      <c r="J62" s="22"/>
      <c r="K62" s="22"/>
      <c r="L62" s="22" t="s">
        <v>2704</v>
      </c>
      <c r="M62" s="174"/>
      <c r="N62" s="174"/>
      <c r="O62" s="174"/>
      <c r="P62" s="174"/>
      <c r="Q62" s="174"/>
      <c r="R62" s="174"/>
      <c r="S62" s="174"/>
      <c r="T62" s="174"/>
      <c r="U62" s="174"/>
      <c r="V62" s="174"/>
      <c r="W62" s="174"/>
      <c r="X62" s="174"/>
      <c r="Y62" s="174"/>
      <c r="Z62" s="174"/>
    </row>
    <row r="63" spans="1:26" ht="14.25" customHeight="1" x14ac:dyDescent="0.2">
      <c r="A63" s="22">
        <v>62</v>
      </c>
      <c r="B63" s="22">
        <v>2001983037</v>
      </c>
      <c r="C63" s="22" t="s">
        <v>2705</v>
      </c>
      <c r="D63" s="22" t="s">
        <v>2608</v>
      </c>
      <c r="E63" s="22"/>
      <c r="F63" s="22">
        <v>500</v>
      </c>
      <c r="G63" s="22" t="s">
        <v>766</v>
      </c>
      <c r="H63" s="22">
        <v>44373703</v>
      </c>
      <c r="I63" s="22"/>
      <c r="J63" s="22"/>
      <c r="K63" s="22"/>
      <c r="L63" s="22" t="s">
        <v>2706</v>
      </c>
      <c r="M63" s="174"/>
      <c r="N63" s="174"/>
      <c r="O63" s="174"/>
      <c r="P63" s="174"/>
      <c r="Q63" s="174"/>
      <c r="R63" s="174"/>
      <c r="S63" s="174"/>
      <c r="T63" s="174"/>
      <c r="U63" s="174"/>
      <c r="V63" s="174"/>
      <c r="W63" s="174"/>
      <c r="X63" s="174"/>
      <c r="Y63" s="174"/>
      <c r="Z63" s="174"/>
    </row>
    <row r="64" spans="1:26" ht="12.75" customHeight="1" x14ac:dyDescent="0.2">
      <c r="A64" s="22">
        <v>63</v>
      </c>
      <c r="B64" s="22">
        <v>8787079</v>
      </c>
      <c r="C64" s="22" t="s">
        <v>2134</v>
      </c>
      <c r="D64" s="22" t="s">
        <v>2602</v>
      </c>
      <c r="E64" s="22"/>
      <c r="F64" s="22">
        <v>500</v>
      </c>
      <c r="G64" s="22" t="s">
        <v>2707</v>
      </c>
      <c r="H64" s="22">
        <v>54818003</v>
      </c>
      <c r="I64" s="22"/>
      <c r="J64" s="22"/>
      <c r="K64" s="22"/>
      <c r="L64" s="22" t="s">
        <v>2708</v>
      </c>
      <c r="M64" s="174"/>
      <c r="N64" s="174"/>
      <c r="O64" s="174"/>
      <c r="P64" s="174"/>
      <c r="Q64" s="174"/>
      <c r="R64" s="174"/>
      <c r="S64" s="174"/>
      <c r="T64" s="174"/>
      <c r="U64" s="174"/>
      <c r="V64" s="174"/>
      <c r="W64" s="174"/>
      <c r="X64" s="174"/>
      <c r="Y64" s="174"/>
      <c r="Z64" s="174"/>
    </row>
    <row r="65" spans="1:26" ht="14.25" customHeight="1" x14ac:dyDescent="0.2">
      <c r="A65" s="22">
        <v>64</v>
      </c>
      <c r="B65" s="22">
        <v>90529960396</v>
      </c>
      <c r="C65" s="22" t="s">
        <v>2709</v>
      </c>
      <c r="D65" s="22" t="s">
        <v>2710</v>
      </c>
      <c r="E65" s="22"/>
      <c r="F65" s="22">
        <v>250</v>
      </c>
      <c r="G65" s="22" t="s">
        <v>1064</v>
      </c>
      <c r="H65" s="22">
        <v>77419503</v>
      </c>
      <c r="I65" s="22"/>
      <c r="J65" s="22"/>
      <c r="K65" s="22"/>
      <c r="L65" s="22" t="s">
        <v>2711</v>
      </c>
      <c r="M65" s="174"/>
      <c r="N65" s="174"/>
      <c r="O65" s="174"/>
      <c r="P65" s="174"/>
      <c r="Q65" s="174"/>
      <c r="R65" s="174"/>
      <c r="S65" s="174"/>
      <c r="T65" s="174"/>
      <c r="U65" s="174"/>
      <c r="V65" s="174"/>
      <c r="W65" s="174"/>
      <c r="X65" s="174"/>
      <c r="Y65" s="174"/>
      <c r="Z65" s="174"/>
    </row>
    <row r="66" spans="1:26" ht="14.25" customHeight="1" x14ac:dyDescent="0.2">
      <c r="A66" s="60">
        <v>65</v>
      </c>
      <c r="B66" s="60">
        <v>2001015851</v>
      </c>
      <c r="C66" s="60" t="s">
        <v>2204</v>
      </c>
      <c r="D66" s="60" t="s">
        <v>2602</v>
      </c>
      <c r="E66" s="60"/>
      <c r="F66" s="60">
        <v>250</v>
      </c>
      <c r="G66" s="60" t="s">
        <v>731</v>
      </c>
      <c r="H66" s="60">
        <v>43688603</v>
      </c>
      <c r="I66" s="60"/>
      <c r="J66" s="60"/>
      <c r="K66" s="60"/>
      <c r="L66" s="60" t="s">
        <v>2712</v>
      </c>
      <c r="M66" s="174"/>
      <c r="N66" s="174"/>
      <c r="O66" s="174"/>
      <c r="P66" s="174"/>
      <c r="Q66" s="174"/>
      <c r="R66" s="174"/>
      <c r="S66" s="174"/>
      <c r="T66" s="174"/>
      <c r="U66" s="174"/>
      <c r="V66" s="174"/>
      <c r="W66" s="174"/>
      <c r="X66" s="174"/>
      <c r="Y66" s="174"/>
      <c r="Z66" s="174"/>
    </row>
    <row r="67" spans="1:26" ht="14.25" customHeight="1" x14ac:dyDescent="0.2">
      <c r="A67" s="22">
        <v>66</v>
      </c>
      <c r="B67" s="22">
        <v>2001040463</v>
      </c>
      <c r="C67" s="22" t="s">
        <v>2713</v>
      </c>
      <c r="D67" s="22" t="s">
        <v>2602</v>
      </c>
      <c r="E67" s="22"/>
      <c r="F67" s="22">
        <v>250</v>
      </c>
      <c r="G67" s="22" t="s">
        <v>919</v>
      </c>
      <c r="H67" s="22">
        <v>17053103</v>
      </c>
      <c r="I67" s="22"/>
      <c r="J67" s="22"/>
      <c r="K67" s="22"/>
      <c r="L67" s="22" t="s">
        <v>2714</v>
      </c>
      <c r="M67" s="174"/>
      <c r="N67" s="174"/>
      <c r="O67" s="174"/>
      <c r="P67" s="174"/>
      <c r="Q67" s="174"/>
      <c r="R67" s="174"/>
      <c r="S67" s="174"/>
      <c r="T67" s="174"/>
      <c r="U67" s="174"/>
      <c r="V67" s="174"/>
      <c r="W67" s="174"/>
      <c r="X67" s="174"/>
      <c r="Y67" s="174"/>
      <c r="Z67" s="174"/>
    </row>
    <row r="68" spans="1:26" ht="14.25" customHeight="1" x14ac:dyDescent="0.2">
      <c r="A68" s="22">
        <v>67</v>
      </c>
      <c r="B68" s="22">
        <v>2002143328</v>
      </c>
      <c r="C68" s="22" t="s">
        <v>2295</v>
      </c>
      <c r="D68" s="22" t="s">
        <v>2608</v>
      </c>
      <c r="E68" s="22"/>
      <c r="F68" s="22">
        <v>500</v>
      </c>
      <c r="G68" s="22" t="s">
        <v>2545</v>
      </c>
      <c r="H68" s="22">
        <v>28491903</v>
      </c>
      <c r="I68" s="22"/>
      <c r="J68" s="22"/>
      <c r="K68" s="22"/>
      <c r="L68" s="22" t="s">
        <v>2715</v>
      </c>
      <c r="M68" s="174"/>
      <c r="N68" s="174"/>
      <c r="O68" s="174"/>
      <c r="P68" s="174"/>
      <c r="Q68" s="174"/>
      <c r="R68" s="174"/>
      <c r="S68" s="174"/>
      <c r="T68" s="174"/>
      <c r="U68" s="174"/>
      <c r="V68" s="174"/>
      <c r="W68" s="174"/>
      <c r="X68" s="174"/>
      <c r="Y68" s="174"/>
      <c r="Z68" s="174"/>
    </row>
    <row r="69" spans="1:26" ht="14.25" customHeight="1" x14ac:dyDescent="0.2">
      <c r="A69" s="22">
        <v>68</v>
      </c>
      <c r="B69" s="22">
        <v>76296870</v>
      </c>
      <c r="C69" s="22" t="s">
        <v>2716</v>
      </c>
      <c r="D69" s="22" t="s">
        <v>2602</v>
      </c>
      <c r="E69" s="22"/>
      <c r="F69" s="22">
        <v>250</v>
      </c>
      <c r="G69" s="22" t="s">
        <v>1033</v>
      </c>
      <c r="H69" s="22">
        <v>83945403</v>
      </c>
      <c r="I69" s="22"/>
      <c r="J69" s="22"/>
      <c r="K69" s="22"/>
      <c r="L69" s="22" t="s">
        <v>2717</v>
      </c>
      <c r="M69" s="174"/>
      <c r="N69" s="174"/>
      <c r="O69" s="174"/>
      <c r="P69" s="174"/>
      <c r="Q69" s="174"/>
      <c r="R69" s="174"/>
      <c r="S69" s="174"/>
      <c r="T69" s="174"/>
      <c r="U69" s="174"/>
      <c r="V69" s="174"/>
      <c r="W69" s="174"/>
      <c r="X69" s="174"/>
      <c r="Y69" s="174"/>
      <c r="Z69" s="174"/>
    </row>
    <row r="70" spans="1:26" ht="14.25" customHeight="1" x14ac:dyDescent="0.2">
      <c r="A70" s="22">
        <v>69</v>
      </c>
      <c r="B70" s="22">
        <v>90530695171</v>
      </c>
      <c r="C70" s="22" t="s">
        <v>2718</v>
      </c>
      <c r="D70" s="22" t="s">
        <v>2719</v>
      </c>
      <c r="E70" s="22"/>
      <c r="F70" s="22">
        <v>250</v>
      </c>
      <c r="G70" s="22" t="s">
        <v>2150</v>
      </c>
      <c r="H70" s="22">
        <v>59317703</v>
      </c>
      <c r="I70" s="22"/>
      <c r="J70" s="22"/>
      <c r="K70" s="22"/>
      <c r="L70" s="22" t="s">
        <v>2720</v>
      </c>
      <c r="M70" s="174"/>
      <c r="N70" s="174"/>
      <c r="O70" s="174"/>
      <c r="P70" s="174"/>
      <c r="Q70" s="174"/>
      <c r="R70" s="174"/>
      <c r="S70" s="174"/>
      <c r="T70" s="174"/>
      <c r="U70" s="174"/>
      <c r="V70" s="174"/>
      <c r="W70" s="174"/>
      <c r="X70" s="174"/>
      <c r="Y70" s="174"/>
      <c r="Z70" s="174"/>
    </row>
    <row r="71" spans="1:26" ht="14.25" customHeight="1" x14ac:dyDescent="0.2">
      <c r="A71" s="22">
        <v>70</v>
      </c>
      <c r="B71" s="22">
        <v>30501259128</v>
      </c>
      <c r="C71" s="22" t="s">
        <v>2721</v>
      </c>
      <c r="D71" s="22" t="s">
        <v>2672</v>
      </c>
      <c r="E71" s="22">
        <v>8</v>
      </c>
      <c r="F71" s="22">
        <v>1000</v>
      </c>
      <c r="G71" s="22" t="s">
        <v>980</v>
      </c>
      <c r="H71" s="14">
        <v>64792303</v>
      </c>
      <c r="I71" s="22"/>
      <c r="J71" s="22"/>
      <c r="K71" s="22"/>
      <c r="L71" s="22" t="s">
        <v>2722</v>
      </c>
      <c r="M71" s="174"/>
      <c r="N71" s="174"/>
      <c r="O71" s="174"/>
      <c r="P71" s="174"/>
      <c r="Q71" s="174"/>
      <c r="R71" s="174"/>
      <c r="S71" s="174"/>
      <c r="T71" s="174"/>
      <c r="U71" s="174"/>
      <c r="V71" s="174"/>
      <c r="W71" s="174"/>
      <c r="X71" s="174"/>
      <c r="Y71" s="174"/>
      <c r="Z71" s="174"/>
    </row>
    <row r="72" spans="1:26" ht="27.75" customHeight="1" x14ac:dyDescent="0.2">
      <c r="A72" s="22">
        <v>71</v>
      </c>
      <c r="B72" s="22" t="s">
        <v>2723</v>
      </c>
      <c r="C72" s="204" t="s">
        <v>2724</v>
      </c>
      <c r="D72" s="22"/>
      <c r="E72" s="22"/>
      <c r="F72" s="22"/>
      <c r="G72" s="22"/>
      <c r="H72" s="204" t="s">
        <v>2725</v>
      </c>
      <c r="I72" s="22"/>
      <c r="J72" s="22"/>
      <c r="K72" s="22"/>
      <c r="L72" s="22" t="s">
        <v>2726</v>
      </c>
      <c r="M72" s="174"/>
      <c r="N72" s="174"/>
      <c r="O72" s="174"/>
      <c r="P72" s="174"/>
      <c r="Q72" s="174"/>
      <c r="R72" s="174"/>
      <c r="S72" s="174"/>
      <c r="T72" s="174"/>
      <c r="U72" s="174"/>
      <c r="V72" s="174"/>
      <c r="W72" s="174"/>
      <c r="X72" s="174"/>
      <c r="Y72" s="174"/>
      <c r="Z72" s="174"/>
    </row>
    <row r="73" spans="1:26" ht="14.25" customHeight="1" x14ac:dyDescent="0.2">
      <c r="A73" s="43">
        <v>72</v>
      </c>
      <c r="B73" s="43">
        <v>2002899152</v>
      </c>
      <c r="C73" s="43" t="s">
        <v>2727</v>
      </c>
      <c r="D73" s="43" t="s">
        <v>2602</v>
      </c>
      <c r="E73" s="43"/>
      <c r="F73" s="43">
        <v>250</v>
      </c>
      <c r="G73" s="43" t="s">
        <v>980</v>
      </c>
      <c r="H73" s="43">
        <v>64792303</v>
      </c>
      <c r="I73" s="43"/>
      <c r="J73" s="43"/>
      <c r="K73" s="43"/>
      <c r="L73" s="43" t="s">
        <v>2728</v>
      </c>
      <c r="M73" s="67"/>
      <c r="N73" s="67"/>
      <c r="O73" s="67"/>
      <c r="P73" s="67"/>
      <c r="Q73" s="67"/>
      <c r="R73" s="67"/>
      <c r="S73" s="67"/>
      <c r="T73" s="67"/>
      <c r="U73" s="67"/>
      <c r="V73" s="67"/>
      <c r="W73" s="67"/>
      <c r="X73" s="67"/>
      <c r="Y73" s="67"/>
      <c r="Z73" s="67"/>
    </row>
    <row r="74" spans="1:26" ht="14.25" customHeight="1" x14ac:dyDescent="0.2">
      <c r="A74" s="22">
        <v>73</v>
      </c>
      <c r="B74" s="22" t="s">
        <v>2729</v>
      </c>
      <c r="C74" s="22" t="s">
        <v>2730</v>
      </c>
      <c r="D74" s="22"/>
      <c r="E74" s="22"/>
      <c r="F74" s="22">
        <v>250</v>
      </c>
      <c r="G74" s="22" t="s">
        <v>1212</v>
      </c>
      <c r="H74" s="22">
        <v>24164804</v>
      </c>
      <c r="I74" s="22"/>
      <c r="J74" s="22"/>
      <c r="K74" s="22"/>
      <c r="L74" s="22" t="s">
        <v>2731</v>
      </c>
      <c r="M74" s="174"/>
      <c r="N74" s="174"/>
      <c r="O74" s="174"/>
      <c r="P74" s="174"/>
      <c r="Q74" s="174"/>
      <c r="R74" s="174"/>
      <c r="S74" s="174"/>
      <c r="T74" s="174"/>
      <c r="U74" s="174"/>
      <c r="V74" s="174"/>
      <c r="W74" s="174"/>
      <c r="X74" s="174"/>
      <c r="Y74" s="174"/>
      <c r="Z74" s="174"/>
    </row>
    <row r="75" spans="1:26" ht="14.25" customHeight="1" x14ac:dyDescent="0.2">
      <c r="A75" s="60">
        <v>74</v>
      </c>
      <c r="B75" s="60">
        <v>2002155792</v>
      </c>
      <c r="C75" s="60" t="s">
        <v>2732</v>
      </c>
      <c r="D75" s="60"/>
      <c r="E75" s="60"/>
      <c r="F75" s="60"/>
      <c r="G75" s="60" t="s">
        <v>1373</v>
      </c>
      <c r="H75" s="60">
        <v>31404502</v>
      </c>
      <c r="I75" s="60"/>
      <c r="J75" s="60"/>
      <c r="K75" s="60"/>
      <c r="L75" s="22" t="s">
        <v>2733</v>
      </c>
      <c r="M75" s="174"/>
      <c r="N75" s="174"/>
      <c r="O75" s="174"/>
      <c r="P75" s="174"/>
      <c r="Q75" s="174"/>
      <c r="R75" s="174"/>
      <c r="S75" s="174"/>
      <c r="T75" s="174"/>
      <c r="U75" s="174"/>
      <c r="V75" s="174"/>
      <c r="W75" s="174"/>
      <c r="X75" s="174"/>
      <c r="Y75" s="174"/>
      <c r="Z75" s="174"/>
    </row>
    <row r="76" spans="1:26" ht="14.25" customHeight="1" x14ac:dyDescent="0.2">
      <c r="A76" s="22">
        <v>75</v>
      </c>
      <c r="B76" s="22">
        <v>73035974</v>
      </c>
      <c r="C76" s="22" t="s">
        <v>2098</v>
      </c>
      <c r="D76" s="22"/>
      <c r="E76" s="22"/>
      <c r="F76" s="22">
        <v>328</v>
      </c>
      <c r="G76" s="22" t="s">
        <v>1033</v>
      </c>
      <c r="H76" s="22">
        <v>64078901</v>
      </c>
      <c r="I76" s="22"/>
      <c r="J76" s="22"/>
      <c r="K76" s="22"/>
      <c r="M76" s="174"/>
      <c r="N76" s="174"/>
      <c r="O76" s="174"/>
      <c r="P76" s="174"/>
      <c r="Q76" s="174"/>
      <c r="R76" s="174"/>
      <c r="S76" s="174"/>
      <c r="T76" s="174"/>
      <c r="U76" s="174"/>
      <c r="V76" s="174"/>
      <c r="W76" s="174"/>
      <c r="X76" s="174"/>
      <c r="Y76" s="174"/>
      <c r="Z76" s="174"/>
    </row>
    <row r="77" spans="1:26" ht="14.25" customHeight="1" x14ac:dyDescent="0.2">
      <c r="A77" s="22">
        <v>76</v>
      </c>
      <c r="B77" s="22">
        <v>11501030628</v>
      </c>
      <c r="C77" s="22" t="s">
        <v>2734</v>
      </c>
      <c r="D77" s="22"/>
      <c r="E77" s="22">
        <v>10</v>
      </c>
      <c r="F77" s="22">
        <v>1500</v>
      </c>
      <c r="G77" s="22" t="s">
        <v>852</v>
      </c>
      <c r="H77" s="22">
        <v>24889203</v>
      </c>
      <c r="I77" s="22"/>
      <c r="J77" s="22"/>
      <c r="K77" s="22"/>
      <c r="L77" s="22" t="s">
        <v>2735</v>
      </c>
      <c r="M77" s="174"/>
      <c r="N77" s="174"/>
      <c r="O77" s="174"/>
      <c r="P77" s="174"/>
      <c r="Q77" s="174"/>
      <c r="R77" s="174"/>
      <c r="S77" s="174"/>
      <c r="T77" s="174"/>
      <c r="U77" s="174"/>
      <c r="V77" s="174"/>
      <c r="W77" s="174"/>
      <c r="X77" s="174"/>
      <c r="Y77" s="174"/>
      <c r="Z77" s="174"/>
    </row>
    <row r="78" spans="1:26" ht="14.25" customHeight="1" x14ac:dyDescent="0.2">
      <c r="A78" s="22">
        <v>77</v>
      </c>
      <c r="B78" s="22">
        <v>3005116264</v>
      </c>
      <c r="C78" s="22" t="s">
        <v>2692</v>
      </c>
      <c r="D78" s="22"/>
      <c r="E78" s="22"/>
      <c r="F78" s="22">
        <v>100</v>
      </c>
      <c r="G78" s="22" t="s">
        <v>552</v>
      </c>
      <c r="H78" s="22">
        <v>21897903</v>
      </c>
      <c r="I78" s="22"/>
      <c r="J78" s="22"/>
      <c r="K78" s="22"/>
      <c r="L78" s="22" t="s">
        <v>2736</v>
      </c>
      <c r="M78" s="174"/>
      <c r="N78" s="174"/>
      <c r="O78" s="174"/>
      <c r="P78" s="174"/>
      <c r="Q78" s="174"/>
      <c r="R78" s="174"/>
      <c r="S78" s="174"/>
      <c r="T78" s="174"/>
      <c r="U78" s="174"/>
      <c r="V78" s="174"/>
      <c r="W78" s="174"/>
      <c r="X78" s="174"/>
      <c r="Y78" s="174"/>
      <c r="Z78" s="174"/>
    </row>
    <row r="79" spans="1:26" ht="14.25" customHeight="1" x14ac:dyDescent="0.2">
      <c r="A79" s="43">
        <v>78</v>
      </c>
      <c r="B79" s="43">
        <v>23401110</v>
      </c>
      <c r="C79" s="43" t="s">
        <v>2737</v>
      </c>
      <c r="D79" s="43"/>
      <c r="E79" s="43"/>
      <c r="F79" s="43">
        <v>1000</v>
      </c>
      <c r="G79" s="43" t="s">
        <v>881</v>
      </c>
      <c r="H79" s="43">
        <v>50258603</v>
      </c>
      <c r="I79" s="43"/>
      <c r="J79" s="43"/>
      <c r="K79" s="43"/>
      <c r="L79" s="43" t="s">
        <v>2738</v>
      </c>
      <c r="M79" s="67"/>
      <c r="N79" s="67"/>
      <c r="O79" s="67"/>
      <c r="P79" s="67"/>
      <c r="Q79" s="67"/>
      <c r="R79" s="67"/>
      <c r="S79" s="67"/>
      <c r="T79" s="67"/>
      <c r="U79" s="67"/>
      <c r="V79" s="67"/>
      <c r="W79" s="67"/>
      <c r="X79" s="67"/>
      <c r="Y79" s="67"/>
      <c r="Z79" s="67"/>
    </row>
    <row r="80" spans="1:26" ht="14.25" customHeight="1" x14ac:dyDescent="0.2">
      <c r="A80" s="60">
        <v>79</v>
      </c>
      <c r="B80" s="60" t="s">
        <v>2739</v>
      </c>
      <c r="C80" s="60" t="s">
        <v>2740</v>
      </c>
      <c r="D80" s="60"/>
      <c r="E80" s="60"/>
      <c r="F80" s="60">
        <v>250</v>
      </c>
      <c r="G80" s="60" t="s">
        <v>1139</v>
      </c>
      <c r="H80" s="60">
        <v>83945303</v>
      </c>
      <c r="I80" s="60"/>
      <c r="J80" s="60"/>
      <c r="K80" s="60"/>
      <c r="L80" s="60" t="s">
        <v>2741</v>
      </c>
      <c r="M80" s="174"/>
      <c r="N80" s="174"/>
      <c r="O80" s="174"/>
      <c r="P80" s="174"/>
      <c r="Q80" s="174"/>
      <c r="R80" s="174"/>
      <c r="S80" s="174"/>
      <c r="T80" s="174"/>
      <c r="U80" s="174"/>
      <c r="V80" s="174"/>
      <c r="W80" s="174"/>
      <c r="X80" s="174"/>
      <c r="Y80" s="174"/>
      <c r="Z80" s="174"/>
    </row>
    <row r="81" spans="1:26" ht="14.25" customHeight="1" x14ac:dyDescent="0.2">
      <c r="A81" s="60">
        <v>80</v>
      </c>
      <c r="B81" s="60">
        <v>81063612</v>
      </c>
      <c r="C81" s="60" t="s">
        <v>2742</v>
      </c>
      <c r="D81" s="60"/>
      <c r="E81" s="60"/>
      <c r="F81" s="60">
        <v>250</v>
      </c>
      <c r="G81" s="60" t="s">
        <v>860</v>
      </c>
      <c r="H81" s="60">
        <v>24889403</v>
      </c>
      <c r="I81" s="60"/>
      <c r="J81" s="60"/>
      <c r="K81" s="60"/>
      <c r="L81" s="60" t="s">
        <v>2743</v>
      </c>
      <c r="M81" s="174"/>
      <c r="N81" s="174"/>
      <c r="O81" s="174"/>
      <c r="P81" s="174"/>
      <c r="Q81" s="174"/>
      <c r="R81" s="174"/>
      <c r="S81" s="174"/>
      <c r="T81" s="174"/>
      <c r="U81" s="174"/>
      <c r="V81" s="174"/>
      <c r="W81" s="174"/>
      <c r="X81" s="174"/>
      <c r="Y81" s="174"/>
      <c r="Z81" s="174"/>
    </row>
    <row r="82" spans="1:26" ht="14.25" customHeight="1" x14ac:dyDescent="0.2">
      <c r="A82" s="60">
        <v>81</v>
      </c>
      <c r="B82" s="60">
        <v>22921027</v>
      </c>
      <c r="C82" s="60" t="s">
        <v>2744</v>
      </c>
      <c r="D82" s="60"/>
      <c r="E82" s="60"/>
      <c r="F82" s="60">
        <v>100</v>
      </c>
      <c r="G82" s="60" t="s">
        <v>1373</v>
      </c>
      <c r="H82" s="60">
        <v>31404502</v>
      </c>
      <c r="I82" s="60"/>
      <c r="J82" s="60"/>
      <c r="K82" s="60"/>
      <c r="L82" s="60" t="s">
        <v>2745</v>
      </c>
      <c r="M82" s="174"/>
      <c r="N82" s="174"/>
      <c r="O82" s="174"/>
      <c r="P82" s="174"/>
      <c r="Q82" s="174"/>
      <c r="R82" s="174"/>
      <c r="S82" s="174"/>
      <c r="T82" s="174"/>
      <c r="U82" s="174"/>
      <c r="V82" s="174"/>
      <c r="W82" s="174"/>
      <c r="X82" s="174"/>
      <c r="Y82" s="174"/>
      <c r="Z82" s="174"/>
    </row>
    <row r="83" spans="1:26" ht="14.25" customHeight="1" x14ac:dyDescent="0.2">
      <c r="A83" s="22">
        <v>82</v>
      </c>
      <c r="B83" s="22" t="s">
        <v>2746</v>
      </c>
      <c r="C83" s="22" t="s">
        <v>157</v>
      </c>
      <c r="D83" s="22"/>
      <c r="E83" s="22"/>
      <c r="F83" s="22">
        <v>100</v>
      </c>
      <c r="G83" s="22" t="s">
        <v>567</v>
      </c>
      <c r="H83" s="22">
        <v>83945203</v>
      </c>
      <c r="I83" s="22"/>
      <c r="J83" s="22"/>
      <c r="K83" s="22"/>
      <c r="L83" s="22" t="s">
        <v>2747</v>
      </c>
      <c r="M83" s="174"/>
      <c r="N83" s="174"/>
      <c r="O83" s="174"/>
      <c r="P83" s="174"/>
      <c r="Q83" s="174"/>
      <c r="R83" s="174"/>
      <c r="S83" s="174"/>
      <c r="T83" s="174"/>
      <c r="U83" s="174"/>
      <c r="V83" s="174"/>
      <c r="W83" s="174"/>
      <c r="X83" s="174"/>
      <c r="Y83" s="174"/>
      <c r="Z83" s="174"/>
    </row>
    <row r="84" spans="1:26" ht="14.25" customHeight="1" x14ac:dyDescent="0.2">
      <c r="A84" s="22">
        <v>83</v>
      </c>
      <c r="B84" s="22">
        <v>90531718352</v>
      </c>
      <c r="C84" s="22" t="s">
        <v>2748</v>
      </c>
      <c r="D84" s="22"/>
      <c r="E84" s="22"/>
      <c r="F84" s="22">
        <v>250</v>
      </c>
      <c r="G84" s="22" t="s">
        <v>2749</v>
      </c>
      <c r="H84" s="22">
        <v>79918603</v>
      </c>
      <c r="I84" s="22"/>
      <c r="J84" s="22"/>
      <c r="K84" s="22"/>
      <c r="L84" s="22" t="s">
        <v>2750</v>
      </c>
      <c r="M84" s="174"/>
      <c r="N84" s="174"/>
      <c r="O84" s="174"/>
      <c r="P84" s="174"/>
      <c r="Q84" s="174"/>
      <c r="R84" s="174"/>
      <c r="S84" s="174"/>
      <c r="T84" s="174"/>
      <c r="U84" s="174"/>
      <c r="V84" s="174"/>
      <c r="W84" s="174"/>
      <c r="X84" s="174"/>
      <c r="Y84" s="174"/>
      <c r="Z84" s="174"/>
    </row>
    <row r="85" spans="1:26" ht="14.25" customHeight="1" x14ac:dyDescent="0.2">
      <c r="A85" s="60">
        <v>84</v>
      </c>
      <c r="B85" s="60">
        <v>90532249985</v>
      </c>
      <c r="C85" s="60" t="s">
        <v>2342</v>
      </c>
      <c r="D85" s="60"/>
      <c r="E85" s="60"/>
      <c r="F85" s="60">
        <v>750</v>
      </c>
      <c r="G85" s="60" t="s">
        <v>1373</v>
      </c>
      <c r="H85" s="61">
        <v>31404502</v>
      </c>
      <c r="I85" s="60"/>
      <c r="J85" s="60"/>
      <c r="K85" s="60"/>
      <c r="L85" s="60" t="s">
        <v>2751</v>
      </c>
      <c r="M85" s="174"/>
      <c r="N85" s="174"/>
      <c r="O85" s="174"/>
      <c r="P85" s="174"/>
      <c r="Q85" s="174"/>
      <c r="R85" s="174"/>
      <c r="S85" s="174"/>
      <c r="T85" s="174"/>
      <c r="U85" s="174"/>
      <c r="V85" s="174"/>
      <c r="W85" s="174"/>
      <c r="X85" s="174"/>
      <c r="Y85" s="174"/>
      <c r="Z85" s="174"/>
    </row>
    <row r="86" spans="1:26" ht="14.25" customHeight="1" x14ac:dyDescent="0.2">
      <c r="A86" s="22">
        <v>85</v>
      </c>
      <c r="B86" s="22">
        <v>317461</v>
      </c>
      <c r="C86" s="22" t="s">
        <v>2752</v>
      </c>
      <c r="D86" s="22"/>
      <c r="E86" s="22"/>
      <c r="F86" s="22">
        <v>250</v>
      </c>
      <c r="G86" s="22" t="s">
        <v>1172</v>
      </c>
      <c r="H86" s="22">
        <v>34002803</v>
      </c>
      <c r="I86" s="22"/>
      <c r="J86" s="22"/>
      <c r="K86" s="22"/>
      <c r="L86" s="22" t="s">
        <v>2753</v>
      </c>
      <c r="M86" s="174"/>
      <c r="N86" s="174"/>
      <c r="O86" s="174"/>
      <c r="P86" s="174"/>
      <c r="Q86" s="174"/>
      <c r="R86" s="174"/>
      <c r="S86" s="174"/>
      <c r="T86" s="174"/>
      <c r="U86" s="174"/>
      <c r="V86" s="174"/>
      <c r="W86" s="174"/>
      <c r="X86" s="174"/>
      <c r="Y86" s="174"/>
      <c r="Z86" s="174"/>
    </row>
    <row r="87" spans="1:26" ht="14.25" customHeight="1" x14ac:dyDescent="0.2">
      <c r="A87" s="60">
        <v>86</v>
      </c>
      <c r="B87" s="60">
        <v>2002264846</v>
      </c>
      <c r="C87" s="60" t="s">
        <v>2754</v>
      </c>
      <c r="D87" s="60"/>
      <c r="E87" s="60"/>
      <c r="F87" s="60">
        <v>500</v>
      </c>
      <c r="G87" s="60" t="s">
        <v>892</v>
      </c>
      <c r="H87" s="60">
        <v>61872202</v>
      </c>
      <c r="I87" s="60"/>
      <c r="J87" s="60"/>
      <c r="K87" s="60"/>
      <c r="L87" s="60" t="s">
        <v>2755</v>
      </c>
      <c r="M87" s="174"/>
      <c r="N87" s="174"/>
      <c r="O87" s="174"/>
      <c r="P87" s="174"/>
      <c r="Q87" s="174"/>
      <c r="R87" s="174"/>
      <c r="S87" s="174"/>
      <c r="T87" s="174"/>
      <c r="U87" s="174"/>
      <c r="V87" s="174"/>
      <c r="W87" s="174"/>
      <c r="X87" s="174"/>
      <c r="Y87" s="174"/>
      <c r="Z87" s="174"/>
    </row>
    <row r="88" spans="1:26" ht="14.25" customHeight="1" x14ac:dyDescent="0.2">
      <c r="A88" s="22">
        <v>87</v>
      </c>
      <c r="B88" s="22">
        <v>2002253079</v>
      </c>
      <c r="C88" s="22" t="s">
        <v>2756</v>
      </c>
      <c r="D88" s="22"/>
      <c r="E88" s="22"/>
      <c r="F88" s="22">
        <v>500</v>
      </c>
      <c r="G88" s="22" t="s">
        <v>980</v>
      </c>
      <c r="H88" s="22">
        <v>64792303</v>
      </c>
      <c r="I88" s="22"/>
      <c r="J88" s="22"/>
      <c r="K88" s="22"/>
      <c r="L88" s="22" t="s">
        <v>2757</v>
      </c>
      <c r="M88" s="174"/>
      <c r="N88" s="174"/>
      <c r="O88" s="174"/>
      <c r="P88" s="174"/>
      <c r="Q88" s="174"/>
      <c r="R88" s="174"/>
      <c r="S88" s="174"/>
      <c r="T88" s="174"/>
      <c r="U88" s="174"/>
      <c r="V88" s="174"/>
      <c r="W88" s="174"/>
      <c r="X88" s="174"/>
      <c r="Y88" s="174"/>
      <c r="Z88" s="174"/>
    </row>
    <row r="89" spans="1:26" ht="14.25" customHeight="1" x14ac:dyDescent="0.2">
      <c r="A89" s="22">
        <v>88</v>
      </c>
      <c r="B89" s="22">
        <v>77040277</v>
      </c>
      <c r="C89" s="22" t="s">
        <v>2758</v>
      </c>
      <c r="D89" s="60"/>
      <c r="E89" s="60"/>
      <c r="F89" s="60">
        <v>250</v>
      </c>
      <c r="G89" s="60" t="s">
        <v>1033</v>
      </c>
      <c r="H89" s="60">
        <v>83945403</v>
      </c>
      <c r="I89" s="60"/>
      <c r="J89" s="60"/>
      <c r="K89" s="60"/>
      <c r="L89" s="60" t="s">
        <v>2759</v>
      </c>
      <c r="M89" s="174"/>
      <c r="N89" s="174"/>
      <c r="O89" s="174"/>
      <c r="P89" s="174"/>
      <c r="Q89" s="174"/>
      <c r="R89" s="174"/>
      <c r="S89" s="174"/>
      <c r="T89" s="174"/>
      <c r="U89" s="174"/>
      <c r="V89" s="174"/>
      <c r="W89" s="174"/>
      <c r="X89" s="174"/>
      <c r="Y89" s="174"/>
      <c r="Z89" s="174"/>
    </row>
    <row r="90" spans="1:26" ht="14.25" customHeight="1" x14ac:dyDescent="0.2">
      <c r="A90" s="22">
        <v>89</v>
      </c>
      <c r="B90" s="22">
        <v>3005210491</v>
      </c>
      <c r="C90" s="22" t="s">
        <v>2270</v>
      </c>
      <c r="D90" s="22"/>
      <c r="E90" s="22"/>
      <c r="F90" s="22">
        <v>250</v>
      </c>
      <c r="G90" s="22" t="s">
        <v>1373</v>
      </c>
      <c r="H90" s="22">
        <v>31404502</v>
      </c>
      <c r="I90" s="22"/>
      <c r="J90" s="22"/>
      <c r="K90" s="22"/>
      <c r="L90" s="22" t="s">
        <v>2760</v>
      </c>
      <c r="M90" s="174"/>
      <c r="N90" s="174"/>
      <c r="O90" s="174"/>
      <c r="P90" s="174"/>
      <c r="Q90" s="174"/>
      <c r="R90" s="174"/>
      <c r="S90" s="174"/>
      <c r="T90" s="174"/>
      <c r="U90" s="174"/>
      <c r="V90" s="174"/>
      <c r="W90" s="174"/>
      <c r="X90" s="174"/>
      <c r="Y90" s="174"/>
      <c r="Z90" s="174"/>
    </row>
    <row r="91" spans="1:26" ht="14.25" customHeight="1" x14ac:dyDescent="0.2">
      <c r="A91" s="22">
        <v>90</v>
      </c>
      <c r="B91" s="22">
        <v>3005374471</v>
      </c>
      <c r="C91" s="22" t="s">
        <v>2332</v>
      </c>
      <c r="D91" s="22"/>
      <c r="E91" s="22"/>
      <c r="F91" s="22">
        <v>250</v>
      </c>
      <c r="G91" s="22" t="s">
        <v>1212</v>
      </c>
      <c r="H91" s="22">
        <v>39891551</v>
      </c>
      <c r="I91" s="22"/>
      <c r="J91" s="22"/>
      <c r="K91" s="22"/>
      <c r="L91" s="22" t="s">
        <v>2761</v>
      </c>
      <c r="M91" s="174"/>
      <c r="N91" s="174"/>
      <c r="O91" s="174"/>
      <c r="P91" s="174"/>
      <c r="Q91" s="174"/>
      <c r="R91" s="174"/>
      <c r="S91" s="174"/>
      <c r="T91" s="174"/>
      <c r="U91" s="174"/>
      <c r="V91" s="174"/>
      <c r="W91" s="174"/>
      <c r="X91" s="174"/>
      <c r="Y91" s="174"/>
      <c r="Z91" s="174"/>
    </row>
    <row r="92" spans="1:26" ht="14.25" customHeight="1" x14ac:dyDescent="0.2">
      <c r="A92" s="22">
        <v>91</v>
      </c>
      <c r="B92" s="22">
        <v>400090447</v>
      </c>
      <c r="C92" s="22" t="s">
        <v>2135</v>
      </c>
      <c r="D92" s="22"/>
      <c r="E92" s="22"/>
      <c r="F92" s="22">
        <v>130</v>
      </c>
      <c r="G92" s="22" t="s">
        <v>552</v>
      </c>
      <c r="H92" s="22">
        <v>42948502</v>
      </c>
      <c r="I92" s="22"/>
      <c r="J92" s="22"/>
      <c r="K92" s="22"/>
      <c r="L92" s="22" t="s">
        <v>2762</v>
      </c>
      <c r="M92" s="174"/>
      <c r="N92" s="174"/>
      <c r="O92" s="174"/>
      <c r="P92" s="174"/>
      <c r="Q92" s="174"/>
      <c r="R92" s="174"/>
      <c r="S92" s="174"/>
      <c r="T92" s="174"/>
      <c r="U92" s="174"/>
      <c r="V92" s="174"/>
      <c r="W92" s="174"/>
      <c r="X92" s="174"/>
      <c r="Y92" s="174"/>
      <c r="Z92" s="174"/>
    </row>
    <row r="93" spans="1:26" ht="14.25" customHeight="1" x14ac:dyDescent="0.2">
      <c r="A93" s="22">
        <v>92</v>
      </c>
      <c r="B93" s="22">
        <v>3005290936</v>
      </c>
      <c r="C93" s="22" t="s">
        <v>2298</v>
      </c>
      <c r="D93" s="22"/>
      <c r="E93" s="22"/>
      <c r="F93" s="22">
        <v>100</v>
      </c>
      <c r="G93" s="22" t="s">
        <v>980</v>
      </c>
      <c r="H93" s="22">
        <v>64792303</v>
      </c>
      <c r="I93" s="22"/>
      <c r="J93" s="22"/>
      <c r="K93" s="22"/>
      <c r="L93" s="22" t="s">
        <v>2763</v>
      </c>
      <c r="M93" s="174"/>
      <c r="N93" s="174"/>
      <c r="O93" s="174"/>
      <c r="P93" s="174"/>
      <c r="Q93" s="174"/>
      <c r="R93" s="174"/>
      <c r="S93" s="174"/>
      <c r="T93" s="174"/>
      <c r="U93" s="174"/>
      <c r="V93" s="174"/>
      <c r="W93" s="174"/>
      <c r="X93" s="174"/>
      <c r="Y93" s="174"/>
      <c r="Z93" s="174"/>
    </row>
    <row r="94" spans="1:26" ht="14.25" customHeight="1" x14ac:dyDescent="0.2">
      <c r="A94" s="22">
        <v>93</v>
      </c>
      <c r="B94" s="22">
        <v>90533357811</v>
      </c>
      <c r="C94" s="22" t="s">
        <v>2764</v>
      </c>
      <c r="D94" s="22"/>
      <c r="E94" s="22"/>
      <c r="F94" s="22">
        <v>250</v>
      </c>
      <c r="G94" s="22" t="s">
        <v>618</v>
      </c>
      <c r="H94" s="22">
        <v>44480903</v>
      </c>
      <c r="I94" s="22"/>
      <c r="J94" s="22"/>
      <c r="K94" s="22"/>
      <c r="L94" s="22" t="s">
        <v>2765</v>
      </c>
      <c r="M94" s="174"/>
      <c r="N94" s="174"/>
      <c r="O94" s="174"/>
      <c r="P94" s="174"/>
      <c r="Q94" s="174"/>
      <c r="R94" s="174"/>
      <c r="S94" s="174"/>
      <c r="T94" s="174"/>
      <c r="U94" s="174"/>
      <c r="V94" s="174"/>
      <c r="W94" s="174"/>
      <c r="X94" s="174"/>
      <c r="Y94" s="174"/>
      <c r="Z94" s="174"/>
    </row>
    <row r="95" spans="1:26" ht="14.25" customHeight="1" x14ac:dyDescent="0.2">
      <c r="A95" s="22">
        <v>94</v>
      </c>
      <c r="B95" s="22" t="s">
        <v>2766</v>
      </c>
      <c r="C95" s="22" t="s">
        <v>2767</v>
      </c>
      <c r="D95" s="22"/>
      <c r="E95" s="22"/>
      <c r="F95" s="22">
        <v>100</v>
      </c>
      <c r="G95" s="22" t="s">
        <v>1373</v>
      </c>
      <c r="H95" s="22">
        <v>31404502</v>
      </c>
      <c r="I95" s="22"/>
      <c r="J95" s="22"/>
      <c r="K95" s="22"/>
      <c r="L95" s="22" t="s">
        <v>2768</v>
      </c>
      <c r="M95" s="174"/>
      <c r="N95" s="174"/>
      <c r="O95" s="174"/>
      <c r="P95" s="174"/>
      <c r="Q95" s="174"/>
      <c r="R95" s="174"/>
      <c r="S95" s="174"/>
      <c r="T95" s="174"/>
      <c r="U95" s="174"/>
      <c r="V95" s="174"/>
      <c r="W95" s="174"/>
      <c r="X95" s="174"/>
      <c r="Y95" s="174"/>
      <c r="Z95" s="174"/>
    </row>
    <row r="96" spans="1:26" ht="14.25" customHeight="1" x14ac:dyDescent="0.2">
      <c r="A96" s="60">
        <v>95</v>
      </c>
      <c r="B96" s="60">
        <v>90531804764</v>
      </c>
      <c r="C96" s="60" t="s">
        <v>2769</v>
      </c>
      <c r="D96" s="60"/>
      <c r="E96" s="60"/>
      <c r="F96" s="60">
        <v>1300</v>
      </c>
      <c r="G96" s="60" t="s">
        <v>980</v>
      </c>
      <c r="H96" s="60">
        <v>64792303</v>
      </c>
      <c r="I96" s="60"/>
      <c r="J96" s="60"/>
      <c r="K96" s="60"/>
      <c r="L96" s="60" t="s">
        <v>2770</v>
      </c>
      <c r="M96" s="174"/>
      <c r="N96" s="174"/>
      <c r="O96" s="174"/>
      <c r="P96" s="174"/>
      <c r="Q96" s="174"/>
      <c r="R96" s="174"/>
      <c r="S96" s="174"/>
      <c r="T96" s="174"/>
      <c r="U96" s="174"/>
      <c r="V96" s="174"/>
      <c r="W96" s="174"/>
      <c r="X96" s="174"/>
      <c r="Y96" s="174"/>
      <c r="Z96" s="174"/>
    </row>
    <row r="97" spans="1:26" ht="30.75" customHeight="1" x14ac:dyDescent="0.2">
      <c r="A97" s="22">
        <v>96</v>
      </c>
      <c r="B97" s="204" t="s">
        <v>2771</v>
      </c>
      <c r="C97" s="22" t="s">
        <v>2772</v>
      </c>
      <c r="D97" s="22"/>
      <c r="E97" s="22"/>
      <c r="F97" s="22">
        <v>811</v>
      </c>
      <c r="G97" s="22" t="s">
        <v>860</v>
      </c>
      <c r="H97" s="22">
        <v>24889403</v>
      </c>
      <c r="I97" s="22"/>
      <c r="J97" s="22"/>
      <c r="K97" s="22"/>
      <c r="L97" s="22" t="s">
        <v>2773</v>
      </c>
      <c r="M97" s="174"/>
      <c r="N97" s="174"/>
      <c r="O97" s="174"/>
      <c r="P97" s="174"/>
      <c r="Q97" s="174"/>
      <c r="R97" s="174"/>
      <c r="S97" s="174"/>
      <c r="T97" s="174"/>
      <c r="U97" s="174"/>
      <c r="V97" s="174"/>
      <c r="W97" s="174"/>
      <c r="X97" s="174"/>
      <c r="Y97" s="174"/>
      <c r="Z97" s="174"/>
    </row>
    <row r="98" spans="1:26" ht="14.25" customHeight="1" x14ac:dyDescent="0.2">
      <c r="A98" s="22">
        <v>97</v>
      </c>
      <c r="B98" s="22">
        <v>86143617</v>
      </c>
      <c r="C98" s="22" t="s">
        <v>2774</v>
      </c>
      <c r="D98" s="22"/>
      <c r="E98" s="22"/>
      <c r="F98" s="22">
        <v>500</v>
      </c>
      <c r="G98" s="22" t="s">
        <v>1139</v>
      </c>
      <c r="H98" s="22">
        <v>83945303</v>
      </c>
      <c r="I98" s="22"/>
      <c r="J98" s="22"/>
      <c r="K98" s="22"/>
      <c r="L98" s="22" t="s">
        <v>2775</v>
      </c>
      <c r="M98" s="174"/>
      <c r="N98" s="174"/>
      <c r="O98" s="174"/>
      <c r="P98" s="174"/>
      <c r="Q98" s="174"/>
      <c r="R98" s="174"/>
      <c r="S98" s="174"/>
      <c r="T98" s="174"/>
      <c r="U98" s="174"/>
      <c r="V98" s="174"/>
      <c r="W98" s="174"/>
      <c r="X98" s="174"/>
      <c r="Y98" s="174"/>
      <c r="Z98" s="174"/>
    </row>
    <row r="99" spans="1:26" ht="14.25" customHeight="1" x14ac:dyDescent="0.2">
      <c r="A99" s="22">
        <v>98</v>
      </c>
      <c r="B99" s="22">
        <v>90533449089</v>
      </c>
      <c r="C99" s="22" t="s">
        <v>2776</v>
      </c>
      <c r="D99" s="22"/>
      <c r="E99" s="22"/>
      <c r="F99" s="22">
        <v>250</v>
      </c>
      <c r="G99" s="22" t="s">
        <v>1045</v>
      </c>
      <c r="H99" s="22">
        <v>43688603</v>
      </c>
      <c r="I99" s="22"/>
      <c r="J99" s="22"/>
      <c r="K99" s="22"/>
      <c r="L99" s="22" t="s">
        <v>2777</v>
      </c>
      <c r="M99" s="174"/>
      <c r="N99" s="174"/>
      <c r="O99" s="174"/>
      <c r="P99" s="174"/>
      <c r="Q99" s="174"/>
      <c r="R99" s="174"/>
      <c r="S99" s="174"/>
      <c r="T99" s="174"/>
      <c r="U99" s="174"/>
      <c r="V99" s="174"/>
      <c r="W99" s="174"/>
      <c r="X99" s="174"/>
      <c r="Y99" s="174"/>
      <c r="Z99" s="174"/>
    </row>
    <row r="100" spans="1:26" ht="14.25" customHeight="1" x14ac:dyDescent="0.2">
      <c r="A100" s="43">
        <v>99</v>
      </c>
      <c r="B100" s="43">
        <v>906278627</v>
      </c>
      <c r="C100" s="43" t="s">
        <v>2718</v>
      </c>
      <c r="D100" s="43"/>
      <c r="E100" s="43"/>
      <c r="F100" s="43"/>
      <c r="G100" s="43"/>
      <c r="H100" s="43">
        <v>75019402</v>
      </c>
      <c r="I100" s="43"/>
      <c r="J100" s="43"/>
      <c r="K100" s="43"/>
      <c r="L100" s="43" t="s">
        <v>2778</v>
      </c>
      <c r="M100" s="67"/>
      <c r="N100" s="67"/>
      <c r="O100" s="67"/>
      <c r="P100" s="67"/>
      <c r="Q100" s="67"/>
      <c r="R100" s="67"/>
      <c r="S100" s="67"/>
      <c r="T100" s="67"/>
      <c r="U100" s="67"/>
      <c r="V100" s="67"/>
      <c r="W100" s="67"/>
      <c r="X100" s="67"/>
      <c r="Y100" s="67"/>
      <c r="Z100" s="67"/>
    </row>
    <row r="101" spans="1:26" ht="14.25" customHeight="1" x14ac:dyDescent="0.2">
      <c r="A101" s="43">
        <v>100</v>
      </c>
      <c r="B101" s="43">
        <v>2280055</v>
      </c>
      <c r="C101" s="43"/>
      <c r="D101" s="43"/>
      <c r="E101" s="43"/>
      <c r="F101" s="43"/>
      <c r="G101" s="43" t="s">
        <v>2779</v>
      </c>
      <c r="H101" s="14">
        <v>54818003</v>
      </c>
      <c r="I101" s="43"/>
      <c r="J101" s="43"/>
      <c r="K101" s="43"/>
      <c r="L101" s="43" t="s">
        <v>2780</v>
      </c>
      <c r="M101" s="67"/>
      <c r="N101" s="67"/>
      <c r="O101" s="67"/>
      <c r="P101" s="67"/>
      <c r="Q101" s="67"/>
      <c r="R101" s="67"/>
      <c r="S101" s="67"/>
      <c r="T101" s="67"/>
      <c r="U101" s="67"/>
      <c r="V101" s="67"/>
      <c r="W101" s="67"/>
      <c r="X101" s="67"/>
      <c r="Y101" s="67"/>
      <c r="Z101" s="67"/>
    </row>
    <row r="102" spans="1:26" ht="14.25" customHeight="1" x14ac:dyDescent="0.2">
      <c r="A102" s="60">
        <v>101</v>
      </c>
      <c r="B102" s="60">
        <v>2001087181</v>
      </c>
      <c r="C102" s="60" t="s">
        <v>200</v>
      </c>
      <c r="D102" s="60"/>
      <c r="E102" s="60"/>
      <c r="F102" s="60"/>
      <c r="G102" s="60" t="s">
        <v>919</v>
      </c>
      <c r="H102" s="60">
        <v>17053103</v>
      </c>
      <c r="I102" s="60"/>
      <c r="J102" s="60"/>
      <c r="K102" s="60"/>
      <c r="L102" s="60" t="s">
        <v>2781</v>
      </c>
      <c r="M102" s="174"/>
      <c r="N102" s="174"/>
      <c r="O102" s="174"/>
      <c r="P102" s="174"/>
      <c r="Q102" s="174"/>
      <c r="R102" s="174"/>
      <c r="S102" s="174"/>
      <c r="T102" s="174"/>
      <c r="U102" s="174"/>
      <c r="V102" s="174"/>
      <c r="W102" s="174"/>
      <c r="X102" s="174"/>
      <c r="Y102" s="174"/>
      <c r="Z102" s="174"/>
    </row>
    <row r="103" spans="1:26" ht="14.25" customHeight="1" x14ac:dyDescent="0.2">
      <c r="A103" s="22">
        <v>102</v>
      </c>
      <c r="B103" s="22">
        <v>90534954079</v>
      </c>
      <c r="C103" s="22" t="s">
        <v>2782</v>
      </c>
      <c r="D103" s="22"/>
      <c r="E103" s="22"/>
      <c r="F103" s="22"/>
      <c r="G103" s="22" t="s">
        <v>1027</v>
      </c>
      <c r="H103" s="22">
        <v>65388703</v>
      </c>
      <c r="I103" s="22"/>
      <c r="J103" s="22"/>
      <c r="K103" s="22"/>
      <c r="L103" s="22" t="s">
        <v>2783</v>
      </c>
      <c r="M103" s="174"/>
      <c r="N103" s="174"/>
      <c r="O103" s="174"/>
      <c r="P103" s="174"/>
      <c r="Q103" s="174"/>
      <c r="R103" s="174"/>
      <c r="S103" s="174"/>
      <c r="T103" s="174"/>
      <c r="U103" s="174"/>
      <c r="V103" s="174"/>
      <c r="W103" s="174"/>
      <c r="X103" s="174"/>
      <c r="Y103" s="174"/>
      <c r="Z103" s="174"/>
    </row>
    <row r="104" spans="1:26" ht="14.25" customHeight="1" x14ac:dyDescent="0.2">
      <c r="A104" s="22">
        <v>103</v>
      </c>
      <c r="B104" s="22" t="s">
        <v>2784</v>
      </c>
      <c r="C104" s="22" t="s">
        <v>48</v>
      </c>
      <c r="D104" s="22"/>
      <c r="E104" s="22"/>
      <c r="F104" s="22"/>
      <c r="G104" s="22" t="s">
        <v>2341</v>
      </c>
      <c r="H104" s="22">
        <v>21705703</v>
      </c>
      <c r="I104" s="22"/>
      <c r="J104" s="22"/>
      <c r="K104" s="22"/>
      <c r="L104" s="22" t="s">
        <v>2785</v>
      </c>
      <c r="M104" s="174"/>
      <c r="N104" s="174"/>
      <c r="O104" s="174"/>
      <c r="P104" s="174"/>
      <c r="Q104" s="174"/>
      <c r="R104" s="174"/>
      <c r="S104" s="174"/>
      <c r="T104" s="174"/>
      <c r="U104" s="174"/>
      <c r="V104" s="174"/>
      <c r="W104" s="174"/>
      <c r="X104" s="174"/>
      <c r="Y104" s="174"/>
      <c r="Z104" s="174"/>
    </row>
    <row r="105" spans="1:26" ht="14.25" customHeight="1" x14ac:dyDescent="0.2">
      <c r="A105" s="22">
        <v>104</v>
      </c>
      <c r="B105" s="22">
        <v>79391710</v>
      </c>
      <c r="C105" s="22"/>
      <c r="D105" s="22"/>
      <c r="E105" s="22"/>
      <c r="F105" s="22"/>
      <c r="G105" s="22" t="s">
        <v>813</v>
      </c>
      <c r="H105" s="22">
        <v>75019402</v>
      </c>
      <c r="I105" s="22"/>
      <c r="J105" s="22"/>
      <c r="K105" s="22"/>
      <c r="L105" s="22" t="s">
        <v>2786</v>
      </c>
      <c r="M105" s="174"/>
      <c r="N105" s="174"/>
      <c r="O105" s="174"/>
      <c r="P105" s="174"/>
      <c r="Q105" s="174"/>
      <c r="R105" s="174"/>
      <c r="S105" s="174"/>
      <c r="T105" s="174"/>
      <c r="U105" s="174"/>
      <c r="V105" s="174"/>
      <c r="W105" s="174"/>
      <c r="X105" s="174"/>
      <c r="Y105" s="174"/>
      <c r="Z105" s="174"/>
    </row>
    <row r="106" spans="1:26" ht="14.25" customHeight="1" x14ac:dyDescent="0.2">
      <c r="A106" s="22">
        <v>105</v>
      </c>
      <c r="B106" s="22">
        <v>2002504349</v>
      </c>
      <c r="C106" s="22" t="s">
        <v>153</v>
      </c>
      <c r="D106" s="22"/>
      <c r="E106" s="22"/>
      <c r="F106" s="22">
        <v>250</v>
      </c>
      <c r="G106" s="22" t="s">
        <v>1373</v>
      </c>
      <c r="H106" s="22">
        <v>41608004</v>
      </c>
      <c r="I106" s="22"/>
      <c r="J106" s="22"/>
      <c r="K106" s="22"/>
      <c r="L106" s="22" t="s">
        <v>2787</v>
      </c>
      <c r="M106" s="174"/>
      <c r="N106" s="174"/>
      <c r="O106" s="174"/>
      <c r="P106" s="174"/>
      <c r="Q106" s="174"/>
      <c r="R106" s="174"/>
      <c r="S106" s="174"/>
      <c r="T106" s="174"/>
      <c r="U106" s="174"/>
      <c r="V106" s="174"/>
      <c r="W106" s="174"/>
      <c r="X106" s="174"/>
      <c r="Y106" s="174"/>
      <c r="Z106" s="174"/>
    </row>
    <row r="107" spans="1:26" ht="14.25" customHeight="1" x14ac:dyDescent="0.2">
      <c r="A107" s="22">
        <v>106</v>
      </c>
      <c r="B107" s="22">
        <v>81605420</v>
      </c>
      <c r="C107" s="22" t="s">
        <v>2788</v>
      </c>
      <c r="D107" s="22"/>
      <c r="E107" s="22"/>
      <c r="F107" s="22">
        <v>250</v>
      </c>
      <c r="G107" s="22" t="s">
        <v>1172</v>
      </c>
      <c r="H107" s="22">
        <v>34002803</v>
      </c>
      <c r="I107" s="22"/>
      <c r="J107" s="22"/>
      <c r="K107" s="22"/>
      <c r="L107" s="22" t="s">
        <v>2789</v>
      </c>
      <c r="M107" s="174"/>
      <c r="N107" s="174"/>
      <c r="O107" s="174"/>
      <c r="P107" s="174"/>
      <c r="Q107" s="174"/>
      <c r="R107" s="174"/>
      <c r="S107" s="174"/>
      <c r="T107" s="174"/>
      <c r="U107" s="174"/>
      <c r="V107" s="174"/>
      <c r="W107" s="174"/>
      <c r="X107" s="174"/>
      <c r="Y107" s="174"/>
      <c r="Z107" s="174"/>
    </row>
    <row r="108" spans="1:26" ht="27" customHeight="1" x14ac:dyDescent="0.2">
      <c r="A108" s="22">
        <v>107</v>
      </c>
      <c r="B108" s="22" t="s">
        <v>2790</v>
      </c>
      <c r="C108" s="22"/>
      <c r="D108" s="22"/>
      <c r="E108" s="22"/>
      <c r="F108" s="22"/>
      <c r="G108" s="22" t="s">
        <v>2791</v>
      </c>
      <c r="H108" s="204" t="s">
        <v>2792</v>
      </c>
      <c r="I108" s="22"/>
      <c r="J108" s="22"/>
      <c r="K108" s="22"/>
      <c r="L108" s="22" t="s">
        <v>2793</v>
      </c>
      <c r="M108" s="174"/>
      <c r="N108" s="174"/>
      <c r="O108" s="174"/>
      <c r="P108" s="174"/>
      <c r="Q108" s="174"/>
      <c r="R108" s="174"/>
      <c r="S108" s="174"/>
      <c r="T108" s="174"/>
      <c r="U108" s="174"/>
      <c r="V108" s="174"/>
      <c r="W108" s="174"/>
      <c r="X108" s="174"/>
      <c r="Y108" s="174"/>
      <c r="Z108" s="174"/>
    </row>
    <row r="109" spans="1:26" ht="14.25" customHeight="1" x14ac:dyDescent="0.2">
      <c r="A109" s="22">
        <v>108</v>
      </c>
      <c r="B109" s="22">
        <v>2003076651</v>
      </c>
      <c r="C109" s="22" t="s">
        <v>204</v>
      </c>
      <c r="D109" s="22"/>
      <c r="E109" s="22"/>
      <c r="F109" s="22"/>
      <c r="G109" s="22" t="s">
        <v>1385</v>
      </c>
      <c r="H109" s="22">
        <v>73445703</v>
      </c>
      <c r="I109" s="22"/>
      <c r="J109" s="22"/>
      <c r="K109" s="22"/>
      <c r="L109" s="22" t="s">
        <v>2794</v>
      </c>
      <c r="M109" s="174"/>
      <c r="N109" s="174"/>
      <c r="O109" s="174"/>
      <c r="P109" s="174"/>
      <c r="Q109" s="174"/>
      <c r="R109" s="174"/>
      <c r="S109" s="174"/>
      <c r="T109" s="174"/>
      <c r="U109" s="174"/>
      <c r="V109" s="174"/>
      <c r="W109" s="174"/>
      <c r="X109" s="174"/>
      <c r="Y109" s="174"/>
      <c r="Z109" s="174"/>
    </row>
    <row r="110" spans="1:26" ht="14.25" customHeight="1" x14ac:dyDescent="0.2">
      <c r="A110" s="22">
        <v>109</v>
      </c>
      <c r="B110" s="22">
        <v>2002361177</v>
      </c>
      <c r="C110" s="22" t="s">
        <v>269</v>
      </c>
      <c r="D110" s="22"/>
      <c r="E110" s="22"/>
      <c r="F110" s="22">
        <v>500</v>
      </c>
      <c r="G110" s="22" t="s">
        <v>892</v>
      </c>
      <c r="H110" s="22">
        <v>49136704</v>
      </c>
      <c r="I110" s="22"/>
      <c r="J110" s="22"/>
      <c r="K110" s="22"/>
      <c r="L110" s="22" t="s">
        <v>2795</v>
      </c>
      <c r="M110" s="174"/>
      <c r="N110" s="174"/>
      <c r="O110" s="174"/>
      <c r="P110" s="174"/>
      <c r="Q110" s="174"/>
      <c r="R110" s="174"/>
      <c r="S110" s="174"/>
      <c r="T110" s="174"/>
      <c r="U110" s="174"/>
      <c r="V110" s="174"/>
      <c r="W110" s="174"/>
      <c r="X110" s="174"/>
      <c r="Y110" s="174"/>
      <c r="Z110" s="174"/>
    </row>
    <row r="111" spans="1:26" ht="14.25" customHeight="1" x14ac:dyDescent="0.2">
      <c r="A111" s="60">
        <v>110</v>
      </c>
      <c r="B111" s="60">
        <v>30501734807</v>
      </c>
      <c r="C111" s="60" t="s">
        <v>2796</v>
      </c>
      <c r="D111" s="60"/>
      <c r="E111" s="60">
        <v>8</v>
      </c>
      <c r="F111" s="60">
        <v>1000</v>
      </c>
      <c r="G111" s="60" t="s">
        <v>2456</v>
      </c>
      <c r="H111" s="60">
        <v>24164804</v>
      </c>
      <c r="I111" s="60"/>
      <c r="J111" s="60"/>
      <c r="K111" s="60"/>
      <c r="L111" s="60" t="s">
        <v>2797</v>
      </c>
      <c r="M111" s="67"/>
      <c r="N111" s="67"/>
      <c r="O111" s="67"/>
      <c r="P111" s="67"/>
      <c r="Q111" s="67"/>
      <c r="R111" s="67"/>
      <c r="S111" s="67"/>
      <c r="T111" s="67"/>
      <c r="U111" s="67"/>
      <c r="V111" s="67"/>
      <c r="W111" s="67"/>
      <c r="X111" s="67"/>
      <c r="Y111" s="67"/>
      <c r="Z111" s="67"/>
    </row>
    <row r="112" spans="1:26" ht="14.25" customHeight="1" x14ac:dyDescent="0.2">
      <c r="A112" s="22">
        <v>111</v>
      </c>
      <c r="B112" s="22">
        <v>90536131395</v>
      </c>
      <c r="C112" s="22" t="s">
        <v>2798</v>
      </c>
      <c r="D112" s="22"/>
      <c r="E112" s="22"/>
      <c r="F112" s="22">
        <v>750</v>
      </c>
      <c r="G112" s="22" t="s">
        <v>1569</v>
      </c>
      <c r="H112" s="22">
        <v>45366702</v>
      </c>
      <c r="I112" s="22"/>
      <c r="J112" s="22"/>
      <c r="K112" s="22"/>
      <c r="L112" s="22" t="s">
        <v>2799</v>
      </c>
      <c r="M112" s="174"/>
      <c r="N112" s="174"/>
      <c r="O112" s="174"/>
      <c r="P112" s="174"/>
      <c r="Q112" s="174"/>
      <c r="R112" s="174"/>
      <c r="S112" s="174"/>
      <c r="T112" s="174"/>
      <c r="U112" s="174"/>
      <c r="V112" s="174"/>
      <c r="W112" s="174"/>
      <c r="X112" s="174"/>
      <c r="Y112" s="174"/>
      <c r="Z112" s="174"/>
    </row>
    <row r="113" spans="1:26" ht="14.25" customHeight="1" x14ac:dyDescent="0.2">
      <c r="A113" s="60">
        <v>112</v>
      </c>
      <c r="B113" s="60">
        <v>90534429098</v>
      </c>
      <c r="C113" s="60" t="s">
        <v>2800</v>
      </c>
      <c r="D113" s="60"/>
      <c r="E113" s="60"/>
      <c r="F113" s="60">
        <v>750</v>
      </c>
      <c r="G113" s="60" t="s">
        <v>2801</v>
      </c>
      <c r="H113" s="60">
        <v>23243904</v>
      </c>
      <c r="I113" s="60"/>
      <c r="J113" s="60"/>
      <c r="K113" s="60"/>
      <c r="L113" s="60" t="s">
        <v>2802</v>
      </c>
      <c r="M113" s="174"/>
      <c r="N113" s="174"/>
      <c r="O113" s="174"/>
      <c r="P113" s="174"/>
      <c r="Q113" s="174"/>
      <c r="R113" s="174"/>
      <c r="S113" s="174"/>
      <c r="T113" s="174"/>
      <c r="U113" s="174"/>
      <c r="V113" s="174"/>
      <c r="W113" s="174"/>
      <c r="X113" s="174"/>
      <c r="Y113" s="174"/>
      <c r="Z113" s="174"/>
    </row>
    <row r="114" spans="1:26" ht="14.25" customHeight="1" x14ac:dyDescent="0.2">
      <c r="A114" s="205">
        <v>113</v>
      </c>
      <c r="B114" s="205">
        <v>31361181</v>
      </c>
      <c r="C114" s="205" t="s">
        <v>2490</v>
      </c>
      <c r="D114" s="205"/>
      <c r="E114" s="205"/>
      <c r="F114" s="205">
        <v>250</v>
      </c>
      <c r="G114" s="205" t="s">
        <v>2803</v>
      </c>
      <c r="H114" s="205">
        <v>83945303</v>
      </c>
      <c r="I114" s="205"/>
      <c r="J114" s="205"/>
      <c r="K114" s="205"/>
      <c r="L114" s="205" t="s">
        <v>2804</v>
      </c>
      <c r="M114" s="67"/>
      <c r="N114" s="67"/>
      <c r="O114" s="67"/>
      <c r="P114" s="67"/>
      <c r="Q114" s="67"/>
      <c r="R114" s="67"/>
      <c r="S114" s="67"/>
      <c r="T114" s="67"/>
      <c r="U114" s="67"/>
      <c r="V114" s="67"/>
      <c r="W114" s="67"/>
      <c r="X114" s="67"/>
      <c r="Y114" s="67"/>
      <c r="Z114" s="67"/>
    </row>
    <row r="115" spans="1:26" ht="14.25" customHeight="1" x14ac:dyDescent="0.2">
      <c r="A115" s="60">
        <v>114</v>
      </c>
      <c r="B115" s="60">
        <v>90535909510</v>
      </c>
      <c r="C115" s="60" t="s">
        <v>2805</v>
      </c>
      <c r="D115" s="60"/>
      <c r="E115" s="60">
        <v>10</v>
      </c>
      <c r="F115" s="60">
        <v>1500</v>
      </c>
      <c r="G115" s="60" t="s">
        <v>2806</v>
      </c>
      <c r="H115" s="60">
        <v>83143703</v>
      </c>
      <c r="I115" s="60"/>
      <c r="J115" s="60"/>
      <c r="K115" s="60"/>
      <c r="L115" s="60" t="s">
        <v>2807</v>
      </c>
      <c r="M115" s="174"/>
      <c r="N115" s="174"/>
      <c r="O115" s="174"/>
      <c r="P115" s="174"/>
      <c r="Q115" s="174"/>
      <c r="R115" s="174"/>
      <c r="S115" s="174"/>
      <c r="T115" s="174"/>
      <c r="U115" s="174"/>
      <c r="V115" s="174"/>
      <c r="W115" s="174"/>
      <c r="X115" s="174"/>
      <c r="Y115" s="174"/>
      <c r="Z115" s="174"/>
    </row>
    <row r="116" spans="1:26" ht="14.25" customHeight="1" x14ac:dyDescent="0.2">
      <c r="A116" s="22">
        <v>115</v>
      </c>
      <c r="B116" s="22">
        <v>90536666788</v>
      </c>
      <c r="C116" s="22" t="s">
        <v>125</v>
      </c>
      <c r="D116" s="22"/>
      <c r="E116" s="22">
        <v>8</v>
      </c>
      <c r="F116" s="22">
        <v>750</v>
      </c>
      <c r="G116" s="22" t="s">
        <v>1212</v>
      </c>
      <c r="H116" s="22">
        <v>24164804</v>
      </c>
      <c r="I116" s="22"/>
      <c r="J116" s="22"/>
      <c r="K116" s="22"/>
      <c r="L116" s="22" t="s">
        <v>2808</v>
      </c>
      <c r="M116" s="174"/>
      <c r="N116" s="174"/>
      <c r="O116" s="174"/>
      <c r="P116" s="174"/>
      <c r="Q116" s="174"/>
      <c r="R116" s="174"/>
      <c r="S116" s="174"/>
      <c r="T116" s="174"/>
      <c r="U116" s="174"/>
      <c r="V116" s="174"/>
      <c r="W116" s="174"/>
      <c r="X116" s="174"/>
      <c r="Y116" s="174"/>
      <c r="Z116" s="174"/>
    </row>
    <row r="117" spans="1:26" s="323" customFormat="1" ht="14.25" customHeight="1" x14ac:dyDescent="0.2">
      <c r="A117" s="320">
        <v>116</v>
      </c>
      <c r="B117" s="320">
        <v>30501657404</v>
      </c>
      <c r="C117" s="320" t="s">
        <v>2809</v>
      </c>
      <c r="D117" s="320"/>
      <c r="E117" s="320">
        <v>8</v>
      </c>
      <c r="F117" s="320">
        <v>1000</v>
      </c>
      <c r="G117" s="320" t="s">
        <v>2810</v>
      </c>
      <c r="H117" s="320">
        <v>35637204</v>
      </c>
      <c r="I117" s="321"/>
      <c r="J117" s="321"/>
      <c r="K117" s="321"/>
      <c r="L117" s="320" t="s">
        <v>4094</v>
      </c>
      <c r="M117" s="322"/>
      <c r="N117" s="322"/>
      <c r="O117" s="322"/>
      <c r="P117" s="322"/>
      <c r="Q117" s="322"/>
      <c r="R117" s="322"/>
      <c r="S117" s="322"/>
      <c r="T117" s="322"/>
      <c r="U117" s="322"/>
      <c r="V117" s="322"/>
      <c r="W117" s="322"/>
      <c r="X117" s="322"/>
      <c r="Y117" s="322"/>
      <c r="Z117" s="322"/>
    </row>
    <row r="118" spans="1:26" ht="40.5" customHeight="1" x14ac:dyDescent="0.2">
      <c r="A118" s="205">
        <v>117</v>
      </c>
      <c r="B118" s="207" t="s">
        <v>2811</v>
      </c>
      <c r="C118" s="207" t="s">
        <v>2812</v>
      </c>
      <c r="D118" s="205"/>
      <c r="E118" s="205"/>
      <c r="F118" s="207" t="s">
        <v>2813</v>
      </c>
      <c r="G118" s="205"/>
      <c r="H118" s="208" t="s">
        <v>2814</v>
      </c>
      <c r="I118" s="48"/>
      <c r="J118" s="48"/>
      <c r="K118" s="48"/>
      <c r="L118" s="206" t="s">
        <v>2815</v>
      </c>
      <c r="M118" s="206"/>
      <c r="N118" s="206"/>
      <c r="O118" s="206"/>
      <c r="P118" s="206"/>
      <c r="Q118" s="206"/>
      <c r="R118" s="206"/>
      <c r="S118" s="206"/>
      <c r="T118" s="206"/>
      <c r="U118" s="206"/>
      <c r="V118" s="206"/>
      <c r="W118" s="206"/>
      <c r="X118" s="206"/>
      <c r="Y118" s="206"/>
      <c r="Z118" s="206"/>
    </row>
    <row r="119" spans="1:26" ht="14.25" customHeight="1" x14ac:dyDescent="0.2">
      <c r="A119" s="22">
        <v>118</v>
      </c>
      <c r="B119" s="22">
        <v>2003112241</v>
      </c>
      <c r="C119" s="22" t="s">
        <v>2484</v>
      </c>
      <c r="D119" s="22"/>
      <c r="E119" s="22"/>
      <c r="F119" s="22">
        <v>500</v>
      </c>
      <c r="G119" s="22" t="s">
        <v>1385</v>
      </c>
      <c r="H119" s="22">
        <v>73445703</v>
      </c>
      <c r="I119" s="22"/>
      <c r="J119" s="22"/>
      <c r="K119" s="22"/>
      <c r="L119" s="22" t="s">
        <v>2816</v>
      </c>
      <c r="M119" s="174"/>
      <c r="N119" s="174"/>
      <c r="O119" s="174"/>
      <c r="P119" s="174"/>
      <c r="Q119" s="174"/>
      <c r="R119" s="174"/>
      <c r="S119" s="174"/>
      <c r="T119" s="174"/>
      <c r="U119" s="174"/>
      <c r="V119" s="174"/>
      <c r="W119" s="174"/>
      <c r="X119" s="174"/>
      <c r="Y119" s="174"/>
      <c r="Z119" s="174"/>
    </row>
    <row r="120" spans="1:26" ht="14.25" customHeight="1" x14ac:dyDescent="0.2">
      <c r="A120" s="48">
        <v>119</v>
      </c>
      <c r="B120" s="48">
        <v>13711056</v>
      </c>
      <c r="C120" s="48" t="s">
        <v>400</v>
      </c>
      <c r="D120" s="48"/>
      <c r="E120" s="48"/>
      <c r="F120" s="48">
        <v>100</v>
      </c>
      <c r="G120" s="48" t="s">
        <v>1141</v>
      </c>
      <c r="H120" s="48">
        <v>42009002</v>
      </c>
      <c r="I120" s="48"/>
      <c r="J120" s="48"/>
      <c r="K120" s="48"/>
      <c r="L120" s="48" t="s">
        <v>2817</v>
      </c>
      <c r="M120" s="67"/>
      <c r="N120" s="67"/>
      <c r="O120" s="67"/>
      <c r="P120" s="67"/>
      <c r="Q120" s="67"/>
      <c r="R120" s="67"/>
      <c r="S120" s="67"/>
      <c r="T120" s="67"/>
      <c r="U120" s="67"/>
      <c r="V120" s="67"/>
      <c r="W120" s="67"/>
      <c r="X120" s="67"/>
      <c r="Y120" s="67"/>
      <c r="Z120" s="67"/>
    </row>
    <row r="121" spans="1:26" ht="14.25" customHeight="1" x14ac:dyDescent="0.2">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spans="1:26" ht="14.25" customHeight="1" x14ac:dyDescent="0.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spans="1:26" ht="14.25" customHeight="1" x14ac:dyDescent="0.2">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spans="1:26" ht="14.25" customHeight="1" x14ac:dyDescent="0.2">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spans="1:26" ht="14.25" customHeight="1" x14ac:dyDescent="0.2">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spans="1:26" ht="14.25" customHeight="1" x14ac:dyDescent="0.2">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spans="1:26" ht="14.25" customHeight="1" x14ac:dyDescent="0.2">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spans="1:26" ht="14.25" customHeight="1" x14ac:dyDescent="0.2">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spans="1:26" ht="14.25" customHeight="1" x14ac:dyDescent="0.2">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spans="1:26" ht="14.25" customHeight="1" x14ac:dyDescent="0.2">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spans="1:26" ht="14.25" customHeight="1" x14ac:dyDescent="0.2">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spans="1:26" ht="14.25" customHeight="1" x14ac:dyDescent="0.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spans="1:26" ht="14.25" customHeight="1" x14ac:dyDescent="0.2">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spans="1:26" ht="14.25" customHeight="1" x14ac:dyDescent="0.2">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spans="1:26" ht="14.25" customHeight="1" x14ac:dyDescent="0.2">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spans="1:26" ht="14.25" customHeight="1" x14ac:dyDescent="0.2">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spans="1:26" ht="14.25" customHeight="1" x14ac:dyDescent="0.2">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spans="1:26" ht="14.25" customHeight="1" x14ac:dyDescent="0.2">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spans="1:26" ht="14.25" customHeight="1" x14ac:dyDescent="0.2">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spans="1:26" ht="14.25" customHeight="1" x14ac:dyDescent="0.2">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spans="1:26" ht="14.25" customHeight="1" x14ac:dyDescent="0.2">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spans="1:26" ht="14.25" customHeight="1" x14ac:dyDescent="0.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spans="1:26" ht="14.25" customHeight="1" x14ac:dyDescent="0.2">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spans="1:26" ht="14.25" customHeight="1" x14ac:dyDescent="0.2">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spans="1:26" ht="14.25" customHeight="1" x14ac:dyDescent="0.2">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spans="1:26" ht="14.25" customHeight="1" x14ac:dyDescent="0.2">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spans="1:26" ht="14.25" customHeight="1" x14ac:dyDescent="0.2">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spans="1:26" ht="14.25" customHeight="1" x14ac:dyDescent="0.2">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spans="1:26" ht="14.25" customHeight="1" x14ac:dyDescent="0.2">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spans="1:26" ht="14.25" customHeight="1" x14ac:dyDescent="0.2">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spans="1:26" ht="14.25" customHeight="1" x14ac:dyDescent="0.2">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spans="1:26" ht="14.25" customHeight="1" x14ac:dyDescent="0.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spans="1:26" ht="14.25" customHeight="1" x14ac:dyDescent="0.2">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spans="1:26" ht="14.25" customHeight="1" x14ac:dyDescent="0.2">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spans="1:26" ht="14.25" customHeight="1" x14ac:dyDescent="0.2">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spans="1:26" ht="14.25" customHeight="1" x14ac:dyDescent="0.2">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spans="1:26" ht="14.25" customHeight="1" x14ac:dyDescent="0.2">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spans="1:26" ht="14.25" customHeight="1" x14ac:dyDescent="0.2">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spans="1:26" ht="14.25" customHeight="1" x14ac:dyDescent="0.2">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spans="1:26" ht="14.25" customHeight="1" x14ac:dyDescent="0.2">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spans="1:26" ht="14.25" customHeight="1" x14ac:dyDescent="0.2">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spans="1:26" ht="14.25" customHeight="1" x14ac:dyDescent="0.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spans="1:26" ht="14.25" customHeight="1" x14ac:dyDescent="0.2">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spans="1:26" ht="14.25" customHeight="1" x14ac:dyDescent="0.2">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spans="1:26" ht="14.25" customHeight="1" x14ac:dyDescent="0.2">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spans="1:26" ht="14.25" customHeight="1" x14ac:dyDescent="0.2">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spans="1:26" ht="14.25" customHeight="1" x14ac:dyDescent="0.2">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spans="1:26" ht="14.25" customHeight="1" x14ac:dyDescent="0.2">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spans="1:26" ht="14.25" customHeight="1" x14ac:dyDescent="0.2">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spans="1:26" ht="14.25" customHeight="1" x14ac:dyDescent="0.2">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spans="1:26" ht="14.25" customHeight="1" x14ac:dyDescent="0.2">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spans="1:26" ht="14.25" customHeight="1" x14ac:dyDescent="0.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spans="1:26" ht="14.25" customHeight="1" x14ac:dyDescent="0.2">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spans="1:26" ht="14.25" customHeight="1" x14ac:dyDescent="0.2">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spans="1:26" ht="14.25" customHeight="1" x14ac:dyDescent="0.2">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spans="1:26" ht="14.25" customHeight="1" x14ac:dyDescent="0.2">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spans="1:26" ht="14.25" customHeight="1" x14ac:dyDescent="0.2">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spans="1:26" ht="14.25" customHeight="1" x14ac:dyDescent="0.2">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spans="1:26" ht="14.25" customHeight="1" x14ac:dyDescent="0.2">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spans="1:26" ht="14.25" customHeight="1" x14ac:dyDescent="0.2">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spans="1:26" ht="14.25" customHeight="1" x14ac:dyDescent="0.2">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spans="1:26" ht="14.25" customHeight="1" x14ac:dyDescent="0.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spans="1:26" ht="14.25" customHeight="1" x14ac:dyDescent="0.2">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spans="1:26" ht="14.25" customHeight="1" x14ac:dyDescent="0.2">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spans="1:26" ht="14.25" customHeight="1" x14ac:dyDescent="0.2">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spans="1:26" ht="14.25" customHeight="1" x14ac:dyDescent="0.2">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spans="1:26" ht="14.25" customHeight="1" x14ac:dyDescent="0.2">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spans="1:26" ht="14.25" customHeight="1" x14ac:dyDescent="0.2">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spans="1:26" ht="14.25" customHeight="1" x14ac:dyDescent="0.2">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spans="1:26" ht="14.25" customHeight="1" x14ac:dyDescent="0.2">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spans="1:26" ht="14.25" customHeight="1" x14ac:dyDescent="0.2">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spans="1:26" ht="14.25" customHeight="1" x14ac:dyDescent="0.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spans="1:26" ht="14.25" customHeight="1" x14ac:dyDescent="0.2">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spans="1:26" ht="14.25" customHeight="1" x14ac:dyDescent="0.2">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spans="1:26" ht="14.25" customHeight="1" x14ac:dyDescent="0.2">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spans="1:26" ht="14.25" customHeight="1" x14ac:dyDescent="0.2">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spans="1:26" ht="14.25" customHeight="1" x14ac:dyDescent="0.2">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spans="1:26" ht="14.25" customHeight="1" x14ac:dyDescent="0.2">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spans="1:26" ht="14.25" customHeight="1" x14ac:dyDescent="0.2">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spans="1:26" ht="14.25" customHeight="1" x14ac:dyDescent="0.2">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spans="1:26" ht="14.25" customHeight="1" x14ac:dyDescent="0.2">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spans="1:26" ht="14.25" customHeight="1" x14ac:dyDescent="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spans="1:26" ht="14.25" customHeight="1" x14ac:dyDescent="0.2">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spans="1:26" ht="14.25" customHeight="1" x14ac:dyDescent="0.2">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spans="1:26" ht="14.25" customHeight="1" x14ac:dyDescent="0.2">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spans="1:26" ht="14.25" customHeight="1" x14ac:dyDescent="0.2">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spans="1:26" ht="14.25" customHeight="1" x14ac:dyDescent="0.2">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spans="1:26" ht="14.25" customHeight="1" x14ac:dyDescent="0.2">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spans="1:26" ht="14.25" customHeight="1" x14ac:dyDescent="0.2">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spans="1:26" ht="14.25" customHeight="1" x14ac:dyDescent="0.2">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spans="1:26" ht="14.25" customHeight="1" x14ac:dyDescent="0.2">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spans="1:26" ht="14.25" customHeight="1" x14ac:dyDescent="0.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spans="1:26" ht="14.25" customHeight="1" x14ac:dyDescent="0.2">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spans="1:26" ht="14.25" customHeight="1" x14ac:dyDescent="0.2">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spans="1:26" ht="14.25" customHeight="1" x14ac:dyDescent="0.2">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spans="1:26" ht="14.25" customHeight="1" x14ac:dyDescent="0.2">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spans="1:26" ht="14.25" customHeight="1" x14ac:dyDescent="0.2">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spans="1:26" ht="14.25" customHeight="1" x14ac:dyDescent="0.2">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spans="1:26" ht="14.25" customHeight="1" x14ac:dyDescent="0.2">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spans="1:26" ht="14.25" customHeight="1" x14ac:dyDescent="0.2">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spans="1:26" ht="14.25" customHeight="1" x14ac:dyDescent="0.2">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spans="1:26" ht="14.25" customHeight="1" x14ac:dyDescent="0.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spans="1:26" ht="14.25" customHeight="1" x14ac:dyDescent="0.2">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spans="1:26" ht="14.25" customHeight="1" x14ac:dyDescent="0.2">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spans="1:26" ht="14.25" customHeight="1" x14ac:dyDescent="0.2">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spans="1:26" ht="14.25" customHeight="1" x14ac:dyDescent="0.2">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spans="1:26" ht="14.25" customHeight="1" x14ac:dyDescent="0.2">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spans="1:26" ht="15.75" customHeight="1" x14ac:dyDescent="0.2">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spans="1:26" ht="15.75" customHeight="1" x14ac:dyDescent="0.2">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spans="1:26" ht="15.75" customHeight="1" x14ac:dyDescent="0.2">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ht="15.75" customHeight="1" x14ac:dyDescent="0.2">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spans="1:26" ht="15.75" customHeight="1" x14ac:dyDescent="0.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spans="1:26" ht="15.75" customHeight="1" x14ac:dyDescent="0.2">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spans="1:26" ht="15.75" customHeight="1" x14ac:dyDescent="0.2">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spans="1:26" ht="15.75" customHeight="1" x14ac:dyDescent="0.2">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spans="1:26" ht="15.75" customHeight="1" x14ac:dyDescent="0.2">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ht="15.75" customHeight="1" x14ac:dyDescent="0.2">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ht="15.75" customHeight="1" x14ac:dyDescent="0.2">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ht="15.75" customHeight="1" x14ac:dyDescent="0.2">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ht="15.75" customHeight="1" x14ac:dyDescent="0.2">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ht="15.75" customHeight="1" x14ac:dyDescent="0.2">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ht="15.75" customHeight="1" x14ac:dyDescent="0.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ht="15.75" customHeight="1" x14ac:dyDescent="0.2">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ht="15.75" customHeight="1" x14ac:dyDescent="0.2">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15.75" customHeight="1" x14ac:dyDescent="0.2">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15.75" customHeight="1" x14ac:dyDescent="0.2">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ht="15.75" customHeight="1" x14ac:dyDescent="0.2">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ht="15.75" customHeight="1" x14ac:dyDescent="0.2">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ht="15.75" customHeight="1" x14ac:dyDescent="0.2">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ht="15.75" customHeight="1" x14ac:dyDescent="0.2">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ht="15.75" customHeight="1" x14ac:dyDescent="0.2">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ht="15.75" customHeight="1" x14ac:dyDescent="0.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ht="15.75" customHeight="1" x14ac:dyDescent="0.2">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ht="15.75"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2">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2">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2">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2">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2">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2">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2">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2">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2">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2">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2">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2">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2">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2">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2">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2">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2">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2">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2">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3.5" customHeight="1" x14ac:dyDescent="0.2"/>
    <row r="298" spans="1:26" ht="13.5" customHeight="1" x14ac:dyDescent="0.2"/>
    <row r="299" spans="1:26" ht="13.5" customHeight="1" x14ac:dyDescent="0.2"/>
    <row r="300" spans="1:26" ht="13.5" customHeight="1" x14ac:dyDescent="0.2"/>
    <row r="301" spans="1:26" ht="13.5" customHeight="1" x14ac:dyDescent="0.2"/>
    <row r="302" spans="1:26" ht="13.5" customHeight="1" x14ac:dyDescent="0.2"/>
    <row r="303" spans="1:26" ht="13.5" customHeight="1" x14ac:dyDescent="0.2"/>
    <row r="304" spans="1:26"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autoFilter ref="D1:D1000" xr:uid="{00000000-0009-0000-0000-000004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7"/>
  <sheetViews>
    <sheetView rightToLeft="1" workbookViewId="0"/>
  </sheetViews>
  <sheetFormatPr defaultColWidth="12.625" defaultRowHeight="15" customHeight="1" x14ac:dyDescent="0.2"/>
  <cols>
    <col min="1" max="1" width="8.75" customWidth="1"/>
    <col min="2" max="2" width="11.375" customWidth="1"/>
    <col min="3" max="3" width="14.25" customWidth="1"/>
    <col min="4" max="4" width="14.5" customWidth="1"/>
    <col min="5" max="5" width="26" customWidth="1"/>
    <col min="6" max="6" width="43" customWidth="1"/>
    <col min="7" max="26" width="8.75" customWidth="1"/>
  </cols>
  <sheetData>
    <row r="1" spans="1:26" ht="15" customHeight="1" x14ac:dyDescent="0.2">
      <c r="A1" s="43" t="s">
        <v>2818</v>
      </c>
      <c r="B1" s="43" t="s">
        <v>2819</v>
      </c>
      <c r="C1" s="209">
        <v>523933417</v>
      </c>
      <c r="D1" s="43" t="s">
        <v>2820</v>
      </c>
      <c r="E1" s="43" t="s">
        <v>2821</v>
      </c>
      <c r="F1" s="210" t="s">
        <v>2822</v>
      </c>
    </row>
    <row r="2" spans="1:26" ht="14.25" customHeight="1" x14ac:dyDescent="0.2">
      <c r="A2" s="211" t="s">
        <v>2823</v>
      </c>
      <c r="B2" s="211" t="s">
        <v>2824</v>
      </c>
      <c r="C2" s="212">
        <v>547567679</v>
      </c>
      <c r="D2" s="211" t="s">
        <v>2825</v>
      </c>
      <c r="E2" s="211" t="s">
        <v>2826</v>
      </c>
      <c r="F2" s="213" t="s">
        <v>2827</v>
      </c>
      <c r="G2" s="67"/>
      <c r="H2" s="67"/>
      <c r="I2" s="67"/>
      <c r="J2" s="67"/>
      <c r="K2" s="67"/>
      <c r="L2" s="67"/>
      <c r="M2" s="67"/>
      <c r="N2" s="67"/>
      <c r="O2" s="67"/>
      <c r="P2" s="67"/>
      <c r="Q2" s="67"/>
      <c r="R2" s="67"/>
      <c r="S2" s="67"/>
      <c r="T2" s="67"/>
      <c r="U2" s="67"/>
      <c r="V2" s="67"/>
      <c r="W2" s="67"/>
      <c r="X2" s="67"/>
      <c r="Y2" s="67"/>
      <c r="Z2" s="67"/>
    </row>
    <row r="3" spans="1:26" ht="14.25" customHeight="1" x14ac:dyDescent="0.2">
      <c r="A3" s="43" t="s">
        <v>2828</v>
      </c>
      <c r="B3" s="43" t="s">
        <v>2829</v>
      </c>
      <c r="C3" s="209"/>
      <c r="D3" s="43"/>
      <c r="E3" s="196"/>
      <c r="F3" s="214" t="s">
        <v>2830</v>
      </c>
      <c r="G3" s="67"/>
      <c r="H3" s="67"/>
      <c r="I3" s="67"/>
      <c r="J3" s="67"/>
      <c r="K3" s="67"/>
      <c r="L3" s="67"/>
      <c r="M3" s="67"/>
      <c r="N3" s="67"/>
      <c r="O3" s="67"/>
      <c r="P3" s="67"/>
      <c r="Q3" s="67"/>
      <c r="R3" s="67"/>
      <c r="S3" s="67"/>
      <c r="T3" s="67"/>
      <c r="U3" s="67"/>
      <c r="V3" s="67"/>
      <c r="W3" s="67"/>
      <c r="X3" s="67"/>
      <c r="Y3" s="67"/>
      <c r="Z3" s="67"/>
    </row>
    <row r="4" spans="1:26" ht="14.25" customHeight="1" x14ac:dyDescent="0.2">
      <c r="A4" s="215" t="s">
        <v>2831</v>
      </c>
      <c r="B4" s="215" t="s">
        <v>2832</v>
      </c>
      <c r="C4" s="216" t="s">
        <v>2833</v>
      </c>
      <c r="D4" s="217" t="s">
        <v>2834</v>
      </c>
      <c r="E4" s="218" t="s">
        <v>2835</v>
      </c>
      <c r="F4" s="219" t="s">
        <v>2836</v>
      </c>
      <c r="G4" s="67"/>
      <c r="H4" s="67"/>
      <c r="I4" s="67"/>
      <c r="J4" s="67"/>
      <c r="K4" s="67"/>
      <c r="L4" s="67"/>
      <c r="M4" s="67"/>
      <c r="N4" s="67"/>
      <c r="O4" s="67"/>
      <c r="P4" s="67"/>
      <c r="Q4" s="67"/>
      <c r="R4" s="67"/>
      <c r="S4" s="67"/>
      <c r="T4" s="67"/>
      <c r="U4" s="67"/>
      <c r="V4" s="67"/>
      <c r="W4" s="67"/>
      <c r="X4" s="67"/>
      <c r="Y4" s="67"/>
      <c r="Z4" s="67"/>
    </row>
    <row r="5" spans="1:26" ht="14.25" customHeight="1" x14ac:dyDescent="0.2">
      <c r="A5" s="215" t="s">
        <v>1705</v>
      </c>
      <c r="B5" s="215" t="s">
        <v>2837</v>
      </c>
      <c r="C5" s="216" t="s">
        <v>2838</v>
      </c>
      <c r="D5" s="217" t="s">
        <v>2839</v>
      </c>
      <c r="E5" s="218" t="s">
        <v>2840</v>
      </c>
      <c r="F5" s="219" t="s">
        <v>2841</v>
      </c>
      <c r="G5" s="67"/>
      <c r="H5" s="67"/>
      <c r="I5" s="67"/>
      <c r="J5" s="67"/>
      <c r="K5" s="67"/>
      <c r="L5" s="67"/>
      <c r="M5" s="67"/>
      <c r="N5" s="67"/>
      <c r="O5" s="67"/>
      <c r="P5" s="67"/>
      <c r="Q5" s="67"/>
      <c r="R5" s="67"/>
      <c r="S5" s="67"/>
      <c r="T5" s="67"/>
      <c r="U5" s="67"/>
      <c r="V5" s="67"/>
      <c r="W5" s="67"/>
      <c r="X5" s="67"/>
      <c r="Y5" s="67"/>
      <c r="Z5" s="67"/>
    </row>
    <row r="6" spans="1:26" ht="14.25" customHeight="1" x14ac:dyDescent="0.2">
      <c r="A6" s="215" t="s">
        <v>2842</v>
      </c>
      <c r="B6" s="215" t="s">
        <v>2843</v>
      </c>
      <c r="C6" s="216" t="s">
        <v>2844</v>
      </c>
      <c r="D6" s="215" t="s">
        <v>2845</v>
      </c>
      <c r="E6" s="220" t="s">
        <v>2846</v>
      </c>
      <c r="F6" s="219" t="s">
        <v>2847</v>
      </c>
      <c r="G6" s="67"/>
      <c r="H6" s="67"/>
      <c r="I6" s="67"/>
      <c r="J6" s="67"/>
      <c r="K6" s="67"/>
      <c r="L6" s="67"/>
      <c r="M6" s="67"/>
      <c r="N6" s="67"/>
      <c r="O6" s="67"/>
      <c r="P6" s="67"/>
      <c r="Q6" s="67"/>
      <c r="R6" s="67"/>
      <c r="S6" s="67"/>
      <c r="T6" s="67"/>
      <c r="U6" s="67"/>
      <c r="V6" s="67"/>
      <c r="W6" s="67"/>
      <c r="X6" s="67"/>
      <c r="Y6" s="67"/>
      <c r="Z6" s="67"/>
    </row>
    <row r="7" spans="1:26" ht="14.25" customHeight="1" x14ac:dyDescent="0.25">
      <c r="A7" s="43" t="s">
        <v>2848</v>
      </c>
      <c r="B7" s="43" t="s">
        <v>2849</v>
      </c>
      <c r="C7" s="221" t="s">
        <v>2850</v>
      </c>
      <c r="D7" s="43"/>
      <c r="E7" s="196" t="s">
        <v>2851</v>
      </c>
      <c r="F7" s="210" t="s">
        <v>2852</v>
      </c>
      <c r="G7" s="67"/>
      <c r="H7" s="67"/>
      <c r="I7" s="67"/>
      <c r="J7" s="67"/>
      <c r="K7" s="67"/>
      <c r="L7" s="67"/>
      <c r="M7" s="67"/>
      <c r="N7" s="67"/>
      <c r="O7" s="67"/>
      <c r="P7" s="67"/>
      <c r="Q7" s="67"/>
      <c r="R7" s="67"/>
      <c r="S7" s="67"/>
      <c r="T7" s="67"/>
      <c r="U7" s="67"/>
      <c r="V7" s="67"/>
      <c r="W7" s="67"/>
      <c r="X7" s="67"/>
      <c r="Y7" s="67"/>
      <c r="Z7" s="67"/>
    </row>
    <row r="8" spans="1:26" ht="14.25" customHeight="1" x14ac:dyDescent="0.2">
      <c r="A8" s="43" t="s">
        <v>2848</v>
      </c>
      <c r="B8" s="43" t="s">
        <v>2853</v>
      </c>
      <c r="C8" s="209" t="s">
        <v>2854</v>
      </c>
      <c r="D8" s="43" t="s">
        <v>2855</v>
      </c>
      <c r="E8" s="196" t="s">
        <v>2856</v>
      </c>
      <c r="F8" s="210" t="s">
        <v>2857</v>
      </c>
      <c r="G8" s="67"/>
      <c r="H8" s="67"/>
      <c r="I8" s="67"/>
      <c r="J8" s="67"/>
      <c r="K8" s="67"/>
      <c r="L8" s="67"/>
      <c r="M8" s="67"/>
      <c r="N8" s="67"/>
      <c r="O8" s="67"/>
      <c r="P8" s="67"/>
      <c r="Q8" s="67"/>
      <c r="R8" s="67"/>
      <c r="S8" s="67"/>
      <c r="T8" s="67"/>
      <c r="U8" s="67"/>
      <c r="V8" s="67"/>
      <c r="W8" s="67"/>
      <c r="X8" s="67"/>
      <c r="Y8" s="67"/>
      <c r="Z8" s="67"/>
    </row>
    <row r="9" spans="1:26" ht="14.25" customHeight="1" x14ac:dyDescent="0.2">
      <c r="A9" s="215" t="s">
        <v>2858</v>
      </c>
      <c r="B9" s="215" t="s">
        <v>2859</v>
      </c>
      <c r="C9" s="216" t="s">
        <v>2860</v>
      </c>
      <c r="D9" s="215" t="s">
        <v>2845</v>
      </c>
      <c r="E9" s="220" t="s">
        <v>2846</v>
      </c>
      <c r="F9" s="219" t="s">
        <v>2861</v>
      </c>
      <c r="G9" s="67"/>
      <c r="H9" s="67"/>
      <c r="I9" s="67"/>
      <c r="J9" s="67"/>
      <c r="K9" s="67"/>
      <c r="L9" s="67"/>
      <c r="M9" s="67"/>
      <c r="N9" s="67"/>
      <c r="O9" s="67"/>
      <c r="P9" s="67"/>
      <c r="Q9" s="67"/>
      <c r="R9" s="67"/>
      <c r="S9" s="67"/>
      <c r="T9" s="67"/>
      <c r="U9" s="67"/>
      <c r="V9" s="67"/>
      <c r="W9" s="67"/>
      <c r="X9" s="67"/>
      <c r="Y9" s="67"/>
      <c r="Z9" s="67"/>
    </row>
    <row r="10" spans="1:26" ht="14.25" customHeight="1" x14ac:dyDescent="0.2">
      <c r="A10" s="43" t="s">
        <v>2862</v>
      </c>
      <c r="B10" s="43" t="s">
        <v>2863</v>
      </c>
      <c r="C10" s="222" t="s">
        <v>2864</v>
      </c>
      <c r="D10" s="43" t="s">
        <v>2845</v>
      </c>
      <c r="E10" s="196" t="s">
        <v>2865</v>
      </c>
      <c r="F10" s="210" t="s">
        <v>2866</v>
      </c>
      <c r="G10" s="67"/>
      <c r="H10" s="67"/>
      <c r="I10" s="67"/>
      <c r="J10" s="67"/>
      <c r="K10" s="67"/>
      <c r="L10" s="67"/>
      <c r="M10" s="67"/>
      <c r="N10" s="67"/>
      <c r="O10" s="67"/>
      <c r="P10" s="67"/>
      <c r="Q10" s="67"/>
      <c r="R10" s="67"/>
      <c r="S10" s="67"/>
      <c r="T10" s="67"/>
      <c r="U10" s="67"/>
      <c r="V10" s="67"/>
      <c r="W10" s="67"/>
      <c r="X10" s="67"/>
      <c r="Y10" s="67"/>
      <c r="Z10" s="67"/>
    </row>
    <row r="11" spans="1:26" ht="14.25" customHeight="1" x14ac:dyDescent="0.2">
      <c r="A11" s="215" t="s">
        <v>2867</v>
      </c>
      <c r="B11" s="215" t="s">
        <v>2868</v>
      </c>
      <c r="C11" s="216" t="s">
        <v>2869</v>
      </c>
      <c r="D11" s="215" t="s">
        <v>2834</v>
      </c>
      <c r="E11" s="220" t="s">
        <v>2870</v>
      </c>
      <c r="F11" s="219" t="s">
        <v>2871</v>
      </c>
      <c r="G11" s="67"/>
      <c r="H11" s="67"/>
      <c r="I11" s="67"/>
      <c r="J11" s="67"/>
      <c r="K11" s="67"/>
      <c r="L11" s="67"/>
      <c r="M11" s="67"/>
      <c r="N11" s="67"/>
      <c r="O11" s="67"/>
      <c r="P11" s="67"/>
      <c r="Q11" s="67"/>
      <c r="R11" s="67"/>
      <c r="S11" s="67"/>
      <c r="T11" s="67"/>
      <c r="U11" s="67"/>
      <c r="V11" s="67"/>
      <c r="W11" s="67"/>
      <c r="X11" s="67"/>
      <c r="Y11" s="67"/>
      <c r="Z11" s="67"/>
    </row>
    <row r="12" spans="1:26" ht="14.25" customHeight="1" x14ac:dyDescent="0.2">
      <c r="A12" s="215" t="s">
        <v>2872</v>
      </c>
      <c r="B12" s="215" t="s">
        <v>2873</v>
      </c>
      <c r="C12" s="216" t="s">
        <v>2874</v>
      </c>
      <c r="D12" s="215" t="s">
        <v>2825</v>
      </c>
      <c r="E12" s="220" t="s">
        <v>2875</v>
      </c>
      <c r="F12" s="223" t="s">
        <v>2876</v>
      </c>
      <c r="G12" s="67"/>
      <c r="H12" s="67"/>
      <c r="I12" s="67"/>
      <c r="J12" s="67"/>
      <c r="K12" s="67"/>
      <c r="L12" s="67"/>
      <c r="M12" s="67"/>
      <c r="N12" s="67"/>
      <c r="O12" s="67"/>
      <c r="P12" s="67"/>
      <c r="Q12" s="67"/>
      <c r="R12" s="67"/>
      <c r="S12" s="67"/>
      <c r="T12" s="67"/>
      <c r="U12" s="67"/>
      <c r="V12" s="67"/>
      <c r="W12" s="67"/>
      <c r="X12" s="67"/>
      <c r="Y12" s="67"/>
      <c r="Z12" s="67"/>
    </row>
    <row r="13" spans="1:26" ht="14.25" customHeight="1" x14ac:dyDescent="0.2">
      <c r="A13" s="215" t="s">
        <v>2877</v>
      </c>
      <c r="B13" s="215" t="s">
        <v>2878</v>
      </c>
      <c r="C13" s="216" t="s">
        <v>2879</v>
      </c>
      <c r="D13" s="217" t="s">
        <v>2834</v>
      </c>
      <c r="E13" s="218" t="s">
        <v>2880</v>
      </c>
      <c r="F13" s="43" t="s">
        <v>2881</v>
      </c>
      <c r="G13" s="67"/>
      <c r="H13" s="67"/>
      <c r="I13" s="67"/>
      <c r="J13" s="67"/>
      <c r="K13" s="67"/>
      <c r="L13" s="67"/>
      <c r="M13" s="67"/>
      <c r="N13" s="67"/>
      <c r="O13" s="67"/>
      <c r="P13" s="67"/>
      <c r="Q13" s="67"/>
      <c r="R13" s="67"/>
      <c r="S13" s="67"/>
      <c r="T13" s="67"/>
      <c r="U13" s="67"/>
      <c r="V13" s="67"/>
      <c r="W13" s="67"/>
      <c r="X13" s="67"/>
      <c r="Y13" s="67"/>
      <c r="Z13" s="67"/>
    </row>
    <row r="14" spans="1:26" ht="14.25" customHeight="1" x14ac:dyDescent="0.2">
      <c r="A14" s="43" t="s">
        <v>2882</v>
      </c>
      <c r="B14" s="43" t="s">
        <v>2883</v>
      </c>
      <c r="C14" s="224" t="s">
        <v>2884</v>
      </c>
      <c r="D14" s="43" t="s">
        <v>2885</v>
      </c>
      <c r="E14" s="196" t="s">
        <v>2886</v>
      </c>
      <c r="F14" s="43" t="s">
        <v>2887</v>
      </c>
      <c r="G14" s="67"/>
      <c r="H14" s="67"/>
      <c r="I14" s="67"/>
      <c r="J14" s="67"/>
      <c r="K14" s="67"/>
      <c r="L14" s="67"/>
      <c r="M14" s="67"/>
      <c r="N14" s="67"/>
      <c r="O14" s="67"/>
      <c r="P14" s="67"/>
      <c r="Q14" s="67"/>
      <c r="R14" s="67"/>
      <c r="S14" s="67"/>
      <c r="T14" s="67"/>
      <c r="U14" s="67"/>
      <c r="V14" s="67"/>
      <c r="W14" s="67"/>
      <c r="X14" s="67"/>
      <c r="Y14" s="67"/>
      <c r="Z14" s="67"/>
    </row>
    <row r="15" spans="1:26" ht="14.25" customHeight="1" x14ac:dyDescent="0.2">
      <c r="A15" s="215" t="s">
        <v>2888</v>
      </c>
      <c r="B15" s="215" t="s">
        <v>2889</v>
      </c>
      <c r="C15" s="216" t="s">
        <v>2890</v>
      </c>
      <c r="D15" s="215" t="s">
        <v>2891</v>
      </c>
      <c r="E15" s="220" t="s">
        <v>2892</v>
      </c>
      <c r="F15" s="219" t="s">
        <v>2893</v>
      </c>
      <c r="G15" s="67"/>
      <c r="H15" s="67"/>
      <c r="I15" s="67"/>
      <c r="J15" s="67"/>
      <c r="K15" s="67"/>
      <c r="L15" s="67"/>
      <c r="M15" s="67"/>
      <c r="N15" s="67"/>
      <c r="O15" s="67"/>
      <c r="P15" s="67"/>
      <c r="Q15" s="67"/>
      <c r="R15" s="67"/>
      <c r="S15" s="67"/>
      <c r="T15" s="67"/>
      <c r="U15" s="67"/>
      <c r="V15" s="67"/>
      <c r="W15" s="67"/>
      <c r="X15" s="67"/>
      <c r="Y15" s="67"/>
      <c r="Z15" s="67"/>
    </row>
    <row r="16" spans="1:26" ht="14.25" customHeight="1" x14ac:dyDescent="0.2">
      <c r="A16" s="215" t="s">
        <v>2894</v>
      </c>
      <c r="B16" s="215" t="s">
        <v>2895</v>
      </c>
      <c r="C16" s="216" t="s">
        <v>2896</v>
      </c>
      <c r="D16" s="217" t="s">
        <v>2839</v>
      </c>
      <c r="E16" s="218" t="s">
        <v>2897</v>
      </c>
      <c r="F16" s="219" t="s">
        <v>2898</v>
      </c>
      <c r="G16" s="67"/>
      <c r="H16" s="67"/>
      <c r="I16" s="67"/>
      <c r="J16" s="67"/>
      <c r="K16" s="67"/>
      <c r="L16" s="67"/>
      <c r="M16" s="67"/>
      <c r="N16" s="67"/>
      <c r="O16" s="67"/>
      <c r="P16" s="67"/>
      <c r="Q16" s="67"/>
      <c r="R16" s="67"/>
      <c r="S16" s="67"/>
      <c r="T16" s="67"/>
      <c r="U16" s="67"/>
      <c r="V16" s="67"/>
      <c r="W16" s="67"/>
      <c r="X16" s="67"/>
      <c r="Y16" s="67"/>
      <c r="Z16" s="67"/>
    </row>
    <row r="17" spans="1:26" ht="14.25" customHeight="1" x14ac:dyDescent="0.2">
      <c r="A17" s="215" t="s">
        <v>2899</v>
      </c>
      <c r="B17" s="215" t="s">
        <v>2900</v>
      </c>
      <c r="C17" s="216" t="s">
        <v>2901</v>
      </c>
      <c r="D17" s="215" t="s">
        <v>2834</v>
      </c>
      <c r="E17" s="220" t="s">
        <v>2902</v>
      </c>
      <c r="F17" s="219" t="s">
        <v>2903</v>
      </c>
      <c r="G17" s="67"/>
      <c r="H17" s="67"/>
      <c r="I17" s="67"/>
      <c r="J17" s="67"/>
      <c r="K17" s="67"/>
      <c r="L17" s="67"/>
      <c r="M17" s="67"/>
      <c r="N17" s="67"/>
      <c r="O17" s="67"/>
      <c r="P17" s="67"/>
      <c r="Q17" s="67"/>
      <c r="R17" s="67"/>
      <c r="S17" s="67"/>
      <c r="T17" s="67"/>
      <c r="U17" s="67"/>
      <c r="V17" s="67"/>
      <c r="W17" s="67"/>
      <c r="X17" s="67"/>
      <c r="Y17" s="67"/>
      <c r="Z17" s="67"/>
    </row>
    <row r="18" spans="1:26" ht="14.25" customHeight="1" x14ac:dyDescent="0.2">
      <c r="A18" s="215" t="s">
        <v>2904</v>
      </c>
      <c r="B18" s="215" t="s">
        <v>2905</v>
      </c>
      <c r="C18" s="216" t="s">
        <v>2906</v>
      </c>
      <c r="D18" s="215" t="s">
        <v>2834</v>
      </c>
      <c r="E18" s="220" t="s">
        <v>2907</v>
      </c>
      <c r="F18" s="219" t="s">
        <v>2908</v>
      </c>
      <c r="G18" s="67"/>
      <c r="H18" s="67"/>
      <c r="I18" s="67"/>
      <c r="J18" s="67"/>
      <c r="K18" s="67"/>
      <c r="L18" s="67"/>
      <c r="M18" s="67"/>
      <c r="N18" s="67"/>
      <c r="O18" s="67"/>
      <c r="P18" s="67"/>
      <c r="Q18" s="67"/>
      <c r="R18" s="67"/>
      <c r="S18" s="67"/>
      <c r="T18" s="67"/>
      <c r="U18" s="67"/>
      <c r="V18" s="67"/>
      <c r="W18" s="67"/>
      <c r="X18" s="67"/>
      <c r="Y18" s="67"/>
      <c r="Z18" s="67"/>
    </row>
    <row r="19" spans="1:26" ht="14.25" customHeight="1" x14ac:dyDescent="0.2">
      <c r="A19" s="215" t="s">
        <v>2909</v>
      </c>
      <c r="B19" s="215" t="s">
        <v>2910</v>
      </c>
      <c r="C19" s="216" t="s">
        <v>2911</v>
      </c>
      <c r="D19" s="217" t="s">
        <v>2820</v>
      </c>
      <c r="E19" s="218" t="s">
        <v>2912</v>
      </c>
      <c r="F19" s="219" t="s">
        <v>2913</v>
      </c>
      <c r="G19" s="67"/>
      <c r="H19" s="67"/>
      <c r="I19" s="67"/>
      <c r="J19" s="67"/>
      <c r="K19" s="67"/>
      <c r="L19" s="67"/>
      <c r="M19" s="67"/>
      <c r="N19" s="67"/>
      <c r="O19" s="67"/>
      <c r="P19" s="67"/>
      <c r="Q19" s="67"/>
      <c r="R19" s="67"/>
      <c r="S19" s="67"/>
      <c r="T19" s="67"/>
      <c r="U19" s="67"/>
      <c r="V19" s="67"/>
      <c r="W19" s="67"/>
      <c r="X19" s="67"/>
      <c r="Y19" s="67"/>
      <c r="Z19" s="67"/>
    </row>
    <row r="20" spans="1:26" ht="14.25" customHeight="1" x14ac:dyDescent="0.2">
      <c r="A20" s="43" t="s">
        <v>2914</v>
      </c>
      <c r="B20" s="43" t="s">
        <v>2915</v>
      </c>
      <c r="C20" s="222" t="s">
        <v>2916</v>
      </c>
      <c r="D20" s="43" t="s">
        <v>2917</v>
      </c>
      <c r="E20" s="196" t="s">
        <v>2918</v>
      </c>
      <c r="F20" s="210" t="s">
        <v>2919</v>
      </c>
      <c r="G20" s="67"/>
      <c r="H20" s="67"/>
      <c r="I20" s="67"/>
      <c r="J20" s="67"/>
      <c r="K20" s="67"/>
      <c r="L20" s="67"/>
      <c r="M20" s="67"/>
      <c r="N20" s="67"/>
      <c r="O20" s="67"/>
      <c r="P20" s="67"/>
      <c r="Q20" s="67"/>
      <c r="R20" s="67"/>
      <c r="S20" s="67"/>
      <c r="T20" s="67"/>
      <c r="U20" s="67"/>
      <c r="V20" s="67"/>
      <c r="W20" s="67"/>
      <c r="X20" s="67"/>
      <c r="Y20" s="67"/>
      <c r="Z20" s="67"/>
    </row>
    <row r="21" spans="1:26" ht="14.25" customHeight="1" x14ac:dyDescent="0.2">
      <c r="A21" s="215" t="s">
        <v>2920</v>
      </c>
      <c r="B21" s="215" t="s">
        <v>2921</v>
      </c>
      <c r="C21" s="216" t="s">
        <v>2922</v>
      </c>
      <c r="D21" s="215" t="s">
        <v>2825</v>
      </c>
      <c r="E21" s="220" t="s">
        <v>2875</v>
      </c>
      <c r="F21" s="219" t="s">
        <v>2923</v>
      </c>
      <c r="G21" s="67"/>
      <c r="H21" s="67"/>
      <c r="I21" s="67"/>
      <c r="J21" s="67"/>
      <c r="K21" s="67"/>
      <c r="L21" s="67"/>
      <c r="M21" s="67"/>
      <c r="N21" s="67"/>
      <c r="O21" s="67"/>
      <c r="P21" s="67"/>
      <c r="Q21" s="67"/>
      <c r="R21" s="67"/>
      <c r="S21" s="67"/>
      <c r="T21" s="67"/>
      <c r="U21" s="67"/>
      <c r="V21" s="67"/>
      <c r="W21" s="67"/>
      <c r="X21" s="67"/>
      <c r="Y21" s="67"/>
      <c r="Z21" s="67"/>
    </row>
    <row r="22" spans="1:26" ht="14.25" customHeight="1" x14ac:dyDescent="0.2">
      <c r="A22" s="43" t="s">
        <v>2924</v>
      </c>
      <c r="B22" s="43" t="s">
        <v>2925</v>
      </c>
      <c r="C22" s="225" t="s">
        <v>2926</v>
      </c>
      <c r="D22" s="43" t="s">
        <v>2855</v>
      </c>
      <c r="E22" s="196" t="s">
        <v>2927</v>
      </c>
      <c r="F22" s="43" t="s">
        <v>2928</v>
      </c>
      <c r="G22" s="67"/>
      <c r="H22" s="67"/>
      <c r="I22" s="67"/>
      <c r="J22" s="67"/>
      <c r="K22" s="67"/>
      <c r="L22" s="67"/>
      <c r="M22" s="67"/>
      <c r="N22" s="67"/>
      <c r="O22" s="67"/>
      <c r="P22" s="67"/>
      <c r="Q22" s="67"/>
      <c r="R22" s="67"/>
      <c r="S22" s="67"/>
      <c r="T22" s="67"/>
      <c r="U22" s="67"/>
      <c r="V22" s="67"/>
      <c r="W22" s="67"/>
      <c r="X22" s="67"/>
      <c r="Y22" s="67"/>
      <c r="Z22" s="67"/>
    </row>
    <row r="23" spans="1:26" ht="14.25" customHeight="1" x14ac:dyDescent="0.2">
      <c r="A23" s="215" t="s">
        <v>2929</v>
      </c>
      <c r="B23" s="215" t="s">
        <v>2930</v>
      </c>
      <c r="C23" s="216" t="s">
        <v>2931</v>
      </c>
      <c r="D23" s="215" t="s">
        <v>2845</v>
      </c>
      <c r="E23" s="220" t="s">
        <v>2932</v>
      </c>
      <c r="F23" s="43" t="s">
        <v>2933</v>
      </c>
      <c r="G23" s="67"/>
      <c r="H23" s="67"/>
      <c r="I23" s="67"/>
      <c r="J23" s="67"/>
      <c r="K23" s="67"/>
      <c r="L23" s="67"/>
      <c r="M23" s="67"/>
      <c r="N23" s="67"/>
      <c r="O23" s="67"/>
      <c r="P23" s="67"/>
      <c r="Q23" s="67"/>
      <c r="R23" s="67"/>
      <c r="S23" s="67"/>
      <c r="T23" s="67"/>
      <c r="U23" s="67"/>
      <c r="V23" s="67"/>
      <c r="W23" s="67"/>
      <c r="X23" s="67"/>
      <c r="Y23" s="67"/>
      <c r="Z23" s="67"/>
    </row>
    <row r="24" spans="1:26" ht="14.25" customHeight="1" x14ac:dyDescent="0.2">
      <c r="A24" s="215" t="s">
        <v>2934</v>
      </c>
      <c r="B24" s="215" t="s">
        <v>2935</v>
      </c>
      <c r="C24" s="216" t="s">
        <v>2936</v>
      </c>
      <c r="D24" s="217" t="s">
        <v>2834</v>
      </c>
      <c r="E24" s="218" t="s">
        <v>2937</v>
      </c>
      <c r="F24" s="219" t="s">
        <v>2938</v>
      </c>
      <c r="G24" s="67"/>
      <c r="H24" s="67"/>
      <c r="I24" s="67"/>
      <c r="J24" s="67"/>
      <c r="K24" s="67"/>
      <c r="L24" s="67"/>
      <c r="M24" s="67"/>
      <c r="N24" s="67"/>
      <c r="O24" s="67"/>
      <c r="P24" s="67"/>
      <c r="Q24" s="67"/>
      <c r="R24" s="67"/>
      <c r="S24" s="67"/>
      <c r="T24" s="67"/>
      <c r="U24" s="67"/>
      <c r="V24" s="67"/>
      <c r="W24" s="67"/>
      <c r="X24" s="67"/>
      <c r="Y24" s="67"/>
      <c r="Z24" s="67"/>
    </row>
    <row r="25" spans="1:26" ht="14.25" customHeight="1" x14ac:dyDescent="0.2">
      <c r="A25" s="215" t="s">
        <v>2939</v>
      </c>
      <c r="B25" s="215" t="s">
        <v>2940</v>
      </c>
      <c r="C25" s="216" t="s">
        <v>2941</v>
      </c>
      <c r="D25" s="215" t="s">
        <v>2891</v>
      </c>
      <c r="E25" s="220" t="s">
        <v>2851</v>
      </c>
      <c r="F25" s="219" t="s">
        <v>2942</v>
      </c>
      <c r="G25" s="67"/>
      <c r="H25" s="67"/>
      <c r="I25" s="67"/>
      <c r="J25" s="67"/>
      <c r="K25" s="67"/>
      <c r="L25" s="67"/>
      <c r="M25" s="67"/>
      <c r="N25" s="67"/>
      <c r="O25" s="67"/>
      <c r="P25" s="67"/>
      <c r="Q25" s="67"/>
      <c r="R25" s="67"/>
      <c r="S25" s="67"/>
      <c r="T25" s="67"/>
      <c r="U25" s="67"/>
      <c r="V25" s="67"/>
      <c r="W25" s="67"/>
      <c r="X25" s="67"/>
      <c r="Y25" s="67"/>
      <c r="Z25" s="67"/>
    </row>
    <row r="26" spans="1:26" ht="14.25" customHeight="1" x14ac:dyDescent="0.2">
      <c r="A26" s="43" t="s">
        <v>2943</v>
      </c>
      <c r="B26" s="43" t="s">
        <v>2944</v>
      </c>
      <c r="C26" s="43">
        <v>546093575</v>
      </c>
      <c r="D26" s="43" t="s">
        <v>2945</v>
      </c>
      <c r="E26" s="196" t="s">
        <v>2946</v>
      </c>
      <c r="F26" s="210" t="s">
        <v>2947</v>
      </c>
      <c r="G26" s="67"/>
      <c r="H26" s="67"/>
      <c r="I26" s="67"/>
      <c r="J26" s="67"/>
      <c r="K26" s="67"/>
      <c r="L26" s="67"/>
      <c r="M26" s="67"/>
      <c r="N26" s="67"/>
      <c r="O26" s="67"/>
      <c r="P26" s="67"/>
      <c r="Q26" s="67"/>
      <c r="R26" s="67"/>
      <c r="S26" s="67"/>
      <c r="T26" s="67"/>
      <c r="U26" s="67"/>
      <c r="V26" s="67"/>
      <c r="W26" s="67"/>
      <c r="X26" s="67"/>
      <c r="Y26" s="67"/>
      <c r="Z26" s="67"/>
    </row>
    <row r="27" spans="1:26" ht="14.25" customHeight="1" x14ac:dyDescent="0.2">
      <c r="A27" s="43" t="s">
        <v>2948</v>
      </c>
      <c r="B27" s="43" t="s">
        <v>2949</v>
      </c>
      <c r="C27" s="224" t="s">
        <v>2950</v>
      </c>
      <c r="D27" s="43" t="s">
        <v>2891</v>
      </c>
      <c r="E27" s="196" t="s">
        <v>2851</v>
      </c>
      <c r="F27" s="43" t="s">
        <v>2951</v>
      </c>
      <c r="G27" s="67"/>
      <c r="H27" s="67"/>
      <c r="I27" s="67"/>
      <c r="J27" s="67"/>
      <c r="K27" s="67"/>
      <c r="L27" s="67"/>
      <c r="M27" s="67"/>
      <c r="N27" s="67"/>
      <c r="O27" s="67"/>
      <c r="P27" s="67"/>
      <c r="Q27" s="67"/>
      <c r="R27" s="67"/>
      <c r="S27" s="67"/>
      <c r="T27" s="67"/>
      <c r="U27" s="67"/>
      <c r="V27" s="67"/>
      <c r="W27" s="67"/>
      <c r="X27" s="67"/>
      <c r="Y27" s="67"/>
      <c r="Z27" s="67"/>
    </row>
    <row r="28" spans="1:26" ht="14.25" customHeight="1" x14ac:dyDescent="0.2">
      <c r="A28" s="215" t="s">
        <v>2952</v>
      </c>
      <c r="B28" s="215" t="s">
        <v>2953</v>
      </c>
      <c r="C28" s="216" t="s">
        <v>2954</v>
      </c>
      <c r="D28" s="217" t="s">
        <v>2839</v>
      </c>
      <c r="E28" s="218" t="s">
        <v>2897</v>
      </c>
      <c r="F28" s="219" t="s">
        <v>2955</v>
      </c>
      <c r="G28" s="67"/>
      <c r="H28" s="67"/>
      <c r="I28" s="67"/>
      <c r="J28" s="67"/>
      <c r="K28" s="67"/>
      <c r="L28" s="67"/>
      <c r="M28" s="67"/>
      <c r="N28" s="67"/>
      <c r="O28" s="67"/>
      <c r="P28" s="67"/>
      <c r="Q28" s="67"/>
      <c r="R28" s="67"/>
      <c r="S28" s="67"/>
      <c r="T28" s="67"/>
      <c r="U28" s="67"/>
      <c r="V28" s="67"/>
      <c r="W28" s="67"/>
      <c r="X28" s="67"/>
      <c r="Y28" s="67"/>
      <c r="Z28" s="67"/>
    </row>
    <row r="29" spans="1:26" ht="14.25" customHeight="1" x14ac:dyDescent="0.2">
      <c r="A29" s="215" t="s">
        <v>2956</v>
      </c>
      <c r="B29" s="215" t="s">
        <v>2957</v>
      </c>
      <c r="C29" s="216" t="s">
        <v>2958</v>
      </c>
      <c r="D29" s="217" t="s">
        <v>2855</v>
      </c>
      <c r="E29" s="218" t="s">
        <v>2959</v>
      </c>
      <c r="F29" s="219" t="s">
        <v>2960</v>
      </c>
      <c r="G29" s="67"/>
      <c r="H29" s="67"/>
      <c r="I29" s="67"/>
      <c r="J29" s="67"/>
      <c r="K29" s="67"/>
      <c r="L29" s="67"/>
      <c r="M29" s="67"/>
      <c r="N29" s="67"/>
      <c r="O29" s="67"/>
      <c r="P29" s="67"/>
      <c r="Q29" s="67"/>
      <c r="R29" s="67"/>
      <c r="S29" s="67"/>
      <c r="T29" s="67"/>
      <c r="U29" s="67"/>
      <c r="V29" s="67"/>
      <c r="W29" s="67"/>
      <c r="X29" s="67"/>
      <c r="Y29" s="67"/>
      <c r="Z29" s="67"/>
    </row>
    <row r="30" spans="1:26" ht="14.25" customHeight="1" x14ac:dyDescent="0.2">
      <c r="A30" s="215" t="s">
        <v>2961</v>
      </c>
      <c r="B30" s="215" t="s">
        <v>2962</v>
      </c>
      <c r="C30" s="216" t="s">
        <v>2963</v>
      </c>
      <c r="D30" s="215" t="s">
        <v>2845</v>
      </c>
      <c r="E30" s="220" t="s">
        <v>2964</v>
      </c>
      <c r="F30" s="219" t="s">
        <v>2965</v>
      </c>
      <c r="G30" s="67"/>
      <c r="H30" s="67"/>
      <c r="I30" s="67"/>
      <c r="J30" s="67"/>
      <c r="K30" s="67"/>
      <c r="L30" s="67"/>
      <c r="M30" s="67"/>
      <c r="N30" s="67"/>
      <c r="O30" s="67"/>
      <c r="P30" s="67"/>
      <c r="Q30" s="67"/>
      <c r="R30" s="67"/>
      <c r="S30" s="67"/>
      <c r="T30" s="67"/>
      <c r="U30" s="67"/>
      <c r="V30" s="67"/>
      <c r="W30" s="67"/>
      <c r="X30" s="67"/>
      <c r="Y30" s="67"/>
      <c r="Z30" s="67"/>
    </row>
    <row r="31" spans="1:26" ht="14.25" customHeight="1" x14ac:dyDescent="0.2">
      <c r="A31" s="215" t="s">
        <v>2966</v>
      </c>
      <c r="B31" s="215" t="s">
        <v>2967</v>
      </c>
      <c r="C31" s="216" t="s">
        <v>2968</v>
      </c>
      <c r="D31" s="217" t="s">
        <v>2834</v>
      </c>
      <c r="E31" s="218" t="s">
        <v>2969</v>
      </c>
      <c r="F31" s="43" t="s">
        <v>2970</v>
      </c>
      <c r="G31" s="67"/>
      <c r="H31" s="67"/>
      <c r="I31" s="67"/>
      <c r="J31" s="67"/>
      <c r="K31" s="67"/>
      <c r="L31" s="67"/>
      <c r="M31" s="67"/>
      <c r="N31" s="67"/>
      <c r="O31" s="67"/>
      <c r="P31" s="67"/>
      <c r="Q31" s="67"/>
      <c r="R31" s="67"/>
      <c r="S31" s="67"/>
      <c r="T31" s="67"/>
      <c r="U31" s="67"/>
      <c r="V31" s="67"/>
      <c r="W31" s="67"/>
      <c r="X31" s="67"/>
      <c r="Y31" s="67"/>
      <c r="Z31" s="67"/>
    </row>
    <row r="32" spans="1:26" ht="14.25" customHeight="1" x14ac:dyDescent="0.2">
      <c r="A32" s="43" t="s">
        <v>2971</v>
      </c>
      <c r="B32" s="43" t="s">
        <v>2972</v>
      </c>
      <c r="C32" s="209">
        <v>507118516</v>
      </c>
      <c r="D32" s="43"/>
      <c r="E32" s="196"/>
      <c r="F32" s="210" t="s">
        <v>2973</v>
      </c>
      <c r="G32" s="67"/>
      <c r="H32" s="67"/>
      <c r="I32" s="67"/>
      <c r="J32" s="67"/>
      <c r="K32" s="67"/>
      <c r="L32" s="67"/>
      <c r="M32" s="67"/>
      <c r="N32" s="67"/>
      <c r="O32" s="67"/>
      <c r="P32" s="67"/>
      <c r="Q32" s="67"/>
      <c r="R32" s="67"/>
      <c r="S32" s="67"/>
      <c r="T32" s="67"/>
      <c r="U32" s="67"/>
      <c r="V32" s="67"/>
      <c r="W32" s="67"/>
      <c r="X32" s="67"/>
      <c r="Y32" s="67"/>
      <c r="Z32" s="67"/>
    </row>
    <row r="33" spans="1:26" ht="14.25" customHeight="1" x14ac:dyDescent="0.2">
      <c r="A33" s="215" t="s">
        <v>2974</v>
      </c>
      <c r="B33" s="215" t="s">
        <v>2975</v>
      </c>
      <c r="C33" s="209" t="s">
        <v>2976</v>
      </c>
      <c r="D33" s="217" t="s">
        <v>2977</v>
      </c>
      <c r="E33" s="218" t="s">
        <v>2875</v>
      </c>
      <c r="F33" s="210" t="s">
        <v>2978</v>
      </c>
      <c r="G33" s="67"/>
      <c r="H33" s="67"/>
      <c r="I33" s="67"/>
      <c r="J33" s="67"/>
      <c r="K33" s="67"/>
      <c r="L33" s="67"/>
      <c r="M33" s="67"/>
      <c r="N33" s="67"/>
      <c r="O33" s="67"/>
      <c r="P33" s="67"/>
      <c r="Q33" s="67"/>
      <c r="R33" s="67"/>
      <c r="S33" s="67"/>
      <c r="T33" s="67"/>
      <c r="U33" s="67"/>
      <c r="V33" s="67"/>
      <c r="W33" s="67"/>
      <c r="X33" s="67"/>
      <c r="Y33" s="67"/>
      <c r="Z33" s="67"/>
    </row>
    <row r="34" spans="1:26" ht="14.25" customHeight="1" x14ac:dyDescent="0.25">
      <c r="A34" s="43" t="s">
        <v>2979</v>
      </c>
      <c r="B34" s="43" t="s">
        <v>2980</v>
      </c>
      <c r="C34" s="221" t="s">
        <v>2981</v>
      </c>
      <c r="D34" s="43" t="s">
        <v>2855</v>
      </c>
      <c r="E34" s="196" t="s">
        <v>2982</v>
      </c>
      <c r="F34" s="226" t="s">
        <v>2983</v>
      </c>
      <c r="G34" s="67"/>
      <c r="H34" s="67"/>
      <c r="I34" s="67"/>
      <c r="J34" s="67"/>
      <c r="K34" s="67"/>
      <c r="L34" s="67"/>
      <c r="M34" s="67"/>
      <c r="N34" s="67"/>
      <c r="O34" s="67"/>
      <c r="P34" s="67"/>
      <c r="Q34" s="67"/>
      <c r="R34" s="67"/>
      <c r="S34" s="67"/>
      <c r="T34" s="67"/>
      <c r="U34" s="67"/>
      <c r="V34" s="67"/>
      <c r="W34" s="67"/>
      <c r="X34" s="67"/>
      <c r="Y34" s="67"/>
      <c r="Z34" s="67"/>
    </row>
    <row r="35" spans="1:26" ht="14.25" customHeight="1" x14ac:dyDescent="0.2">
      <c r="A35" s="215" t="s">
        <v>2984</v>
      </c>
      <c r="B35" s="215" t="s">
        <v>2985</v>
      </c>
      <c r="C35" s="216" t="s">
        <v>2986</v>
      </c>
      <c r="D35" s="215" t="s">
        <v>2891</v>
      </c>
      <c r="E35" s="220" t="s">
        <v>2851</v>
      </c>
      <c r="F35" s="219" t="s">
        <v>2987</v>
      </c>
      <c r="G35" s="67"/>
      <c r="H35" s="67"/>
      <c r="I35" s="67"/>
      <c r="J35" s="67"/>
      <c r="K35" s="67"/>
      <c r="L35" s="67"/>
      <c r="M35" s="67"/>
      <c r="N35" s="67"/>
      <c r="O35" s="67"/>
      <c r="P35" s="67"/>
      <c r="Q35" s="67"/>
      <c r="R35" s="67"/>
      <c r="S35" s="67"/>
      <c r="T35" s="67"/>
      <c r="U35" s="67"/>
      <c r="V35" s="67"/>
      <c r="W35" s="67"/>
      <c r="X35" s="67"/>
      <c r="Y35" s="67"/>
      <c r="Z35" s="67"/>
    </row>
    <row r="36" spans="1:26" ht="14.25" customHeight="1" x14ac:dyDescent="0.2">
      <c r="A36" s="215" t="s">
        <v>2988</v>
      </c>
      <c r="B36" s="215" t="s">
        <v>2989</v>
      </c>
      <c r="C36" s="216" t="s">
        <v>2990</v>
      </c>
      <c r="D36" s="215" t="s">
        <v>2825</v>
      </c>
      <c r="E36" s="220" t="s">
        <v>2991</v>
      </c>
      <c r="F36" s="219" t="s">
        <v>2992</v>
      </c>
      <c r="G36" s="67"/>
      <c r="H36" s="67"/>
      <c r="I36" s="67"/>
      <c r="J36" s="67"/>
      <c r="K36" s="67"/>
      <c r="L36" s="67"/>
      <c r="M36" s="67"/>
      <c r="N36" s="67"/>
      <c r="O36" s="67"/>
      <c r="P36" s="67"/>
      <c r="Q36" s="67"/>
      <c r="R36" s="67"/>
      <c r="S36" s="67"/>
      <c r="T36" s="67"/>
      <c r="U36" s="67"/>
      <c r="V36" s="67"/>
      <c r="W36" s="67"/>
      <c r="X36" s="67"/>
      <c r="Y36" s="67"/>
      <c r="Z36" s="67"/>
    </row>
    <row r="37" spans="1:26" ht="15" customHeight="1" x14ac:dyDescent="0.25">
      <c r="A37" s="43" t="s">
        <v>2993</v>
      </c>
      <c r="B37" s="43" t="s">
        <v>2994</v>
      </c>
      <c r="C37" s="221">
        <v>547080170</v>
      </c>
      <c r="D37" s="43" t="s">
        <v>2891</v>
      </c>
      <c r="E37" s="196" t="s">
        <v>2995</v>
      </c>
      <c r="F37" s="227" t="s">
        <v>2996</v>
      </c>
      <c r="G37" s="67"/>
      <c r="H37" s="67"/>
      <c r="I37" s="67"/>
      <c r="J37" s="67"/>
      <c r="K37" s="67"/>
      <c r="L37" s="67"/>
      <c r="M37" s="67"/>
      <c r="N37" s="67"/>
      <c r="O37" s="67"/>
      <c r="P37" s="67"/>
      <c r="Q37" s="67"/>
      <c r="R37" s="67"/>
      <c r="S37" s="67"/>
      <c r="T37" s="67"/>
      <c r="U37" s="67"/>
      <c r="V37" s="67"/>
      <c r="W37" s="67"/>
      <c r="X37" s="67"/>
      <c r="Y37" s="67"/>
      <c r="Z37" s="67"/>
    </row>
    <row r="38" spans="1:26" ht="17.25" customHeight="1" x14ac:dyDescent="0.2">
      <c r="A38" s="215" t="s">
        <v>2997</v>
      </c>
      <c r="B38" s="215" t="s">
        <v>2998</v>
      </c>
      <c r="C38" s="216" t="s">
        <v>2999</v>
      </c>
      <c r="D38" s="215" t="s">
        <v>2845</v>
      </c>
      <c r="E38" s="220" t="s">
        <v>2846</v>
      </c>
      <c r="F38" s="219" t="s">
        <v>3000</v>
      </c>
      <c r="G38" s="67"/>
      <c r="H38" s="67"/>
      <c r="I38" s="67"/>
      <c r="J38" s="67"/>
      <c r="K38" s="67"/>
      <c r="L38" s="67"/>
      <c r="M38" s="67"/>
      <c r="N38" s="67"/>
      <c r="O38" s="67"/>
      <c r="P38" s="67"/>
      <c r="Q38" s="67"/>
      <c r="R38" s="67"/>
      <c r="S38" s="67"/>
      <c r="T38" s="67"/>
      <c r="U38" s="67"/>
      <c r="V38" s="67"/>
      <c r="W38" s="67"/>
      <c r="X38" s="67"/>
      <c r="Y38" s="67"/>
      <c r="Z38" s="67"/>
    </row>
    <row r="39" spans="1:26" ht="14.25" customHeight="1" x14ac:dyDescent="0.2">
      <c r="A39" s="215" t="s">
        <v>3001</v>
      </c>
      <c r="B39" s="215" t="s">
        <v>3002</v>
      </c>
      <c r="C39" s="216" t="s">
        <v>3003</v>
      </c>
      <c r="D39" s="217" t="s">
        <v>2891</v>
      </c>
      <c r="E39" s="218" t="s">
        <v>2851</v>
      </c>
      <c r="F39" s="223" t="s">
        <v>3004</v>
      </c>
      <c r="G39" s="67"/>
      <c r="H39" s="67"/>
      <c r="I39" s="67"/>
      <c r="J39" s="67"/>
      <c r="K39" s="67"/>
      <c r="L39" s="67"/>
      <c r="M39" s="67"/>
      <c r="N39" s="67"/>
      <c r="O39" s="67"/>
      <c r="P39" s="67"/>
      <c r="Q39" s="67"/>
      <c r="R39" s="67"/>
      <c r="S39" s="67"/>
      <c r="T39" s="67"/>
      <c r="U39" s="67"/>
      <c r="V39" s="67"/>
      <c r="W39" s="67"/>
      <c r="X39" s="67"/>
      <c r="Y39" s="67"/>
      <c r="Z39" s="67"/>
    </row>
    <row r="40" spans="1:26" ht="17.25" customHeight="1" x14ac:dyDescent="0.25">
      <c r="A40" s="215" t="s">
        <v>3001</v>
      </c>
      <c r="B40" s="215" t="s">
        <v>3005</v>
      </c>
      <c r="C40" s="221" t="s">
        <v>3006</v>
      </c>
      <c r="D40" s="217" t="s">
        <v>3007</v>
      </c>
      <c r="E40" s="218" t="s">
        <v>3008</v>
      </c>
      <c r="F40" s="210" t="s">
        <v>3009</v>
      </c>
      <c r="G40" s="67"/>
      <c r="H40" s="67"/>
      <c r="I40" s="67"/>
      <c r="J40" s="67"/>
      <c r="K40" s="67"/>
      <c r="L40" s="67"/>
      <c r="M40" s="67"/>
      <c r="N40" s="67"/>
      <c r="O40" s="67"/>
      <c r="P40" s="67"/>
      <c r="Q40" s="67"/>
      <c r="R40" s="67"/>
      <c r="S40" s="67"/>
      <c r="T40" s="67"/>
      <c r="U40" s="67"/>
      <c r="V40" s="67"/>
      <c r="W40" s="67"/>
      <c r="X40" s="67"/>
      <c r="Y40" s="67"/>
      <c r="Z40" s="67"/>
    </row>
    <row r="41" spans="1:26" ht="14.25" customHeight="1" x14ac:dyDescent="0.2">
      <c r="A41" s="43" t="s">
        <v>3010</v>
      </c>
      <c r="B41" s="43" t="s">
        <v>3011</v>
      </c>
      <c r="C41" s="228" t="s">
        <v>3012</v>
      </c>
      <c r="D41" s="43" t="s">
        <v>2891</v>
      </c>
      <c r="E41" s="196" t="s">
        <v>2851</v>
      </c>
      <c r="F41" s="210" t="s">
        <v>3013</v>
      </c>
      <c r="G41" s="67"/>
      <c r="H41" s="67"/>
      <c r="I41" s="67"/>
      <c r="J41" s="67"/>
      <c r="K41" s="67"/>
      <c r="L41" s="67"/>
      <c r="M41" s="67"/>
      <c r="N41" s="67"/>
      <c r="O41" s="67"/>
      <c r="P41" s="67"/>
      <c r="Q41" s="67"/>
      <c r="R41" s="67"/>
      <c r="S41" s="67"/>
      <c r="T41" s="67"/>
      <c r="U41" s="67"/>
      <c r="V41" s="67"/>
      <c r="W41" s="67"/>
      <c r="X41" s="67"/>
      <c r="Y41" s="67"/>
      <c r="Z41" s="67"/>
    </row>
    <row r="42" spans="1:26" ht="17.25" customHeight="1" x14ac:dyDescent="0.2">
      <c r="A42" s="215" t="s">
        <v>499</v>
      </c>
      <c r="B42" s="215" t="s">
        <v>2974</v>
      </c>
      <c r="C42" s="216" t="s">
        <v>3014</v>
      </c>
      <c r="D42" s="217" t="s">
        <v>2834</v>
      </c>
      <c r="E42" s="218" t="s">
        <v>3015</v>
      </c>
      <c r="F42" s="219" t="s">
        <v>3016</v>
      </c>
      <c r="G42" s="67"/>
      <c r="H42" s="67"/>
      <c r="I42" s="67"/>
      <c r="J42" s="67"/>
      <c r="K42" s="67"/>
      <c r="L42" s="67"/>
      <c r="M42" s="67"/>
      <c r="N42" s="67"/>
      <c r="O42" s="67"/>
      <c r="P42" s="67"/>
      <c r="Q42" s="67"/>
      <c r="R42" s="67"/>
      <c r="S42" s="67"/>
      <c r="T42" s="67"/>
      <c r="U42" s="67"/>
      <c r="V42" s="67"/>
      <c r="W42" s="67"/>
      <c r="X42" s="67"/>
      <c r="Y42" s="67"/>
      <c r="Z42" s="67"/>
    </row>
    <row r="43" spans="1:26" ht="14.25" customHeight="1" x14ac:dyDescent="0.2">
      <c r="A43" s="215" t="s">
        <v>3017</v>
      </c>
      <c r="B43" s="215" t="s">
        <v>3018</v>
      </c>
      <c r="C43" s="216" t="s">
        <v>3019</v>
      </c>
      <c r="D43" s="217" t="s">
        <v>2917</v>
      </c>
      <c r="E43" s="218" t="s">
        <v>3020</v>
      </c>
      <c r="F43" s="229" t="s">
        <v>3021</v>
      </c>
      <c r="G43" s="67"/>
      <c r="H43" s="67"/>
      <c r="I43" s="67"/>
      <c r="J43" s="67"/>
      <c r="K43" s="67"/>
      <c r="L43" s="67"/>
      <c r="M43" s="67"/>
      <c r="N43" s="67"/>
      <c r="O43" s="67"/>
      <c r="P43" s="67"/>
      <c r="Q43" s="67"/>
      <c r="R43" s="67"/>
      <c r="S43" s="67"/>
      <c r="T43" s="67"/>
      <c r="U43" s="67"/>
      <c r="V43" s="67"/>
      <c r="W43" s="67"/>
      <c r="X43" s="67"/>
      <c r="Y43" s="67"/>
      <c r="Z43" s="67"/>
    </row>
    <row r="44" spans="1:26" ht="14.25" customHeight="1" x14ac:dyDescent="0.2">
      <c r="A44" s="215" t="s">
        <v>3022</v>
      </c>
      <c r="B44" s="215" t="s">
        <v>3023</v>
      </c>
      <c r="C44" s="230" t="s">
        <v>3024</v>
      </c>
      <c r="D44" s="217" t="s">
        <v>3025</v>
      </c>
      <c r="E44" s="231" t="s">
        <v>3026</v>
      </c>
      <c r="F44" s="229" t="s">
        <v>3027</v>
      </c>
      <c r="G44" s="67"/>
      <c r="H44" s="67"/>
      <c r="I44" s="67"/>
      <c r="J44" s="67"/>
      <c r="K44" s="67"/>
      <c r="L44" s="67"/>
      <c r="M44" s="67"/>
      <c r="N44" s="67"/>
      <c r="O44" s="67"/>
      <c r="P44" s="67"/>
      <c r="Q44" s="67"/>
      <c r="R44" s="67"/>
      <c r="S44" s="67"/>
      <c r="T44" s="67"/>
      <c r="U44" s="67"/>
      <c r="V44" s="67"/>
      <c r="W44" s="67"/>
      <c r="X44" s="67"/>
      <c r="Y44" s="67"/>
      <c r="Z44" s="67"/>
    </row>
    <row r="45" spans="1:26" ht="14.25" customHeight="1" x14ac:dyDescent="0.2">
      <c r="A45" s="215" t="s">
        <v>3028</v>
      </c>
      <c r="B45" s="215" t="s">
        <v>3029</v>
      </c>
      <c r="C45" s="216" t="s">
        <v>3030</v>
      </c>
      <c r="D45" s="217" t="s">
        <v>2891</v>
      </c>
      <c r="E45" s="231" t="s">
        <v>3031</v>
      </c>
      <c r="F45" s="219" t="s">
        <v>3032</v>
      </c>
      <c r="G45" s="67"/>
      <c r="H45" s="67"/>
      <c r="I45" s="67"/>
      <c r="J45" s="67"/>
      <c r="K45" s="67"/>
      <c r="L45" s="67"/>
      <c r="M45" s="67"/>
      <c r="N45" s="67"/>
      <c r="O45" s="67"/>
      <c r="P45" s="67"/>
      <c r="Q45" s="67"/>
      <c r="R45" s="67"/>
      <c r="S45" s="67"/>
      <c r="T45" s="67"/>
      <c r="U45" s="67"/>
      <c r="V45" s="67"/>
      <c r="W45" s="67"/>
      <c r="X45" s="67"/>
      <c r="Y45" s="67"/>
      <c r="Z45" s="67"/>
    </row>
    <row r="46" spans="1:26" ht="14.25" customHeight="1" x14ac:dyDescent="0.2">
      <c r="A46" s="215" t="s">
        <v>3033</v>
      </c>
      <c r="B46" s="215" t="s">
        <v>3034</v>
      </c>
      <c r="C46" s="216" t="s">
        <v>3035</v>
      </c>
      <c r="D46" s="220" t="s">
        <v>2845</v>
      </c>
      <c r="E46" s="220" t="s">
        <v>3036</v>
      </c>
      <c r="F46" s="219" t="s">
        <v>3037</v>
      </c>
      <c r="G46" s="67"/>
      <c r="H46" s="67"/>
      <c r="I46" s="67"/>
      <c r="J46" s="67"/>
      <c r="K46" s="67"/>
      <c r="L46" s="67"/>
      <c r="M46" s="67"/>
      <c r="N46" s="67"/>
      <c r="O46" s="67"/>
      <c r="P46" s="67"/>
      <c r="Q46" s="67"/>
      <c r="R46" s="67"/>
      <c r="S46" s="67"/>
      <c r="T46" s="67"/>
      <c r="U46" s="67"/>
      <c r="V46" s="67"/>
      <c r="W46" s="67"/>
      <c r="X46" s="67"/>
      <c r="Y46" s="67"/>
      <c r="Z46" s="67"/>
    </row>
    <row r="47" spans="1:26" ht="14.25" customHeight="1" x14ac:dyDescent="0.2">
      <c r="A47" s="215" t="s">
        <v>3038</v>
      </c>
      <c r="B47" s="215" t="s">
        <v>3039</v>
      </c>
      <c r="C47" s="216" t="s">
        <v>3040</v>
      </c>
      <c r="D47" s="218" t="s">
        <v>2825</v>
      </c>
      <c r="E47" s="218" t="s">
        <v>3041</v>
      </c>
      <c r="F47" s="219" t="s">
        <v>3042</v>
      </c>
      <c r="G47" s="67"/>
      <c r="H47" s="67"/>
      <c r="I47" s="67"/>
      <c r="J47" s="67"/>
      <c r="K47" s="67"/>
      <c r="L47" s="67"/>
      <c r="M47" s="67"/>
      <c r="N47" s="67"/>
      <c r="O47" s="67"/>
      <c r="P47" s="67"/>
      <c r="Q47" s="67"/>
      <c r="R47" s="67"/>
      <c r="S47" s="67"/>
      <c r="T47" s="67"/>
      <c r="U47" s="67"/>
      <c r="V47" s="67"/>
      <c r="W47" s="67"/>
      <c r="X47" s="67"/>
      <c r="Y47" s="67"/>
      <c r="Z47" s="67"/>
    </row>
    <row r="48" spans="1:26" ht="14.25" customHeight="1" x14ac:dyDescent="0.2">
      <c r="A48" s="215" t="s">
        <v>3043</v>
      </c>
      <c r="B48" s="215" t="s">
        <v>3044</v>
      </c>
      <c r="C48" s="216" t="s">
        <v>3045</v>
      </c>
      <c r="D48" s="215" t="s">
        <v>2855</v>
      </c>
      <c r="E48" s="232" t="s">
        <v>3046</v>
      </c>
      <c r="F48" s="219" t="s">
        <v>3047</v>
      </c>
      <c r="G48" s="67"/>
      <c r="H48" s="67"/>
      <c r="I48" s="67"/>
      <c r="J48" s="67"/>
      <c r="K48" s="67"/>
      <c r="L48" s="67"/>
      <c r="M48" s="67"/>
      <c r="N48" s="67"/>
      <c r="O48" s="67"/>
      <c r="P48" s="67"/>
      <c r="Q48" s="67"/>
      <c r="R48" s="67"/>
      <c r="S48" s="67"/>
      <c r="T48" s="67"/>
      <c r="U48" s="67"/>
      <c r="V48" s="67"/>
      <c r="W48" s="67"/>
      <c r="X48" s="67"/>
      <c r="Y48" s="67"/>
      <c r="Z48" s="67"/>
    </row>
    <row r="49" spans="1:26" ht="14.25" customHeight="1" x14ac:dyDescent="0.2">
      <c r="A49" s="22" t="s">
        <v>3043</v>
      </c>
      <c r="B49" s="22" t="s">
        <v>3048</v>
      </c>
      <c r="C49" s="216" t="s">
        <v>3049</v>
      </c>
      <c r="D49" s="22" t="s">
        <v>2917</v>
      </c>
      <c r="E49" s="194" t="s">
        <v>3050</v>
      </c>
      <c r="F49" s="229" t="s">
        <v>3051</v>
      </c>
      <c r="G49" s="67"/>
      <c r="H49" s="67"/>
      <c r="I49" s="67"/>
      <c r="J49" s="67"/>
      <c r="K49" s="67"/>
      <c r="L49" s="67"/>
      <c r="M49" s="67"/>
      <c r="N49" s="67"/>
      <c r="O49" s="67"/>
      <c r="P49" s="67"/>
      <c r="Q49" s="67"/>
      <c r="R49" s="67"/>
      <c r="S49" s="67"/>
      <c r="T49" s="67"/>
      <c r="U49" s="67"/>
      <c r="V49" s="67"/>
      <c r="W49" s="67"/>
      <c r="X49" s="67"/>
      <c r="Y49" s="67"/>
      <c r="Z49" s="67"/>
    </row>
    <row r="50" spans="1:26" ht="14.25" customHeight="1" x14ac:dyDescent="0.2">
      <c r="A50" s="215" t="s">
        <v>3052</v>
      </c>
      <c r="B50" s="215" t="s">
        <v>3053</v>
      </c>
      <c r="C50" s="216">
        <v>546544688</v>
      </c>
      <c r="D50" s="215" t="s">
        <v>2891</v>
      </c>
      <c r="E50" s="220" t="s">
        <v>3054</v>
      </c>
      <c r="F50" s="219" t="s">
        <v>3055</v>
      </c>
      <c r="G50" s="67"/>
      <c r="H50" s="67"/>
      <c r="I50" s="67"/>
      <c r="J50" s="67"/>
      <c r="K50" s="67"/>
      <c r="L50" s="67"/>
      <c r="M50" s="67"/>
      <c r="N50" s="67"/>
      <c r="O50" s="67"/>
      <c r="P50" s="67"/>
      <c r="Q50" s="67"/>
      <c r="R50" s="67"/>
      <c r="S50" s="67"/>
      <c r="T50" s="67"/>
      <c r="U50" s="67"/>
      <c r="V50" s="67"/>
      <c r="W50" s="67"/>
      <c r="X50" s="67"/>
      <c r="Y50" s="67"/>
      <c r="Z50" s="67"/>
    </row>
    <row r="51" spans="1:26" ht="14.25" customHeight="1" x14ac:dyDescent="0.2">
      <c r="A51" s="215" t="s">
        <v>3056</v>
      </c>
      <c r="B51" s="215" t="s">
        <v>3057</v>
      </c>
      <c r="C51" s="216" t="s">
        <v>3058</v>
      </c>
      <c r="D51" s="215" t="s">
        <v>2891</v>
      </c>
      <c r="E51" s="220" t="s">
        <v>3059</v>
      </c>
      <c r="F51" s="219" t="s">
        <v>3060</v>
      </c>
      <c r="G51" s="67"/>
      <c r="H51" s="67"/>
      <c r="I51" s="67"/>
      <c r="J51" s="67"/>
      <c r="K51" s="67"/>
      <c r="L51" s="67"/>
      <c r="M51" s="67"/>
      <c r="N51" s="67"/>
      <c r="O51" s="67"/>
      <c r="P51" s="67"/>
      <c r="Q51" s="67"/>
      <c r="R51" s="67"/>
      <c r="S51" s="67"/>
      <c r="T51" s="67"/>
      <c r="U51" s="67"/>
      <c r="V51" s="67"/>
      <c r="W51" s="67"/>
      <c r="X51" s="67"/>
      <c r="Y51" s="67"/>
      <c r="Z51" s="67"/>
    </row>
    <row r="52" spans="1:26" ht="14.25" customHeight="1" x14ac:dyDescent="0.2">
      <c r="A52" s="43" t="s">
        <v>3061</v>
      </c>
      <c r="B52" s="43" t="s">
        <v>3062</v>
      </c>
      <c r="C52" s="228" t="s">
        <v>3063</v>
      </c>
      <c r="D52" s="43" t="s">
        <v>3064</v>
      </c>
      <c r="E52" s="196" t="s">
        <v>3065</v>
      </c>
      <c r="F52" s="210" t="s">
        <v>3066</v>
      </c>
      <c r="G52" s="67"/>
      <c r="H52" s="67"/>
      <c r="I52" s="67"/>
      <c r="J52" s="67"/>
      <c r="K52" s="67"/>
      <c r="L52" s="67"/>
      <c r="M52" s="67"/>
      <c r="N52" s="67"/>
      <c r="O52" s="67"/>
      <c r="P52" s="67"/>
      <c r="Q52" s="67"/>
      <c r="R52" s="67"/>
      <c r="S52" s="67"/>
      <c r="T52" s="67"/>
      <c r="U52" s="67"/>
      <c r="V52" s="67"/>
      <c r="W52" s="67"/>
      <c r="X52" s="67"/>
      <c r="Y52" s="67"/>
      <c r="Z52" s="67"/>
    </row>
    <row r="53" spans="1:26" ht="14.25" customHeight="1" x14ac:dyDescent="0.2">
      <c r="A53" s="215" t="s">
        <v>3067</v>
      </c>
      <c r="B53" s="215" t="s">
        <v>3068</v>
      </c>
      <c r="C53" s="216" t="s">
        <v>3069</v>
      </c>
      <c r="D53" s="215" t="s">
        <v>2845</v>
      </c>
      <c r="E53" s="220" t="s">
        <v>2932</v>
      </c>
      <c r="F53" s="219" t="s">
        <v>3070</v>
      </c>
      <c r="G53" s="67"/>
      <c r="H53" s="67"/>
      <c r="I53" s="67"/>
      <c r="J53" s="67"/>
      <c r="K53" s="67"/>
      <c r="L53" s="67"/>
      <c r="M53" s="67"/>
      <c r="N53" s="67"/>
      <c r="O53" s="67"/>
      <c r="P53" s="67"/>
      <c r="Q53" s="67"/>
      <c r="R53" s="67"/>
      <c r="S53" s="67"/>
      <c r="T53" s="67"/>
      <c r="U53" s="67"/>
      <c r="V53" s="67"/>
      <c r="W53" s="67"/>
      <c r="X53" s="67"/>
      <c r="Y53" s="67"/>
      <c r="Z53" s="67"/>
    </row>
    <row r="54" spans="1:26" ht="14.25" customHeight="1" x14ac:dyDescent="0.2">
      <c r="A54" s="215" t="s">
        <v>3071</v>
      </c>
      <c r="B54" s="215" t="s">
        <v>3072</v>
      </c>
      <c r="C54" s="216" t="s">
        <v>3073</v>
      </c>
      <c r="D54" s="217" t="s">
        <v>2834</v>
      </c>
      <c r="E54" s="218" t="s">
        <v>2835</v>
      </c>
      <c r="F54" s="219" t="s">
        <v>3074</v>
      </c>
      <c r="G54" s="67"/>
      <c r="H54" s="67"/>
      <c r="I54" s="67"/>
      <c r="J54" s="67"/>
      <c r="K54" s="67"/>
      <c r="L54" s="67"/>
      <c r="M54" s="67"/>
      <c r="N54" s="67"/>
      <c r="O54" s="67"/>
      <c r="P54" s="67"/>
      <c r="Q54" s="67"/>
      <c r="R54" s="67"/>
      <c r="S54" s="67"/>
      <c r="T54" s="67"/>
      <c r="U54" s="67"/>
      <c r="V54" s="67"/>
      <c r="W54" s="67"/>
      <c r="X54" s="67"/>
      <c r="Y54" s="67"/>
      <c r="Z54" s="67"/>
    </row>
    <row r="55" spans="1:26" ht="14.25" customHeight="1" x14ac:dyDescent="0.2">
      <c r="A55" s="215" t="s">
        <v>3075</v>
      </c>
      <c r="B55" s="215" t="s">
        <v>3076</v>
      </c>
      <c r="C55" s="216" t="s">
        <v>3077</v>
      </c>
      <c r="D55" s="215" t="s">
        <v>2825</v>
      </c>
      <c r="E55" s="220" t="s">
        <v>2991</v>
      </c>
      <c r="F55" s="229" t="s">
        <v>3078</v>
      </c>
      <c r="G55" s="67"/>
      <c r="H55" s="67"/>
      <c r="I55" s="67"/>
      <c r="J55" s="67"/>
      <c r="K55" s="67"/>
      <c r="L55" s="67"/>
      <c r="M55" s="67"/>
      <c r="N55" s="67"/>
      <c r="O55" s="67"/>
      <c r="P55" s="67"/>
      <c r="Q55" s="67"/>
      <c r="R55" s="67"/>
      <c r="S55" s="67"/>
      <c r="T55" s="67"/>
      <c r="U55" s="67"/>
      <c r="V55" s="67"/>
      <c r="W55" s="67"/>
      <c r="X55" s="67"/>
      <c r="Y55" s="67"/>
      <c r="Z55" s="67"/>
    </row>
    <row r="56" spans="1:26" ht="14.25" customHeight="1" x14ac:dyDescent="0.2">
      <c r="A56" s="215" t="s">
        <v>3079</v>
      </c>
      <c r="B56" s="215" t="s">
        <v>3080</v>
      </c>
      <c r="C56" s="216" t="s">
        <v>3081</v>
      </c>
      <c r="D56" s="215" t="s">
        <v>2825</v>
      </c>
      <c r="E56" s="220" t="s">
        <v>2875</v>
      </c>
      <c r="F56" s="219" t="s">
        <v>3082</v>
      </c>
      <c r="G56" s="67"/>
      <c r="H56" s="67"/>
      <c r="I56" s="67"/>
      <c r="J56" s="67"/>
      <c r="K56" s="67"/>
      <c r="L56" s="67"/>
      <c r="M56" s="67"/>
      <c r="N56" s="67"/>
      <c r="O56" s="67"/>
      <c r="P56" s="67"/>
      <c r="Q56" s="67"/>
      <c r="R56" s="67"/>
      <c r="S56" s="67"/>
      <c r="T56" s="67"/>
      <c r="U56" s="67"/>
      <c r="V56" s="67"/>
      <c r="W56" s="67"/>
      <c r="X56" s="67"/>
      <c r="Y56" s="67"/>
      <c r="Z56" s="67"/>
    </row>
    <row r="57" spans="1:26" ht="14.25" customHeight="1" x14ac:dyDescent="0.2">
      <c r="A57" s="215" t="s">
        <v>3083</v>
      </c>
      <c r="B57" s="215" t="s">
        <v>3084</v>
      </c>
      <c r="C57" s="216" t="s">
        <v>3085</v>
      </c>
      <c r="D57" s="215" t="s">
        <v>2855</v>
      </c>
      <c r="E57" s="220" t="s">
        <v>2995</v>
      </c>
      <c r="F57" s="219" t="s">
        <v>3086</v>
      </c>
      <c r="G57" s="67"/>
      <c r="H57" s="67"/>
      <c r="I57" s="67"/>
      <c r="J57" s="67"/>
      <c r="K57" s="67"/>
      <c r="L57" s="67"/>
      <c r="M57" s="67"/>
      <c r="N57" s="67"/>
      <c r="O57" s="67"/>
      <c r="P57" s="67"/>
      <c r="Q57" s="67"/>
      <c r="R57" s="67"/>
      <c r="S57" s="67"/>
      <c r="T57" s="67"/>
      <c r="U57" s="67"/>
      <c r="V57" s="67"/>
      <c r="W57" s="67"/>
      <c r="X57" s="67"/>
      <c r="Y57" s="67"/>
      <c r="Z57" s="67"/>
    </row>
    <row r="58" spans="1:26" ht="14.25" customHeight="1" x14ac:dyDescent="0.2">
      <c r="A58" s="215" t="s">
        <v>3087</v>
      </c>
      <c r="B58" s="215" t="s">
        <v>3088</v>
      </c>
      <c r="C58" s="216" t="s">
        <v>3089</v>
      </c>
      <c r="D58" s="215" t="s">
        <v>2891</v>
      </c>
      <c r="E58" s="220" t="s">
        <v>3090</v>
      </c>
      <c r="F58" s="219" t="s">
        <v>3091</v>
      </c>
      <c r="G58" s="67"/>
      <c r="H58" s="67"/>
      <c r="I58" s="67"/>
      <c r="J58" s="67"/>
      <c r="K58" s="67"/>
      <c r="L58" s="67"/>
      <c r="M58" s="67"/>
      <c r="N58" s="67"/>
      <c r="O58" s="67"/>
      <c r="P58" s="67"/>
      <c r="Q58" s="67"/>
      <c r="R58" s="67"/>
      <c r="S58" s="67"/>
      <c r="T58" s="67"/>
      <c r="U58" s="67"/>
      <c r="V58" s="67"/>
      <c r="W58" s="67"/>
      <c r="X58" s="67"/>
      <c r="Y58" s="67"/>
      <c r="Z58" s="67"/>
    </row>
    <row r="59" spans="1:26" ht="14.25" customHeight="1" x14ac:dyDescent="0.2">
      <c r="A59" s="43" t="s">
        <v>3092</v>
      </c>
      <c r="B59" s="43" t="s">
        <v>3093</v>
      </c>
      <c r="C59" s="43">
        <v>526883130</v>
      </c>
      <c r="D59" s="43" t="s">
        <v>3094</v>
      </c>
      <c r="E59" s="196" t="s">
        <v>3095</v>
      </c>
      <c r="F59" s="43" t="s">
        <v>3096</v>
      </c>
      <c r="G59" s="67"/>
      <c r="H59" s="67"/>
      <c r="I59" s="67"/>
      <c r="J59" s="67"/>
      <c r="K59" s="67"/>
      <c r="L59" s="67"/>
      <c r="M59" s="67"/>
      <c r="N59" s="67"/>
      <c r="O59" s="67"/>
      <c r="P59" s="67"/>
      <c r="Q59" s="67"/>
      <c r="R59" s="67"/>
      <c r="S59" s="67"/>
      <c r="T59" s="67"/>
      <c r="U59" s="67"/>
      <c r="V59" s="67"/>
      <c r="W59" s="67"/>
      <c r="X59" s="67"/>
      <c r="Y59" s="67"/>
      <c r="Z59" s="67"/>
    </row>
    <row r="60" spans="1:26" ht="14.25" customHeight="1" x14ac:dyDescent="0.2">
      <c r="A60" s="215" t="s">
        <v>1244</v>
      </c>
      <c r="B60" s="215" t="s">
        <v>3097</v>
      </c>
      <c r="C60" s="216" t="s">
        <v>3098</v>
      </c>
      <c r="D60" s="217" t="s">
        <v>2855</v>
      </c>
      <c r="E60" s="218" t="s">
        <v>3099</v>
      </c>
      <c r="F60" s="219" t="s">
        <v>3100</v>
      </c>
      <c r="G60" s="67"/>
      <c r="H60" s="67"/>
      <c r="I60" s="67"/>
      <c r="J60" s="67"/>
      <c r="K60" s="67"/>
      <c r="L60" s="67"/>
      <c r="M60" s="67"/>
      <c r="N60" s="67"/>
      <c r="O60" s="67"/>
      <c r="P60" s="67"/>
      <c r="Q60" s="67"/>
      <c r="R60" s="67"/>
      <c r="S60" s="67"/>
      <c r="T60" s="67"/>
      <c r="U60" s="67"/>
      <c r="V60" s="67"/>
      <c r="W60" s="67"/>
      <c r="X60" s="67"/>
      <c r="Y60" s="67"/>
      <c r="Z60" s="67"/>
    </row>
    <row r="61" spans="1:26" ht="14.25" customHeight="1" x14ac:dyDescent="0.2">
      <c r="A61" s="22" t="s">
        <v>3101</v>
      </c>
      <c r="B61" s="22" t="s">
        <v>3102</v>
      </c>
      <c r="C61" s="216" t="s">
        <v>3103</v>
      </c>
      <c r="D61" s="22" t="s">
        <v>2845</v>
      </c>
      <c r="E61" s="194" t="s">
        <v>3104</v>
      </c>
      <c r="F61" s="229" t="s">
        <v>3105</v>
      </c>
      <c r="G61" s="67"/>
      <c r="H61" s="67"/>
      <c r="I61" s="67"/>
      <c r="J61" s="67"/>
      <c r="K61" s="67"/>
      <c r="L61" s="67"/>
      <c r="M61" s="67"/>
      <c r="N61" s="67"/>
      <c r="O61" s="67"/>
      <c r="P61" s="67"/>
      <c r="Q61" s="67"/>
      <c r="R61" s="67"/>
      <c r="S61" s="67"/>
      <c r="T61" s="67"/>
      <c r="U61" s="67"/>
      <c r="V61" s="67"/>
      <c r="W61" s="67"/>
      <c r="X61" s="67"/>
      <c r="Y61" s="67"/>
      <c r="Z61" s="67"/>
    </row>
    <row r="62" spans="1:26" ht="14.25" customHeight="1" x14ac:dyDescent="0.25">
      <c r="A62" s="215" t="s">
        <v>3106</v>
      </c>
      <c r="B62" s="215" t="s">
        <v>3107</v>
      </c>
      <c r="C62" s="221" t="s">
        <v>3108</v>
      </c>
      <c r="D62" s="217" t="s">
        <v>2917</v>
      </c>
      <c r="E62" s="196" t="s">
        <v>3109</v>
      </c>
      <c r="F62" s="210" t="s">
        <v>3110</v>
      </c>
      <c r="G62" s="67"/>
      <c r="H62" s="67"/>
      <c r="I62" s="67"/>
      <c r="J62" s="67"/>
      <c r="K62" s="67"/>
      <c r="L62" s="67"/>
      <c r="M62" s="67"/>
      <c r="N62" s="67"/>
      <c r="O62" s="67"/>
      <c r="P62" s="67"/>
      <c r="Q62" s="67"/>
      <c r="R62" s="67"/>
      <c r="S62" s="67"/>
      <c r="T62" s="67"/>
      <c r="U62" s="67"/>
      <c r="V62" s="67"/>
      <c r="W62" s="67"/>
      <c r="X62" s="67"/>
      <c r="Y62" s="67"/>
      <c r="Z62" s="67"/>
    </row>
    <row r="63" spans="1:26" ht="14.25" customHeight="1" x14ac:dyDescent="0.2">
      <c r="A63" s="43" t="s">
        <v>3111</v>
      </c>
      <c r="B63" s="43" t="s">
        <v>3112</v>
      </c>
      <c r="C63" s="209" t="s">
        <v>3103</v>
      </c>
      <c r="D63" s="43"/>
      <c r="E63" s="196" t="s">
        <v>3104</v>
      </c>
      <c r="F63" s="210" t="s">
        <v>3105</v>
      </c>
      <c r="G63" s="67"/>
      <c r="H63" s="67"/>
      <c r="I63" s="67"/>
      <c r="J63" s="67"/>
      <c r="K63" s="67"/>
      <c r="L63" s="67"/>
      <c r="M63" s="67"/>
      <c r="N63" s="67"/>
      <c r="O63" s="67"/>
      <c r="P63" s="67"/>
      <c r="Q63" s="67"/>
      <c r="R63" s="67"/>
      <c r="S63" s="67"/>
      <c r="T63" s="67"/>
      <c r="U63" s="67"/>
      <c r="V63" s="67"/>
      <c r="W63" s="67"/>
      <c r="X63" s="67"/>
      <c r="Y63" s="67"/>
      <c r="Z63" s="67"/>
    </row>
    <row r="64" spans="1:26" ht="14.25" customHeight="1" x14ac:dyDescent="0.2">
      <c r="A64" s="215" t="s">
        <v>3113</v>
      </c>
      <c r="B64" s="215" t="s">
        <v>3114</v>
      </c>
      <c r="C64" s="216" t="s">
        <v>3115</v>
      </c>
      <c r="D64" s="215" t="s">
        <v>2891</v>
      </c>
      <c r="E64" s="220" t="s">
        <v>3054</v>
      </c>
      <c r="F64" s="219" t="s">
        <v>3116</v>
      </c>
      <c r="G64" s="67"/>
      <c r="H64" s="67"/>
      <c r="I64" s="67"/>
      <c r="J64" s="67"/>
      <c r="K64" s="67"/>
      <c r="L64" s="67"/>
      <c r="M64" s="67"/>
      <c r="N64" s="67"/>
      <c r="O64" s="67"/>
      <c r="P64" s="67"/>
      <c r="Q64" s="67"/>
      <c r="R64" s="67"/>
      <c r="S64" s="67"/>
      <c r="T64" s="67"/>
      <c r="U64" s="67"/>
      <c r="V64" s="67"/>
      <c r="W64" s="67"/>
      <c r="X64" s="67"/>
      <c r="Y64" s="67"/>
      <c r="Z64" s="67"/>
    </row>
    <row r="65" spans="1:26" ht="14.25" customHeight="1" x14ac:dyDescent="0.2">
      <c r="A65" s="215" t="s">
        <v>3113</v>
      </c>
      <c r="B65" s="215" t="s">
        <v>3117</v>
      </c>
      <c r="C65" s="216" t="s">
        <v>3118</v>
      </c>
      <c r="D65" s="215" t="s">
        <v>2845</v>
      </c>
      <c r="E65" s="220" t="s">
        <v>3119</v>
      </c>
      <c r="F65" s="43" t="s">
        <v>3120</v>
      </c>
      <c r="G65" s="67"/>
      <c r="H65" s="67"/>
      <c r="I65" s="67"/>
      <c r="J65" s="67"/>
      <c r="K65" s="67"/>
      <c r="L65" s="67"/>
      <c r="M65" s="67"/>
      <c r="N65" s="67"/>
      <c r="O65" s="67"/>
      <c r="P65" s="67"/>
      <c r="Q65" s="67"/>
      <c r="R65" s="67"/>
      <c r="S65" s="67"/>
      <c r="T65" s="67"/>
      <c r="U65" s="67"/>
      <c r="V65" s="67"/>
      <c r="W65" s="67"/>
      <c r="X65" s="67"/>
      <c r="Y65" s="67"/>
      <c r="Z65" s="67"/>
    </row>
    <row r="66" spans="1:26" ht="14.25" customHeight="1" x14ac:dyDescent="0.2">
      <c r="A66" s="215" t="s">
        <v>3121</v>
      </c>
      <c r="B66" s="215" t="s">
        <v>2949</v>
      </c>
      <c r="C66" s="216" t="s">
        <v>3122</v>
      </c>
      <c r="D66" s="217" t="s">
        <v>2891</v>
      </c>
      <c r="E66" s="218" t="s">
        <v>2851</v>
      </c>
      <c r="F66" s="223" t="s">
        <v>3123</v>
      </c>
      <c r="G66" s="67"/>
      <c r="H66" s="67"/>
      <c r="I66" s="67"/>
      <c r="J66" s="67"/>
      <c r="K66" s="67"/>
      <c r="L66" s="67"/>
      <c r="M66" s="67"/>
      <c r="N66" s="67"/>
      <c r="O66" s="67"/>
      <c r="P66" s="67"/>
      <c r="Q66" s="67"/>
      <c r="R66" s="67"/>
      <c r="S66" s="67"/>
      <c r="T66" s="67"/>
      <c r="U66" s="67"/>
      <c r="V66" s="67"/>
      <c r="W66" s="67"/>
      <c r="X66" s="67"/>
      <c r="Y66" s="67"/>
      <c r="Z66" s="67"/>
    </row>
    <row r="67" spans="1:26" ht="14.25" customHeight="1" x14ac:dyDescent="0.2">
      <c r="A67" s="215" t="s">
        <v>3124</v>
      </c>
      <c r="B67" s="215" t="s">
        <v>3125</v>
      </c>
      <c r="C67" s="233">
        <v>528113614</v>
      </c>
      <c r="D67" s="217" t="s">
        <v>2834</v>
      </c>
      <c r="E67" s="218" t="s">
        <v>3126</v>
      </c>
      <c r="F67" s="223" t="s">
        <v>3127</v>
      </c>
      <c r="G67" s="67"/>
      <c r="H67" s="67"/>
      <c r="I67" s="67"/>
      <c r="J67" s="67"/>
      <c r="K67" s="67"/>
      <c r="L67" s="67"/>
      <c r="M67" s="67"/>
      <c r="N67" s="67"/>
      <c r="O67" s="67"/>
      <c r="P67" s="67"/>
      <c r="Q67" s="67"/>
      <c r="R67" s="67"/>
      <c r="S67" s="67"/>
      <c r="T67" s="67"/>
      <c r="U67" s="67"/>
      <c r="V67" s="67"/>
      <c r="W67" s="67"/>
      <c r="X67" s="67"/>
      <c r="Y67" s="67"/>
      <c r="Z67" s="67"/>
    </row>
    <row r="68" spans="1:26" ht="14.25" customHeight="1" x14ac:dyDescent="0.2">
      <c r="A68" s="43" t="s">
        <v>3121</v>
      </c>
      <c r="B68" s="43" t="s">
        <v>3128</v>
      </c>
      <c r="C68" s="209">
        <v>556655627</v>
      </c>
      <c r="D68" s="43" t="s">
        <v>2917</v>
      </c>
      <c r="E68" s="196" t="s">
        <v>3129</v>
      </c>
      <c r="F68" s="210" t="s">
        <v>3130</v>
      </c>
      <c r="G68" s="67"/>
      <c r="H68" s="67"/>
      <c r="I68" s="67"/>
      <c r="J68" s="67"/>
      <c r="K68" s="67"/>
      <c r="L68" s="67"/>
      <c r="M68" s="67"/>
      <c r="N68" s="67"/>
      <c r="O68" s="67"/>
      <c r="P68" s="67"/>
      <c r="Q68" s="67"/>
      <c r="R68" s="67"/>
      <c r="S68" s="67"/>
      <c r="T68" s="67"/>
      <c r="U68" s="67"/>
      <c r="V68" s="67"/>
      <c r="W68" s="67"/>
      <c r="X68" s="67"/>
      <c r="Y68" s="67"/>
      <c r="Z68" s="67"/>
    </row>
    <row r="69" spans="1:26" ht="14.25" customHeight="1" x14ac:dyDescent="0.2">
      <c r="A69" s="43" t="s">
        <v>3131</v>
      </c>
      <c r="B69" s="43" t="s">
        <v>3132</v>
      </c>
      <c r="C69" s="209">
        <v>522637902</v>
      </c>
      <c r="D69" s="43" t="s">
        <v>1732</v>
      </c>
      <c r="E69" s="196" t="s">
        <v>3133</v>
      </c>
      <c r="F69" s="210" t="s">
        <v>3134</v>
      </c>
      <c r="G69" s="67"/>
      <c r="H69" s="67"/>
      <c r="I69" s="67"/>
      <c r="J69" s="67"/>
      <c r="K69" s="67"/>
      <c r="L69" s="67"/>
      <c r="M69" s="67"/>
      <c r="N69" s="67"/>
      <c r="O69" s="67"/>
      <c r="P69" s="67"/>
      <c r="Q69" s="67"/>
      <c r="R69" s="67"/>
      <c r="S69" s="67"/>
      <c r="T69" s="67"/>
      <c r="U69" s="67"/>
      <c r="V69" s="67"/>
      <c r="W69" s="67"/>
      <c r="X69" s="67"/>
      <c r="Y69" s="67"/>
      <c r="Z69" s="67"/>
    </row>
    <row r="70" spans="1:26" ht="14.25" customHeight="1" x14ac:dyDescent="0.2">
      <c r="A70" s="215" t="s">
        <v>3135</v>
      </c>
      <c r="B70" s="215" t="s">
        <v>3136</v>
      </c>
      <c r="C70" s="216" t="s">
        <v>3137</v>
      </c>
      <c r="D70" s="215" t="s">
        <v>2917</v>
      </c>
      <c r="E70" s="220" t="s">
        <v>3138</v>
      </c>
      <c r="F70" s="219" t="s">
        <v>3139</v>
      </c>
      <c r="G70" s="67"/>
      <c r="H70" s="67"/>
      <c r="I70" s="67"/>
      <c r="J70" s="67"/>
      <c r="K70" s="67"/>
      <c r="L70" s="67"/>
      <c r="M70" s="67"/>
      <c r="N70" s="67"/>
      <c r="O70" s="67"/>
      <c r="P70" s="67"/>
      <c r="Q70" s="67"/>
      <c r="R70" s="67"/>
      <c r="S70" s="67"/>
      <c r="T70" s="67"/>
      <c r="U70" s="67"/>
      <c r="V70" s="67"/>
      <c r="W70" s="67"/>
      <c r="X70" s="67"/>
      <c r="Y70" s="67"/>
      <c r="Z70" s="67"/>
    </row>
    <row r="71" spans="1:26" ht="14.25" customHeight="1" x14ac:dyDescent="0.2">
      <c r="A71" s="215" t="s">
        <v>3135</v>
      </c>
      <c r="B71" s="215" t="s">
        <v>3140</v>
      </c>
      <c r="C71" s="216" t="s">
        <v>3141</v>
      </c>
      <c r="D71" s="215" t="s">
        <v>2825</v>
      </c>
      <c r="E71" s="220" t="s">
        <v>3142</v>
      </c>
      <c r="F71" s="223" t="s">
        <v>3143</v>
      </c>
      <c r="G71" s="67"/>
      <c r="H71" s="67"/>
      <c r="I71" s="67"/>
      <c r="J71" s="67"/>
      <c r="K71" s="67"/>
      <c r="L71" s="67"/>
      <c r="M71" s="67"/>
      <c r="N71" s="67"/>
      <c r="O71" s="67"/>
      <c r="P71" s="67"/>
      <c r="Q71" s="67"/>
      <c r="R71" s="67"/>
      <c r="S71" s="67"/>
      <c r="T71" s="67"/>
      <c r="U71" s="67"/>
      <c r="V71" s="67"/>
      <c r="W71" s="67"/>
      <c r="X71" s="67"/>
      <c r="Y71" s="67"/>
      <c r="Z71" s="67"/>
    </row>
    <row r="72" spans="1:26" ht="14.25" customHeight="1" x14ac:dyDescent="0.2">
      <c r="A72" s="215" t="s">
        <v>3135</v>
      </c>
      <c r="B72" s="215" t="s">
        <v>3144</v>
      </c>
      <c r="C72" s="216" t="s">
        <v>3145</v>
      </c>
      <c r="D72" s="217" t="s">
        <v>2825</v>
      </c>
      <c r="E72" s="218" t="s">
        <v>2851</v>
      </c>
      <c r="F72" s="223" t="s">
        <v>3146</v>
      </c>
      <c r="G72" s="67"/>
      <c r="H72" s="67"/>
      <c r="I72" s="67"/>
      <c r="J72" s="67"/>
      <c r="K72" s="67"/>
      <c r="L72" s="67"/>
      <c r="M72" s="67"/>
      <c r="N72" s="67"/>
      <c r="O72" s="67"/>
      <c r="P72" s="67"/>
      <c r="Q72" s="67"/>
      <c r="R72" s="67"/>
      <c r="S72" s="67"/>
      <c r="T72" s="67"/>
      <c r="U72" s="67"/>
      <c r="V72" s="67"/>
      <c r="W72" s="67"/>
      <c r="X72" s="67"/>
      <c r="Y72" s="67"/>
      <c r="Z72" s="67"/>
    </row>
    <row r="73" spans="1:26" ht="14.25" customHeight="1" x14ac:dyDescent="0.2">
      <c r="A73" s="215" t="s">
        <v>3147</v>
      </c>
      <c r="B73" s="215" t="s">
        <v>3148</v>
      </c>
      <c r="C73" s="216" t="s">
        <v>3149</v>
      </c>
      <c r="D73" s="217" t="s">
        <v>2917</v>
      </c>
      <c r="E73" s="218" t="s">
        <v>3138</v>
      </c>
      <c r="F73" s="43" t="s">
        <v>3150</v>
      </c>
      <c r="G73" s="67"/>
      <c r="H73" s="67"/>
      <c r="I73" s="67"/>
      <c r="J73" s="67"/>
      <c r="K73" s="67"/>
      <c r="L73" s="67"/>
      <c r="M73" s="67"/>
      <c r="N73" s="67"/>
      <c r="O73" s="67"/>
      <c r="P73" s="67"/>
      <c r="Q73" s="67"/>
      <c r="R73" s="67"/>
      <c r="S73" s="67"/>
      <c r="T73" s="67"/>
      <c r="U73" s="67"/>
      <c r="V73" s="67"/>
      <c r="W73" s="67"/>
      <c r="X73" s="67"/>
      <c r="Y73" s="67"/>
      <c r="Z73" s="67"/>
    </row>
    <row r="74" spans="1:26" ht="14.25" customHeight="1" x14ac:dyDescent="0.2">
      <c r="A74" s="43" t="s">
        <v>3151</v>
      </c>
      <c r="B74" s="43" t="s">
        <v>3152</v>
      </c>
      <c r="C74" s="43">
        <v>544335445</v>
      </c>
      <c r="D74" s="43" t="s">
        <v>2825</v>
      </c>
      <c r="E74" s="196" t="s">
        <v>3153</v>
      </c>
      <c r="F74" s="210" t="s">
        <v>3154</v>
      </c>
      <c r="G74" s="67"/>
      <c r="H74" s="67"/>
      <c r="I74" s="67"/>
      <c r="J74" s="67"/>
      <c r="K74" s="67"/>
      <c r="L74" s="67"/>
      <c r="M74" s="67"/>
      <c r="N74" s="67"/>
      <c r="O74" s="67"/>
      <c r="P74" s="67"/>
      <c r="Q74" s="67"/>
      <c r="R74" s="67"/>
      <c r="S74" s="67"/>
      <c r="T74" s="67"/>
      <c r="U74" s="67"/>
      <c r="V74" s="67"/>
      <c r="W74" s="67"/>
      <c r="X74" s="67"/>
      <c r="Y74" s="67"/>
      <c r="Z74" s="67"/>
    </row>
    <row r="75" spans="1:26" ht="14.25" customHeight="1" x14ac:dyDescent="0.2">
      <c r="A75" s="215" t="s">
        <v>3155</v>
      </c>
      <c r="B75" s="215" t="s">
        <v>3156</v>
      </c>
      <c r="C75" s="216" t="s">
        <v>3157</v>
      </c>
      <c r="D75" s="215" t="s">
        <v>2825</v>
      </c>
      <c r="E75" s="220" t="s">
        <v>2991</v>
      </c>
      <c r="F75" s="219" t="s">
        <v>3158</v>
      </c>
      <c r="G75" s="67"/>
      <c r="H75" s="67"/>
      <c r="I75" s="67"/>
      <c r="J75" s="67"/>
      <c r="K75" s="67"/>
      <c r="L75" s="67"/>
      <c r="M75" s="67"/>
      <c r="N75" s="67"/>
      <c r="O75" s="67"/>
      <c r="P75" s="67"/>
      <c r="Q75" s="67"/>
      <c r="R75" s="67"/>
      <c r="S75" s="67"/>
      <c r="T75" s="67"/>
      <c r="U75" s="67"/>
      <c r="V75" s="67"/>
      <c r="W75" s="67"/>
      <c r="X75" s="67"/>
      <c r="Y75" s="67"/>
      <c r="Z75" s="67"/>
    </row>
    <row r="76" spans="1:26" ht="14.25" customHeight="1" x14ac:dyDescent="0.2">
      <c r="A76" s="215" t="s">
        <v>1794</v>
      </c>
      <c r="B76" s="215" t="s">
        <v>3159</v>
      </c>
      <c r="C76" s="216" t="s">
        <v>3160</v>
      </c>
      <c r="D76" s="215" t="s">
        <v>2825</v>
      </c>
      <c r="E76" s="220" t="s">
        <v>3161</v>
      </c>
      <c r="F76" s="219" t="s">
        <v>3162</v>
      </c>
      <c r="G76" s="67"/>
      <c r="H76" s="67"/>
      <c r="I76" s="67"/>
      <c r="J76" s="67"/>
      <c r="K76" s="67"/>
      <c r="L76" s="67"/>
      <c r="M76" s="67"/>
      <c r="N76" s="67"/>
      <c r="O76" s="67"/>
      <c r="P76" s="67"/>
      <c r="Q76" s="67"/>
      <c r="R76" s="67"/>
      <c r="S76" s="67"/>
      <c r="T76" s="67"/>
      <c r="U76" s="67"/>
      <c r="V76" s="67"/>
      <c r="W76" s="67"/>
      <c r="X76" s="67"/>
      <c r="Y76" s="67"/>
      <c r="Z76" s="67"/>
    </row>
    <row r="77" spans="1:26" ht="14.25" customHeight="1" x14ac:dyDescent="0.2">
      <c r="A77" s="43" t="s">
        <v>3163</v>
      </c>
      <c r="B77" s="43" t="s">
        <v>3164</v>
      </c>
      <c r="C77" s="209">
        <v>523240754</v>
      </c>
      <c r="D77" s="43"/>
      <c r="E77" s="196"/>
      <c r="F77" s="210" t="s">
        <v>3165</v>
      </c>
      <c r="G77" s="67"/>
      <c r="H77" s="67"/>
      <c r="I77" s="67"/>
      <c r="J77" s="67"/>
      <c r="K77" s="67"/>
      <c r="L77" s="67"/>
      <c r="M77" s="67"/>
      <c r="N77" s="67"/>
      <c r="O77" s="67"/>
      <c r="P77" s="67"/>
      <c r="Q77" s="67"/>
      <c r="R77" s="67"/>
      <c r="S77" s="67"/>
      <c r="T77" s="67"/>
      <c r="U77" s="67"/>
      <c r="V77" s="67"/>
      <c r="W77" s="67"/>
      <c r="X77" s="67"/>
      <c r="Y77" s="67"/>
      <c r="Z77" s="67"/>
    </row>
    <row r="78" spans="1:26" ht="14.25" customHeight="1" x14ac:dyDescent="0.2">
      <c r="A78" s="215" t="s">
        <v>3166</v>
      </c>
      <c r="B78" s="215" t="s">
        <v>3167</v>
      </c>
      <c r="C78" s="216" t="s">
        <v>3168</v>
      </c>
      <c r="D78" s="215" t="s">
        <v>2917</v>
      </c>
      <c r="E78" s="220" t="s">
        <v>3008</v>
      </c>
      <c r="F78" s="219" t="s">
        <v>3169</v>
      </c>
      <c r="G78" s="67"/>
      <c r="H78" s="67"/>
      <c r="I78" s="67"/>
      <c r="J78" s="67"/>
      <c r="K78" s="67"/>
      <c r="L78" s="67"/>
      <c r="M78" s="67"/>
      <c r="N78" s="67"/>
      <c r="O78" s="67"/>
      <c r="P78" s="67"/>
      <c r="Q78" s="67"/>
      <c r="R78" s="67"/>
      <c r="S78" s="67"/>
      <c r="T78" s="67"/>
      <c r="U78" s="67"/>
      <c r="V78" s="67"/>
      <c r="W78" s="67"/>
      <c r="X78" s="67"/>
      <c r="Y78" s="67"/>
      <c r="Z78" s="67"/>
    </row>
    <row r="79" spans="1:26" ht="14.25" customHeight="1" x14ac:dyDescent="0.2">
      <c r="A79" s="215" t="s">
        <v>3170</v>
      </c>
      <c r="B79" s="215" t="s">
        <v>3171</v>
      </c>
      <c r="C79" s="216" t="s">
        <v>3172</v>
      </c>
      <c r="D79" s="217" t="s">
        <v>2891</v>
      </c>
      <c r="E79" s="218" t="s">
        <v>3173</v>
      </c>
      <c r="F79" s="219" t="s">
        <v>3174</v>
      </c>
      <c r="G79" s="67"/>
      <c r="H79" s="67"/>
      <c r="I79" s="67"/>
      <c r="J79" s="67"/>
      <c r="K79" s="67"/>
      <c r="L79" s="67"/>
      <c r="M79" s="67"/>
      <c r="N79" s="67"/>
      <c r="O79" s="67"/>
      <c r="P79" s="67"/>
      <c r="Q79" s="67"/>
      <c r="R79" s="67"/>
      <c r="S79" s="67"/>
      <c r="T79" s="67"/>
      <c r="U79" s="67"/>
      <c r="V79" s="67"/>
      <c r="W79" s="67"/>
      <c r="X79" s="67"/>
      <c r="Y79" s="67"/>
      <c r="Z79" s="67"/>
    </row>
    <row r="80" spans="1:26" ht="14.25" customHeight="1" x14ac:dyDescent="0.2">
      <c r="A80" s="215" t="s">
        <v>3175</v>
      </c>
      <c r="B80" s="215" t="s">
        <v>3176</v>
      </c>
      <c r="C80" s="216">
        <v>503071850</v>
      </c>
      <c r="D80" s="217" t="s">
        <v>2820</v>
      </c>
      <c r="E80" s="218" t="s">
        <v>3177</v>
      </c>
      <c r="F80" s="219" t="s">
        <v>3178</v>
      </c>
      <c r="G80" s="67"/>
      <c r="H80" s="67"/>
      <c r="I80" s="67"/>
      <c r="J80" s="67"/>
      <c r="K80" s="67"/>
      <c r="L80" s="67"/>
      <c r="M80" s="67"/>
      <c r="N80" s="67"/>
      <c r="O80" s="67"/>
      <c r="P80" s="67"/>
      <c r="Q80" s="67"/>
      <c r="R80" s="67"/>
      <c r="S80" s="67"/>
      <c r="T80" s="67"/>
      <c r="U80" s="67"/>
      <c r="V80" s="67"/>
      <c r="W80" s="67"/>
      <c r="X80" s="67"/>
      <c r="Y80" s="67"/>
      <c r="Z80" s="67"/>
    </row>
    <row r="81" spans="1:26" ht="14.25" customHeight="1" x14ac:dyDescent="0.2">
      <c r="A81" s="215" t="s">
        <v>3179</v>
      </c>
      <c r="B81" s="215" t="s">
        <v>3180</v>
      </c>
      <c r="C81" s="216" t="s">
        <v>3181</v>
      </c>
      <c r="D81" s="215" t="s">
        <v>2825</v>
      </c>
      <c r="E81" s="220" t="s">
        <v>2991</v>
      </c>
      <c r="F81" s="219" t="s">
        <v>3182</v>
      </c>
      <c r="G81" s="67"/>
      <c r="H81" s="67"/>
      <c r="I81" s="67"/>
      <c r="J81" s="67"/>
      <c r="K81" s="67"/>
      <c r="L81" s="67"/>
      <c r="M81" s="67"/>
      <c r="N81" s="67"/>
      <c r="O81" s="67"/>
      <c r="P81" s="67"/>
      <c r="Q81" s="67"/>
      <c r="R81" s="67"/>
      <c r="S81" s="67"/>
      <c r="T81" s="67"/>
      <c r="U81" s="67"/>
      <c r="V81" s="67"/>
      <c r="W81" s="67"/>
      <c r="X81" s="67"/>
      <c r="Y81" s="67"/>
      <c r="Z81" s="67"/>
    </row>
    <row r="82" spans="1:26" ht="14.25" customHeight="1" x14ac:dyDescent="0.2">
      <c r="A82" s="215" t="s">
        <v>3183</v>
      </c>
      <c r="B82" s="215" t="s">
        <v>3184</v>
      </c>
      <c r="C82" s="216" t="s">
        <v>3185</v>
      </c>
      <c r="D82" s="217" t="s">
        <v>2820</v>
      </c>
      <c r="E82" s="218" t="s">
        <v>3186</v>
      </c>
      <c r="F82" s="219" t="s">
        <v>3187</v>
      </c>
      <c r="G82" s="67"/>
      <c r="H82" s="67"/>
      <c r="I82" s="67"/>
      <c r="J82" s="67"/>
      <c r="K82" s="67"/>
      <c r="L82" s="67"/>
      <c r="M82" s="67"/>
      <c r="N82" s="67"/>
      <c r="O82" s="67"/>
      <c r="P82" s="67"/>
      <c r="Q82" s="67"/>
      <c r="R82" s="67"/>
      <c r="S82" s="67"/>
      <c r="T82" s="67"/>
      <c r="U82" s="67"/>
      <c r="V82" s="67"/>
      <c r="W82" s="67"/>
      <c r="X82" s="67"/>
      <c r="Y82" s="67"/>
      <c r="Z82" s="67"/>
    </row>
    <row r="83" spans="1:26" ht="14.25" customHeight="1" x14ac:dyDescent="0.2">
      <c r="A83" s="22" t="s">
        <v>3188</v>
      </c>
      <c r="B83" s="22" t="s">
        <v>3189</v>
      </c>
      <c r="C83" s="216" t="s">
        <v>3190</v>
      </c>
      <c r="D83" s="22" t="s">
        <v>2825</v>
      </c>
      <c r="E83" s="194" t="s">
        <v>3191</v>
      </c>
      <c r="F83" s="229" t="s">
        <v>3192</v>
      </c>
      <c r="G83" s="67"/>
      <c r="H83" s="67"/>
      <c r="I83" s="67"/>
      <c r="J83" s="67"/>
      <c r="K83" s="67"/>
      <c r="L83" s="67"/>
      <c r="M83" s="67"/>
      <c r="N83" s="67"/>
      <c r="O83" s="67"/>
      <c r="P83" s="67"/>
      <c r="Q83" s="67"/>
      <c r="R83" s="67"/>
      <c r="S83" s="67"/>
      <c r="T83" s="67"/>
      <c r="U83" s="67"/>
      <c r="V83" s="67"/>
      <c r="W83" s="67"/>
      <c r="X83" s="67"/>
      <c r="Y83" s="67"/>
      <c r="Z83" s="67"/>
    </row>
    <row r="84" spans="1:26" ht="14.25" customHeight="1" x14ac:dyDescent="0.2">
      <c r="A84" s="215" t="s">
        <v>3193</v>
      </c>
      <c r="B84" s="215" t="s">
        <v>3194</v>
      </c>
      <c r="C84" s="216" t="s">
        <v>3195</v>
      </c>
      <c r="D84" s="217" t="s">
        <v>2825</v>
      </c>
      <c r="E84" s="218" t="s">
        <v>3196</v>
      </c>
      <c r="F84" s="219" t="s">
        <v>3197</v>
      </c>
      <c r="G84" s="67"/>
      <c r="H84" s="67"/>
      <c r="I84" s="67"/>
      <c r="J84" s="67"/>
      <c r="K84" s="67"/>
      <c r="L84" s="67"/>
      <c r="M84" s="67"/>
      <c r="N84" s="67"/>
      <c r="O84" s="67"/>
      <c r="P84" s="67"/>
      <c r="Q84" s="67"/>
      <c r="R84" s="67"/>
      <c r="S84" s="67"/>
      <c r="T84" s="67"/>
      <c r="U84" s="67"/>
      <c r="V84" s="67"/>
      <c r="W84" s="67"/>
      <c r="X84" s="67"/>
      <c r="Y84" s="67"/>
      <c r="Z84" s="67"/>
    </row>
    <row r="85" spans="1:26" ht="14.25" customHeight="1" x14ac:dyDescent="0.2">
      <c r="A85" s="215" t="s">
        <v>2254</v>
      </c>
      <c r="B85" s="215" t="s">
        <v>3198</v>
      </c>
      <c r="C85" s="228" t="s">
        <v>3199</v>
      </c>
      <c r="D85" s="217" t="s">
        <v>2891</v>
      </c>
      <c r="E85" s="218" t="s">
        <v>2851</v>
      </c>
      <c r="F85" s="43" t="s">
        <v>3200</v>
      </c>
      <c r="G85" s="67"/>
      <c r="H85" s="67"/>
      <c r="I85" s="67"/>
      <c r="J85" s="67"/>
      <c r="K85" s="67"/>
      <c r="L85" s="67"/>
      <c r="M85" s="67"/>
      <c r="N85" s="67"/>
      <c r="O85" s="67"/>
      <c r="P85" s="67"/>
      <c r="Q85" s="67"/>
      <c r="R85" s="67"/>
      <c r="S85" s="67"/>
      <c r="T85" s="67"/>
      <c r="U85" s="67"/>
      <c r="V85" s="67"/>
      <c r="W85" s="67"/>
      <c r="X85" s="67"/>
      <c r="Y85" s="67"/>
      <c r="Z85" s="67"/>
    </row>
    <row r="86" spans="1:26" ht="14.25" customHeight="1" x14ac:dyDescent="0.2">
      <c r="A86" s="215" t="s">
        <v>3201</v>
      </c>
      <c r="B86" s="215" t="s">
        <v>3202</v>
      </c>
      <c r="C86" s="216" t="s">
        <v>3203</v>
      </c>
      <c r="D86" s="215" t="s">
        <v>2845</v>
      </c>
      <c r="E86" s="220" t="s">
        <v>3204</v>
      </c>
      <c r="F86" s="219" t="s">
        <v>3205</v>
      </c>
      <c r="G86" s="67"/>
      <c r="H86" s="67"/>
      <c r="I86" s="67"/>
      <c r="J86" s="67"/>
      <c r="K86" s="67"/>
      <c r="L86" s="67"/>
      <c r="M86" s="67"/>
      <c r="N86" s="67"/>
      <c r="O86" s="67"/>
      <c r="P86" s="67"/>
      <c r="Q86" s="67"/>
      <c r="R86" s="67"/>
      <c r="S86" s="67"/>
      <c r="T86" s="67"/>
      <c r="U86" s="67"/>
      <c r="V86" s="67"/>
      <c r="W86" s="67"/>
      <c r="X86" s="67"/>
      <c r="Y86" s="67"/>
      <c r="Z86" s="67"/>
    </row>
    <row r="87" spans="1:26" ht="14.25" customHeight="1" x14ac:dyDescent="0.2">
      <c r="A87" s="215" t="s">
        <v>3206</v>
      </c>
      <c r="B87" s="215" t="s">
        <v>2824</v>
      </c>
      <c r="C87" s="216" t="s">
        <v>3207</v>
      </c>
      <c r="D87" s="217" t="s">
        <v>2891</v>
      </c>
      <c r="E87" s="218" t="s">
        <v>3031</v>
      </c>
      <c r="F87" s="219" t="s">
        <v>3208</v>
      </c>
      <c r="G87" s="67"/>
      <c r="H87" s="67"/>
      <c r="I87" s="67"/>
      <c r="J87" s="67"/>
      <c r="K87" s="67"/>
      <c r="L87" s="67"/>
      <c r="M87" s="67"/>
      <c r="N87" s="67"/>
      <c r="O87" s="67"/>
      <c r="P87" s="67"/>
      <c r="Q87" s="67"/>
      <c r="R87" s="67"/>
      <c r="S87" s="67"/>
      <c r="T87" s="67"/>
      <c r="U87" s="67"/>
      <c r="V87" s="67"/>
      <c r="W87" s="67"/>
      <c r="X87" s="67"/>
      <c r="Y87" s="67"/>
      <c r="Z87" s="67"/>
    </row>
    <row r="88" spans="1:26" ht="14.25" customHeight="1" x14ac:dyDescent="0.2">
      <c r="A88" s="215" t="s">
        <v>3209</v>
      </c>
      <c r="B88" s="215" t="s">
        <v>3210</v>
      </c>
      <c r="C88" s="216" t="s">
        <v>3211</v>
      </c>
      <c r="D88" s="217" t="s">
        <v>2820</v>
      </c>
      <c r="E88" s="218" t="s">
        <v>3212</v>
      </c>
      <c r="F88" s="219" t="s">
        <v>3213</v>
      </c>
      <c r="G88" s="67"/>
      <c r="H88" s="67"/>
      <c r="I88" s="67"/>
      <c r="J88" s="67"/>
      <c r="K88" s="67"/>
      <c r="L88" s="67"/>
      <c r="M88" s="67"/>
      <c r="N88" s="67"/>
      <c r="O88" s="67"/>
      <c r="P88" s="67"/>
      <c r="Q88" s="67"/>
      <c r="R88" s="67"/>
      <c r="S88" s="67"/>
      <c r="T88" s="67"/>
      <c r="U88" s="67"/>
      <c r="V88" s="67"/>
      <c r="W88" s="67"/>
      <c r="X88" s="67"/>
      <c r="Y88" s="67"/>
      <c r="Z88" s="67"/>
    </row>
    <row r="89" spans="1:26" ht="14.25" customHeight="1" x14ac:dyDescent="0.2">
      <c r="A89" s="215" t="s">
        <v>1944</v>
      </c>
      <c r="B89" s="215" t="s">
        <v>3214</v>
      </c>
      <c r="C89" s="216" t="s">
        <v>3215</v>
      </c>
      <c r="D89" s="217" t="s">
        <v>2891</v>
      </c>
      <c r="E89" s="218" t="s">
        <v>3216</v>
      </c>
      <c r="F89" s="219" t="s">
        <v>3217</v>
      </c>
      <c r="G89" s="67"/>
      <c r="H89" s="67"/>
      <c r="I89" s="67"/>
      <c r="J89" s="67"/>
      <c r="K89" s="67"/>
      <c r="L89" s="67"/>
      <c r="M89" s="67"/>
      <c r="N89" s="67"/>
      <c r="O89" s="67"/>
      <c r="P89" s="67"/>
      <c r="Q89" s="67"/>
      <c r="R89" s="67"/>
      <c r="S89" s="67"/>
      <c r="T89" s="67"/>
      <c r="U89" s="67"/>
      <c r="V89" s="67"/>
      <c r="W89" s="67"/>
      <c r="X89" s="67"/>
      <c r="Y89" s="67"/>
      <c r="Z89" s="67"/>
    </row>
    <row r="90" spans="1:26" ht="14.25" customHeight="1" x14ac:dyDescent="0.25">
      <c r="A90" s="64" t="s">
        <v>3218</v>
      </c>
      <c r="B90" s="64" t="s">
        <v>3219</v>
      </c>
      <c r="C90" s="234" t="s">
        <v>3220</v>
      </c>
      <c r="D90" s="64" t="s">
        <v>2891</v>
      </c>
      <c r="E90" s="235" t="s">
        <v>2851</v>
      </c>
      <c r="F90" s="210" t="s">
        <v>3221</v>
      </c>
      <c r="G90" s="67"/>
      <c r="H90" s="67"/>
      <c r="I90" s="67"/>
      <c r="J90" s="67"/>
      <c r="K90" s="67"/>
      <c r="L90" s="67"/>
      <c r="M90" s="67"/>
      <c r="N90" s="67"/>
      <c r="O90" s="67"/>
      <c r="P90" s="67"/>
      <c r="Q90" s="67"/>
      <c r="R90" s="67"/>
      <c r="S90" s="67"/>
      <c r="T90" s="67"/>
      <c r="U90" s="67"/>
      <c r="V90" s="67"/>
      <c r="W90" s="67"/>
      <c r="X90" s="67"/>
      <c r="Y90" s="67"/>
      <c r="Z90" s="67"/>
    </row>
    <row r="91" spans="1:26" ht="14.25" customHeight="1" x14ac:dyDescent="0.2">
      <c r="A91" s="215" t="s">
        <v>3222</v>
      </c>
      <c r="B91" s="215" t="s">
        <v>3223</v>
      </c>
      <c r="C91" s="236" t="s">
        <v>3224</v>
      </c>
      <c r="D91" s="217" t="s">
        <v>2839</v>
      </c>
      <c r="E91" s="218" t="s">
        <v>3225</v>
      </c>
      <c r="F91" s="219" t="s">
        <v>3226</v>
      </c>
      <c r="G91" s="67"/>
      <c r="H91" s="67"/>
      <c r="I91" s="67"/>
      <c r="J91" s="67"/>
      <c r="K91" s="67"/>
      <c r="L91" s="67"/>
      <c r="M91" s="67"/>
      <c r="N91" s="67"/>
      <c r="O91" s="67"/>
      <c r="P91" s="67"/>
      <c r="Q91" s="67"/>
      <c r="R91" s="67"/>
      <c r="S91" s="67"/>
      <c r="T91" s="67"/>
      <c r="U91" s="67"/>
      <c r="V91" s="67"/>
      <c r="W91" s="67"/>
      <c r="X91" s="67"/>
      <c r="Y91" s="67"/>
      <c r="Z91" s="67"/>
    </row>
    <row r="92" spans="1:26" ht="14.25" customHeight="1" x14ac:dyDescent="0.2">
      <c r="A92" s="215" t="s">
        <v>3227</v>
      </c>
      <c r="B92" s="215" t="s">
        <v>3228</v>
      </c>
      <c r="C92" s="216" t="s">
        <v>3229</v>
      </c>
      <c r="D92" s="215" t="s">
        <v>2825</v>
      </c>
      <c r="E92" s="220" t="s">
        <v>3230</v>
      </c>
      <c r="F92" s="219" t="s">
        <v>3231</v>
      </c>
      <c r="G92" s="67"/>
      <c r="H92" s="67"/>
      <c r="I92" s="67"/>
      <c r="J92" s="67"/>
      <c r="K92" s="67"/>
      <c r="L92" s="67"/>
      <c r="M92" s="67"/>
      <c r="N92" s="67"/>
      <c r="O92" s="67"/>
      <c r="P92" s="67"/>
      <c r="Q92" s="67"/>
      <c r="R92" s="67"/>
      <c r="S92" s="67"/>
      <c r="T92" s="67"/>
      <c r="U92" s="67"/>
      <c r="V92" s="67"/>
      <c r="W92" s="67"/>
      <c r="X92" s="67"/>
      <c r="Y92" s="67"/>
      <c r="Z92" s="67"/>
    </row>
    <row r="93" spans="1:26" ht="14.25" customHeight="1" x14ac:dyDescent="0.2">
      <c r="A93" s="215" t="s">
        <v>3227</v>
      </c>
      <c r="B93" s="215" t="s">
        <v>3232</v>
      </c>
      <c r="C93" s="216" t="s">
        <v>3233</v>
      </c>
      <c r="D93" s="217" t="s">
        <v>2855</v>
      </c>
      <c r="E93" s="218" t="s">
        <v>3234</v>
      </c>
      <c r="F93" s="219" t="s">
        <v>3235</v>
      </c>
      <c r="G93" s="67"/>
      <c r="H93" s="67"/>
      <c r="I93" s="67"/>
      <c r="J93" s="67"/>
      <c r="K93" s="67"/>
      <c r="L93" s="67"/>
      <c r="M93" s="67"/>
      <c r="N93" s="67"/>
      <c r="O93" s="67"/>
      <c r="P93" s="67"/>
      <c r="Q93" s="67"/>
      <c r="R93" s="67"/>
      <c r="S93" s="67"/>
      <c r="T93" s="67"/>
      <c r="U93" s="67"/>
      <c r="V93" s="67"/>
      <c r="W93" s="67"/>
      <c r="X93" s="67"/>
      <c r="Y93" s="67"/>
      <c r="Z93" s="67"/>
    </row>
    <row r="94" spans="1:26" ht="14.25" customHeight="1" x14ac:dyDescent="0.2">
      <c r="A94" s="215" t="s">
        <v>3236</v>
      </c>
      <c r="B94" s="215" t="s">
        <v>3237</v>
      </c>
      <c r="C94" s="216">
        <v>544327661</v>
      </c>
      <c r="D94" s="217" t="s">
        <v>2845</v>
      </c>
      <c r="E94" s="218" t="s">
        <v>3238</v>
      </c>
      <c r="F94" s="223" t="s">
        <v>3239</v>
      </c>
      <c r="G94" s="67"/>
      <c r="H94" s="67"/>
      <c r="I94" s="67"/>
      <c r="J94" s="67"/>
      <c r="K94" s="67"/>
      <c r="L94" s="67"/>
      <c r="M94" s="67"/>
      <c r="N94" s="67"/>
      <c r="O94" s="67"/>
      <c r="P94" s="67"/>
      <c r="Q94" s="67"/>
      <c r="R94" s="67"/>
      <c r="S94" s="67"/>
      <c r="T94" s="67"/>
      <c r="U94" s="67"/>
      <c r="V94" s="67"/>
      <c r="W94" s="67"/>
      <c r="X94" s="67"/>
      <c r="Y94" s="67"/>
      <c r="Z94" s="67"/>
    </row>
    <row r="95" spans="1:26" ht="14.25" customHeight="1" x14ac:dyDescent="0.2">
      <c r="A95" s="215" t="s">
        <v>3240</v>
      </c>
      <c r="B95" s="215" t="s">
        <v>3241</v>
      </c>
      <c r="C95" s="216" t="s">
        <v>3242</v>
      </c>
      <c r="D95" s="215" t="s">
        <v>2855</v>
      </c>
      <c r="E95" s="220" t="s">
        <v>2959</v>
      </c>
      <c r="F95" s="219" t="s">
        <v>3243</v>
      </c>
      <c r="G95" s="67"/>
      <c r="H95" s="67"/>
      <c r="I95" s="67"/>
      <c r="J95" s="67"/>
      <c r="K95" s="67"/>
      <c r="L95" s="67"/>
      <c r="M95" s="67"/>
      <c r="N95" s="67"/>
      <c r="O95" s="67"/>
      <c r="P95" s="67"/>
      <c r="Q95" s="67"/>
      <c r="R95" s="67"/>
      <c r="S95" s="67"/>
      <c r="T95" s="67"/>
      <c r="U95" s="67"/>
      <c r="V95" s="67"/>
      <c r="W95" s="67"/>
      <c r="X95" s="67"/>
      <c r="Y95" s="67"/>
      <c r="Z95" s="67"/>
    </row>
    <row r="96" spans="1:26" ht="14.25" customHeight="1" x14ac:dyDescent="0.2">
      <c r="A96" s="215" t="s">
        <v>3244</v>
      </c>
      <c r="B96" s="237" t="s">
        <v>2832</v>
      </c>
      <c r="C96" s="236" t="s">
        <v>3245</v>
      </c>
      <c r="D96" s="237" t="s">
        <v>2917</v>
      </c>
      <c r="E96" s="238" t="s">
        <v>3246</v>
      </c>
      <c r="F96" s="223" t="s">
        <v>3247</v>
      </c>
      <c r="G96" s="67"/>
      <c r="H96" s="67"/>
      <c r="I96" s="67"/>
      <c r="J96" s="67"/>
      <c r="K96" s="67"/>
      <c r="L96" s="67"/>
      <c r="M96" s="67"/>
      <c r="N96" s="67"/>
      <c r="O96" s="67"/>
      <c r="P96" s="67"/>
      <c r="Q96" s="67"/>
      <c r="R96" s="67"/>
      <c r="S96" s="67"/>
      <c r="T96" s="67"/>
      <c r="U96" s="67"/>
      <c r="V96" s="67"/>
      <c r="W96" s="67"/>
      <c r="X96" s="67"/>
      <c r="Y96" s="67"/>
      <c r="Z96" s="67"/>
    </row>
    <row r="97" spans="1:26" ht="14.25" customHeight="1" x14ac:dyDescent="0.2">
      <c r="A97" s="196" t="s">
        <v>3248</v>
      </c>
      <c r="B97" s="43" t="s">
        <v>3249</v>
      </c>
      <c r="C97" s="228" t="s">
        <v>3250</v>
      </c>
      <c r="D97" s="43" t="s">
        <v>3251</v>
      </c>
      <c r="E97" s="196" t="s">
        <v>3252</v>
      </c>
      <c r="F97" s="210" t="s">
        <v>3253</v>
      </c>
      <c r="G97" s="67"/>
      <c r="H97" s="67"/>
      <c r="I97" s="67"/>
      <c r="J97" s="67"/>
      <c r="K97" s="67"/>
      <c r="L97" s="67"/>
      <c r="M97" s="67"/>
      <c r="N97" s="67"/>
      <c r="O97" s="67"/>
      <c r="P97" s="67"/>
      <c r="Q97" s="67"/>
      <c r="R97" s="67"/>
      <c r="S97" s="67"/>
      <c r="T97" s="67"/>
      <c r="U97" s="67"/>
      <c r="V97" s="67"/>
      <c r="W97" s="67"/>
      <c r="X97" s="67"/>
      <c r="Y97" s="67"/>
      <c r="Z97" s="67"/>
    </row>
    <row r="98" spans="1:26" ht="14.25" customHeight="1" x14ac:dyDescent="0.2">
      <c r="A98" s="220" t="s">
        <v>3254</v>
      </c>
      <c r="B98" s="215" t="s">
        <v>3255</v>
      </c>
      <c r="C98" s="216" t="s">
        <v>3256</v>
      </c>
      <c r="D98" s="217" t="s">
        <v>2834</v>
      </c>
      <c r="E98" s="218" t="s">
        <v>3257</v>
      </c>
      <c r="F98" s="219" t="s">
        <v>3258</v>
      </c>
      <c r="G98" s="67"/>
      <c r="H98" s="67"/>
      <c r="I98" s="67"/>
      <c r="J98" s="67"/>
      <c r="K98" s="67"/>
      <c r="L98" s="67"/>
      <c r="M98" s="67"/>
      <c r="N98" s="67"/>
      <c r="O98" s="67"/>
      <c r="P98" s="67"/>
      <c r="Q98" s="67"/>
      <c r="R98" s="67"/>
      <c r="S98" s="67"/>
      <c r="T98" s="67"/>
      <c r="U98" s="67"/>
      <c r="V98" s="67"/>
      <c r="W98" s="67"/>
      <c r="X98" s="67"/>
      <c r="Y98" s="67"/>
      <c r="Z98" s="67"/>
    </row>
    <row r="99" spans="1:26" ht="14.25" customHeight="1" x14ac:dyDescent="0.2">
      <c r="A99" s="220" t="s">
        <v>1246</v>
      </c>
      <c r="B99" s="215" t="s">
        <v>3259</v>
      </c>
      <c r="C99" s="216" t="s">
        <v>3260</v>
      </c>
      <c r="D99" s="217" t="s">
        <v>2855</v>
      </c>
      <c r="E99" s="218" t="s">
        <v>2959</v>
      </c>
      <c r="F99" s="219" t="s">
        <v>3261</v>
      </c>
      <c r="G99" s="67"/>
      <c r="H99" s="67"/>
      <c r="I99" s="67"/>
      <c r="J99" s="67"/>
      <c r="K99" s="67"/>
      <c r="L99" s="67"/>
      <c r="M99" s="67"/>
      <c r="N99" s="67"/>
      <c r="O99" s="67"/>
      <c r="P99" s="67"/>
      <c r="Q99" s="67"/>
      <c r="R99" s="67"/>
      <c r="S99" s="67"/>
      <c r="T99" s="67"/>
      <c r="U99" s="67"/>
      <c r="V99" s="67"/>
      <c r="W99" s="67"/>
      <c r="X99" s="67"/>
      <c r="Y99" s="67"/>
      <c r="Z99" s="67"/>
    </row>
    <row r="100" spans="1:26" ht="14.25" customHeight="1" x14ac:dyDescent="0.2">
      <c r="A100" s="238" t="s">
        <v>3262</v>
      </c>
      <c r="B100" s="237" t="s">
        <v>3263</v>
      </c>
      <c r="C100" s="236" t="s">
        <v>3264</v>
      </c>
      <c r="D100" s="237" t="s">
        <v>2845</v>
      </c>
      <c r="E100" s="238" t="s">
        <v>3265</v>
      </c>
      <c r="F100" s="219" t="s">
        <v>3266</v>
      </c>
      <c r="G100" s="67"/>
      <c r="H100" s="67"/>
      <c r="I100" s="67"/>
      <c r="J100" s="67"/>
      <c r="K100" s="67"/>
      <c r="L100" s="67"/>
      <c r="M100" s="67"/>
      <c r="N100" s="67"/>
      <c r="O100" s="67"/>
      <c r="P100" s="67"/>
      <c r="Q100" s="67"/>
      <c r="R100" s="67"/>
      <c r="S100" s="67"/>
      <c r="T100" s="67"/>
      <c r="U100" s="67"/>
      <c r="V100" s="67"/>
      <c r="W100" s="67"/>
      <c r="X100" s="67"/>
      <c r="Y100" s="67"/>
      <c r="Z100" s="67"/>
    </row>
    <row r="101" spans="1:26" ht="14.25" customHeight="1" x14ac:dyDescent="0.2">
      <c r="A101" s="238" t="s">
        <v>3267</v>
      </c>
      <c r="B101" s="237" t="s">
        <v>3268</v>
      </c>
      <c r="C101" s="239" t="s">
        <v>3269</v>
      </c>
      <c r="D101" s="240" t="s">
        <v>2891</v>
      </c>
      <c r="E101" s="231" t="s">
        <v>2851</v>
      </c>
      <c r="F101" s="219" t="s">
        <v>3270</v>
      </c>
      <c r="G101" s="67"/>
      <c r="H101" s="67"/>
      <c r="I101" s="67"/>
      <c r="J101" s="67"/>
      <c r="K101" s="67"/>
      <c r="L101" s="67"/>
      <c r="M101" s="67"/>
      <c r="N101" s="67"/>
      <c r="O101" s="67"/>
      <c r="P101" s="67"/>
      <c r="Q101" s="67"/>
      <c r="R101" s="67"/>
      <c r="S101" s="67"/>
      <c r="T101" s="67"/>
      <c r="U101" s="67"/>
      <c r="V101" s="67"/>
      <c r="W101" s="67"/>
      <c r="X101" s="67"/>
      <c r="Y101" s="67"/>
      <c r="Z101" s="67"/>
    </row>
    <row r="102" spans="1:26" ht="14.25" customHeight="1" x14ac:dyDescent="0.2">
      <c r="A102" s="215" t="s">
        <v>3271</v>
      </c>
      <c r="B102" s="215" t="s">
        <v>3272</v>
      </c>
      <c r="C102" s="224">
        <v>529454403</v>
      </c>
      <c r="D102" s="215" t="s">
        <v>2917</v>
      </c>
      <c r="E102" s="220" t="s">
        <v>3273</v>
      </c>
      <c r="F102" s="223" t="s">
        <v>3274</v>
      </c>
      <c r="G102" s="67"/>
      <c r="H102" s="67"/>
      <c r="I102" s="67"/>
      <c r="J102" s="67"/>
      <c r="K102" s="67"/>
      <c r="L102" s="67"/>
      <c r="M102" s="67"/>
      <c r="N102" s="67"/>
      <c r="O102" s="67"/>
      <c r="P102" s="67"/>
      <c r="Q102" s="67"/>
      <c r="R102" s="67"/>
      <c r="S102" s="67"/>
      <c r="T102" s="67"/>
      <c r="U102" s="67"/>
      <c r="V102" s="67"/>
      <c r="W102" s="67"/>
      <c r="X102" s="67"/>
      <c r="Y102" s="67"/>
      <c r="Z102" s="67"/>
    </row>
    <row r="103" spans="1:26" ht="14.25" customHeight="1" x14ac:dyDescent="0.2">
      <c r="A103" s="237" t="s">
        <v>3275</v>
      </c>
      <c r="B103" s="237" t="s">
        <v>3276</v>
      </c>
      <c r="C103" s="239" t="s">
        <v>3277</v>
      </c>
      <c r="D103" s="237" t="s">
        <v>2845</v>
      </c>
      <c r="E103" s="238" t="s">
        <v>3278</v>
      </c>
      <c r="F103" s="43" t="s">
        <v>3279</v>
      </c>
      <c r="G103" s="67"/>
      <c r="H103" s="67"/>
      <c r="I103" s="67"/>
      <c r="J103" s="67"/>
      <c r="K103" s="67"/>
      <c r="L103" s="67"/>
      <c r="M103" s="67"/>
      <c r="N103" s="67"/>
      <c r="O103" s="67"/>
      <c r="P103" s="67"/>
      <c r="Q103" s="67"/>
      <c r="R103" s="67"/>
      <c r="S103" s="67"/>
      <c r="T103" s="67"/>
      <c r="U103" s="67"/>
      <c r="V103" s="67"/>
      <c r="W103" s="67"/>
      <c r="X103" s="67"/>
      <c r="Y103" s="67"/>
      <c r="Z103" s="67"/>
    </row>
    <row r="104" spans="1:26" ht="14.25" customHeight="1" x14ac:dyDescent="0.2">
      <c r="A104" s="237" t="s">
        <v>3280</v>
      </c>
      <c r="B104" s="237" t="s">
        <v>3281</v>
      </c>
      <c r="C104" s="230" t="s">
        <v>3282</v>
      </c>
      <c r="D104" s="237" t="s">
        <v>3025</v>
      </c>
      <c r="E104" s="238" t="s">
        <v>3283</v>
      </c>
      <c r="F104" s="43" t="s">
        <v>3284</v>
      </c>
      <c r="G104" s="67"/>
      <c r="H104" s="67"/>
      <c r="I104" s="67"/>
      <c r="J104" s="67"/>
      <c r="K104" s="67"/>
      <c r="L104" s="67"/>
      <c r="M104" s="67"/>
      <c r="N104" s="67"/>
      <c r="O104" s="67"/>
      <c r="P104" s="67"/>
      <c r="Q104" s="67"/>
      <c r="R104" s="67"/>
      <c r="S104" s="67"/>
      <c r="T104" s="67"/>
      <c r="U104" s="67"/>
      <c r="V104" s="67"/>
      <c r="W104" s="67"/>
      <c r="X104" s="67"/>
      <c r="Y104" s="67"/>
      <c r="Z104" s="67"/>
    </row>
    <row r="105" spans="1:26" ht="14.25" customHeight="1" x14ac:dyDescent="0.25">
      <c r="A105" s="43" t="s">
        <v>3275</v>
      </c>
      <c r="B105" s="43" t="s">
        <v>3285</v>
      </c>
      <c r="C105" s="221" t="s">
        <v>3286</v>
      </c>
      <c r="D105" s="43" t="s">
        <v>2891</v>
      </c>
      <c r="E105" s="196" t="s">
        <v>3054</v>
      </c>
      <c r="F105" s="227" t="s">
        <v>3287</v>
      </c>
      <c r="G105" s="67"/>
      <c r="H105" s="67"/>
      <c r="I105" s="67"/>
      <c r="J105" s="67"/>
      <c r="K105" s="67"/>
      <c r="L105" s="67"/>
      <c r="M105" s="67"/>
      <c r="N105" s="67"/>
      <c r="O105" s="67"/>
      <c r="P105" s="67"/>
      <c r="Q105" s="67"/>
      <c r="R105" s="67"/>
      <c r="S105" s="67"/>
      <c r="T105" s="67"/>
      <c r="U105" s="67"/>
      <c r="V105" s="67"/>
      <c r="W105" s="67"/>
      <c r="X105" s="67"/>
      <c r="Y105" s="67"/>
      <c r="Z105" s="67"/>
    </row>
    <row r="106" spans="1:26" ht="14.25" customHeight="1" x14ac:dyDescent="0.2">
      <c r="A106" s="237" t="s">
        <v>3288</v>
      </c>
      <c r="B106" s="237" t="s">
        <v>3289</v>
      </c>
      <c r="C106" s="239" t="s">
        <v>3290</v>
      </c>
      <c r="D106" s="240" t="s">
        <v>2891</v>
      </c>
      <c r="E106" s="231" t="s">
        <v>3054</v>
      </c>
      <c r="F106" s="219" t="s">
        <v>3291</v>
      </c>
      <c r="G106" s="67"/>
      <c r="H106" s="67"/>
      <c r="I106" s="67"/>
      <c r="J106" s="67"/>
      <c r="K106" s="67"/>
      <c r="L106" s="67"/>
      <c r="M106" s="67"/>
      <c r="N106" s="67"/>
      <c r="O106" s="67"/>
      <c r="P106" s="67"/>
      <c r="Q106" s="67"/>
      <c r="R106" s="67"/>
      <c r="S106" s="67"/>
      <c r="T106" s="67"/>
      <c r="U106" s="67"/>
      <c r="V106" s="67"/>
      <c r="W106" s="67"/>
      <c r="X106" s="67"/>
      <c r="Y106" s="67"/>
      <c r="Z106" s="67"/>
    </row>
    <row r="107" spans="1:26" ht="14.25" customHeight="1" x14ac:dyDescent="0.2">
      <c r="A107" s="237" t="s">
        <v>3292</v>
      </c>
      <c r="B107" s="237" t="s">
        <v>3293</v>
      </c>
      <c r="C107" s="239" t="s">
        <v>3294</v>
      </c>
      <c r="D107" s="240" t="s">
        <v>2855</v>
      </c>
      <c r="E107" s="231" t="s">
        <v>3295</v>
      </c>
      <c r="F107" s="219" t="s">
        <v>3296</v>
      </c>
      <c r="G107" s="67"/>
      <c r="H107" s="67"/>
      <c r="I107" s="67"/>
      <c r="J107" s="67"/>
      <c r="K107" s="67"/>
      <c r="L107" s="67"/>
      <c r="M107" s="67"/>
      <c r="N107" s="67"/>
      <c r="O107" s="67"/>
      <c r="P107" s="67"/>
      <c r="Q107" s="67"/>
      <c r="R107" s="67"/>
      <c r="S107" s="67"/>
      <c r="T107" s="67"/>
      <c r="U107" s="67"/>
      <c r="V107" s="67"/>
      <c r="W107" s="67"/>
      <c r="X107" s="67"/>
      <c r="Y107" s="67"/>
      <c r="Z107" s="67"/>
    </row>
    <row r="108" spans="1:26" ht="14.25" customHeight="1" x14ac:dyDescent="0.2">
      <c r="A108" s="22" t="s">
        <v>3297</v>
      </c>
      <c r="B108" s="22" t="s">
        <v>3298</v>
      </c>
      <c r="C108" s="216" t="s">
        <v>3299</v>
      </c>
      <c r="D108" s="22" t="s">
        <v>2855</v>
      </c>
      <c r="E108" s="194" t="s">
        <v>3300</v>
      </c>
      <c r="F108" s="229" t="s">
        <v>3301</v>
      </c>
      <c r="G108" s="67"/>
      <c r="H108" s="67"/>
      <c r="I108" s="67"/>
      <c r="J108" s="67"/>
      <c r="K108" s="67"/>
      <c r="L108" s="67"/>
      <c r="M108" s="67"/>
      <c r="N108" s="67"/>
      <c r="O108" s="67"/>
      <c r="P108" s="67"/>
      <c r="Q108" s="67"/>
      <c r="R108" s="67"/>
      <c r="S108" s="67"/>
      <c r="T108" s="67"/>
      <c r="U108" s="67"/>
      <c r="V108" s="67"/>
      <c r="W108" s="67"/>
      <c r="X108" s="67"/>
      <c r="Y108" s="67"/>
      <c r="Z108" s="67"/>
    </row>
    <row r="109" spans="1:26" ht="14.25" customHeight="1" x14ac:dyDescent="0.2">
      <c r="A109" s="215" t="s">
        <v>3302</v>
      </c>
      <c r="B109" s="215" t="s">
        <v>3303</v>
      </c>
      <c r="C109" s="216" t="s">
        <v>3304</v>
      </c>
      <c r="D109" s="215" t="s">
        <v>2855</v>
      </c>
      <c r="E109" s="220" t="s">
        <v>3305</v>
      </c>
      <c r="F109" s="219" t="s">
        <v>3306</v>
      </c>
      <c r="G109" s="67"/>
      <c r="H109" s="67"/>
      <c r="I109" s="67"/>
      <c r="J109" s="67"/>
      <c r="K109" s="67"/>
      <c r="L109" s="67"/>
      <c r="M109" s="67"/>
      <c r="N109" s="67"/>
      <c r="O109" s="67"/>
      <c r="P109" s="67"/>
      <c r="Q109" s="67"/>
      <c r="R109" s="67"/>
      <c r="S109" s="67"/>
      <c r="T109" s="67"/>
      <c r="U109" s="67"/>
      <c r="V109" s="67"/>
      <c r="W109" s="67"/>
      <c r="X109" s="67"/>
      <c r="Y109" s="67"/>
      <c r="Z109" s="67"/>
    </row>
    <row r="110" spans="1:26" ht="14.25" customHeight="1" x14ac:dyDescent="0.2">
      <c r="A110" s="215" t="s">
        <v>3307</v>
      </c>
      <c r="B110" s="215" t="s">
        <v>3308</v>
      </c>
      <c r="C110" s="216" t="s">
        <v>3309</v>
      </c>
      <c r="D110" s="215" t="s">
        <v>2917</v>
      </c>
      <c r="E110" s="220" t="s">
        <v>3310</v>
      </c>
      <c r="F110" s="223" t="s">
        <v>3311</v>
      </c>
      <c r="G110" s="67"/>
      <c r="H110" s="67"/>
      <c r="I110" s="67"/>
      <c r="J110" s="67"/>
      <c r="K110" s="67"/>
      <c r="L110" s="67"/>
      <c r="M110" s="67"/>
      <c r="N110" s="67"/>
      <c r="O110" s="67"/>
      <c r="P110" s="67"/>
      <c r="Q110" s="67"/>
      <c r="R110" s="67"/>
      <c r="S110" s="67"/>
      <c r="T110" s="67"/>
      <c r="U110" s="67"/>
      <c r="V110" s="67"/>
      <c r="W110" s="67"/>
      <c r="X110" s="67"/>
      <c r="Y110" s="67"/>
      <c r="Z110" s="67"/>
    </row>
    <row r="111" spans="1:26" ht="14.25" customHeight="1" x14ac:dyDescent="0.2">
      <c r="A111" s="215" t="s">
        <v>3307</v>
      </c>
      <c r="B111" s="215" t="s">
        <v>2980</v>
      </c>
      <c r="C111" s="216">
        <v>505989804</v>
      </c>
      <c r="D111" s="215" t="s">
        <v>2825</v>
      </c>
      <c r="E111" s="220" t="s">
        <v>2891</v>
      </c>
      <c r="F111" s="223" t="s">
        <v>3312</v>
      </c>
      <c r="G111" s="67"/>
      <c r="H111" s="67"/>
      <c r="I111" s="67"/>
      <c r="J111" s="67"/>
      <c r="K111" s="67"/>
      <c r="L111" s="67"/>
      <c r="M111" s="67"/>
      <c r="N111" s="67"/>
      <c r="O111" s="67"/>
      <c r="P111" s="67"/>
      <c r="Q111" s="67"/>
      <c r="R111" s="67"/>
      <c r="S111" s="67"/>
      <c r="T111" s="67"/>
      <c r="U111" s="67"/>
      <c r="V111" s="67"/>
      <c r="W111" s="67"/>
      <c r="X111" s="67"/>
      <c r="Y111" s="67"/>
      <c r="Z111" s="67"/>
    </row>
    <row r="112" spans="1:26" ht="14.25" customHeight="1" x14ac:dyDescent="0.2">
      <c r="A112" s="237" t="s">
        <v>3313</v>
      </c>
      <c r="B112" s="237" t="s">
        <v>2980</v>
      </c>
      <c r="C112" s="239" t="s">
        <v>3314</v>
      </c>
      <c r="D112" s="240" t="s">
        <v>2855</v>
      </c>
      <c r="E112" s="231" t="s">
        <v>2959</v>
      </c>
      <c r="F112" s="241" t="s">
        <v>3315</v>
      </c>
      <c r="G112" s="67"/>
      <c r="H112" s="67"/>
      <c r="I112" s="67"/>
      <c r="J112" s="67"/>
      <c r="K112" s="67"/>
      <c r="L112" s="67"/>
      <c r="M112" s="67"/>
      <c r="N112" s="67"/>
      <c r="O112" s="67"/>
      <c r="P112" s="67"/>
      <c r="Q112" s="67"/>
      <c r="R112" s="67"/>
      <c r="S112" s="67"/>
      <c r="T112" s="67"/>
      <c r="U112" s="67"/>
      <c r="V112" s="67"/>
      <c r="W112" s="67"/>
      <c r="X112" s="67"/>
      <c r="Y112" s="67"/>
      <c r="Z112" s="67"/>
    </row>
    <row r="113" spans="1:26" ht="14.25" customHeight="1" x14ac:dyDescent="0.2">
      <c r="A113" s="237" t="s">
        <v>3316</v>
      </c>
      <c r="B113" s="237" t="s">
        <v>3317</v>
      </c>
      <c r="C113" s="230" t="s">
        <v>3318</v>
      </c>
      <c r="D113" s="240" t="s">
        <v>2845</v>
      </c>
      <c r="E113" s="231" t="s">
        <v>3265</v>
      </c>
      <c r="F113" s="241" t="s">
        <v>3319</v>
      </c>
      <c r="G113" s="67"/>
      <c r="H113" s="67"/>
      <c r="I113" s="67"/>
      <c r="J113" s="67"/>
      <c r="K113" s="67"/>
      <c r="L113" s="67"/>
      <c r="M113" s="67"/>
      <c r="N113" s="67"/>
      <c r="O113" s="67"/>
      <c r="P113" s="67"/>
      <c r="Q113" s="67"/>
      <c r="R113" s="67"/>
      <c r="S113" s="67"/>
      <c r="T113" s="67"/>
      <c r="U113" s="67"/>
      <c r="V113" s="67"/>
      <c r="W113" s="67"/>
      <c r="X113" s="67"/>
      <c r="Y113" s="67"/>
      <c r="Z113" s="67"/>
    </row>
    <row r="114" spans="1:26" ht="14.25" customHeight="1" x14ac:dyDescent="0.2">
      <c r="A114" s="237" t="s">
        <v>3320</v>
      </c>
      <c r="B114" s="237" t="s">
        <v>3321</v>
      </c>
      <c r="C114" s="239" t="s">
        <v>3322</v>
      </c>
      <c r="D114" s="240" t="s">
        <v>2845</v>
      </c>
      <c r="E114" s="240" t="s">
        <v>3265</v>
      </c>
      <c r="F114" s="241" t="s">
        <v>3323</v>
      </c>
      <c r="G114" s="67"/>
      <c r="H114" s="67"/>
      <c r="I114" s="67"/>
      <c r="J114" s="67"/>
      <c r="K114" s="67"/>
      <c r="L114" s="67"/>
      <c r="M114" s="67"/>
      <c r="N114" s="67"/>
      <c r="O114" s="67"/>
      <c r="P114" s="67"/>
      <c r="Q114" s="67"/>
      <c r="R114" s="67"/>
      <c r="S114" s="67"/>
      <c r="T114" s="67"/>
      <c r="U114" s="67"/>
      <c r="V114" s="67"/>
      <c r="W114" s="67"/>
      <c r="X114" s="67"/>
      <c r="Y114" s="67"/>
      <c r="Z114" s="67"/>
    </row>
    <row r="115" spans="1:26" ht="14.25" customHeight="1" x14ac:dyDescent="0.2">
      <c r="A115" s="215" t="s">
        <v>3324</v>
      </c>
      <c r="B115" s="215" t="s">
        <v>3325</v>
      </c>
      <c r="C115" s="216" t="s">
        <v>3326</v>
      </c>
      <c r="D115" s="217" t="s">
        <v>2891</v>
      </c>
      <c r="E115" s="217" t="s">
        <v>2851</v>
      </c>
      <c r="F115" s="223" t="s">
        <v>3327</v>
      </c>
      <c r="G115" s="67"/>
      <c r="H115" s="67"/>
      <c r="I115" s="67"/>
      <c r="J115" s="67"/>
      <c r="K115" s="67"/>
      <c r="L115" s="67"/>
      <c r="M115" s="67"/>
      <c r="N115" s="67"/>
      <c r="O115" s="67"/>
      <c r="P115" s="67"/>
      <c r="Q115" s="67"/>
      <c r="R115" s="67"/>
      <c r="S115" s="67"/>
      <c r="T115" s="67"/>
      <c r="U115" s="67"/>
      <c r="V115" s="67"/>
      <c r="W115" s="67"/>
      <c r="X115" s="67"/>
      <c r="Y115" s="67"/>
      <c r="Z115" s="67"/>
    </row>
    <row r="116" spans="1:26" ht="14.25" customHeight="1" x14ac:dyDescent="0.2">
      <c r="A116" s="43" t="s">
        <v>3328</v>
      </c>
      <c r="B116" s="43" t="s">
        <v>3329</v>
      </c>
      <c r="C116" s="224">
        <v>523709187</v>
      </c>
      <c r="D116" s="43" t="s">
        <v>2820</v>
      </c>
      <c r="E116" s="43" t="s">
        <v>3330</v>
      </c>
      <c r="F116" s="43" t="s">
        <v>3331</v>
      </c>
      <c r="G116" s="67"/>
      <c r="H116" s="67"/>
      <c r="I116" s="67"/>
      <c r="J116" s="67"/>
      <c r="K116" s="67"/>
      <c r="L116" s="67"/>
      <c r="M116" s="67"/>
      <c r="N116" s="67"/>
      <c r="O116" s="67"/>
      <c r="P116" s="67"/>
      <c r="Q116" s="67"/>
      <c r="R116" s="67"/>
      <c r="S116" s="67"/>
      <c r="T116" s="67"/>
      <c r="U116" s="67"/>
      <c r="V116" s="67"/>
      <c r="W116" s="67"/>
      <c r="X116" s="67"/>
      <c r="Y116" s="67"/>
      <c r="Z116" s="67"/>
    </row>
    <row r="117" spans="1:26" ht="14.25" customHeight="1" x14ac:dyDescent="0.2">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spans="1:26" ht="14.25" customHeight="1" x14ac:dyDescent="0.2">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spans="1:26" ht="14.25" customHeight="1" x14ac:dyDescent="0.2">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spans="1:26" ht="14.25" customHeight="1" x14ac:dyDescent="0.2">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spans="1:26" ht="14.25" customHeight="1" x14ac:dyDescent="0.2">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spans="1:26" ht="14.25" customHeight="1" x14ac:dyDescent="0.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spans="1:26" ht="14.25" customHeight="1" x14ac:dyDescent="0.2">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spans="1:26" ht="14.25" customHeight="1" x14ac:dyDescent="0.2">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spans="1:26" ht="14.25" customHeight="1" x14ac:dyDescent="0.2">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spans="1:26" ht="14.25" customHeight="1" x14ac:dyDescent="0.2">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spans="1:26" ht="14.25" customHeight="1" x14ac:dyDescent="0.2">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spans="1:26" ht="14.25" customHeight="1" x14ac:dyDescent="0.2">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spans="1:26" ht="14.25" customHeight="1" x14ac:dyDescent="0.2">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spans="1:26" ht="14.25" customHeight="1" x14ac:dyDescent="0.2">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spans="1:26" ht="14.25" customHeight="1" x14ac:dyDescent="0.2">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spans="1:26" ht="14.25" customHeight="1" x14ac:dyDescent="0.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spans="1:26" ht="14.25" customHeight="1" x14ac:dyDescent="0.2">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spans="1:26" ht="14.25" customHeight="1" x14ac:dyDescent="0.2">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spans="1:26" ht="14.25" customHeight="1" x14ac:dyDescent="0.2">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spans="1:26" ht="14.25" customHeight="1" x14ac:dyDescent="0.2">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spans="1:26" ht="14.25" customHeight="1" x14ac:dyDescent="0.2">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spans="1:26" ht="14.25" customHeight="1" x14ac:dyDescent="0.2">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spans="1:26" ht="14.25" customHeight="1" x14ac:dyDescent="0.2">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spans="1:26" ht="14.25" customHeight="1" x14ac:dyDescent="0.2">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spans="1:26" ht="14.25" customHeight="1" x14ac:dyDescent="0.2">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spans="1:26" ht="14.25" customHeight="1" x14ac:dyDescent="0.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spans="1:26" ht="14.25" customHeight="1" x14ac:dyDescent="0.2">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spans="1:26" ht="14.25" customHeight="1" x14ac:dyDescent="0.2">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spans="1:26" ht="14.25" customHeight="1" x14ac:dyDescent="0.2">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spans="1:26" ht="14.25" customHeight="1" x14ac:dyDescent="0.2">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spans="1:26" ht="14.25" customHeight="1" x14ac:dyDescent="0.2">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spans="1:26" ht="14.25" customHeight="1" x14ac:dyDescent="0.2">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spans="1:26" ht="14.25" customHeight="1" x14ac:dyDescent="0.2">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spans="1:26" ht="14.25" customHeight="1" x14ac:dyDescent="0.2">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spans="1:26" ht="14.25" customHeight="1" x14ac:dyDescent="0.2">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spans="1:26" ht="14.25" customHeight="1" x14ac:dyDescent="0.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spans="1:26" ht="14.25" customHeight="1" x14ac:dyDescent="0.2">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spans="1:26" ht="14.25" customHeight="1" x14ac:dyDescent="0.2">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spans="1:26" ht="14.25" customHeight="1" x14ac:dyDescent="0.2">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spans="1:26" ht="14.25" customHeight="1" x14ac:dyDescent="0.2">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spans="1:26" ht="14.25" customHeight="1" x14ac:dyDescent="0.2">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spans="1:26" ht="14.25" customHeight="1" x14ac:dyDescent="0.2">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spans="1:26" ht="14.25" customHeight="1" x14ac:dyDescent="0.2">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spans="1:26" ht="14.25" customHeight="1" x14ac:dyDescent="0.2">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spans="1:26" ht="14.25" customHeight="1" x14ac:dyDescent="0.2">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spans="1:26" ht="14.25" customHeight="1" x14ac:dyDescent="0.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spans="1:26" ht="14.25" customHeight="1" x14ac:dyDescent="0.2">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spans="1:26" ht="14.25" customHeight="1" x14ac:dyDescent="0.2">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spans="1:26" ht="14.25" customHeight="1" x14ac:dyDescent="0.2">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spans="1:26" ht="14.25" customHeight="1" x14ac:dyDescent="0.2">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spans="1:26" ht="14.25" customHeight="1" x14ac:dyDescent="0.2">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spans="1:26" ht="14.25" customHeight="1" x14ac:dyDescent="0.2">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spans="1:26" ht="14.25" customHeight="1" x14ac:dyDescent="0.2">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spans="1:26" ht="14.25" customHeight="1" x14ac:dyDescent="0.2">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spans="1:26" ht="14.25" customHeight="1" x14ac:dyDescent="0.2">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spans="1:26" ht="14.25" customHeight="1" x14ac:dyDescent="0.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spans="1:26" ht="14.25" customHeight="1" x14ac:dyDescent="0.2">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spans="1:26" ht="14.25" customHeight="1" x14ac:dyDescent="0.2">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spans="1:26" ht="14.25" customHeight="1" x14ac:dyDescent="0.2">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spans="1:26" ht="14.25" customHeight="1" x14ac:dyDescent="0.2">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spans="1:26" ht="14.25" customHeight="1" x14ac:dyDescent="0.2">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spans="1:26" ht="14.25" customHeight="1" x14ac:dyDescent="0.2">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spans="1:26" ht="14.25" customHeight="1" x14ac:dyDescent="0.2">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spans="1:26" ht="14.25" customHeight="1" x14ac:dyDescent="0.2">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spans="1:26" ht="14.25" customHeight="1" x14ac:dyDescent="0.2">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spans="1:26" ht="14.25" customHeight="1" x14ac:dyDescent="0.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spans="1:26" ht="14.25" customHeight="1" x14ac:dyDescent="0.2">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spans="1:26" ht="14.25" customHeight="1" x14ac:dyDescent="0.2">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spans="1:26" ht="14.25" customHeight="1" x14ac:dyDescent="0.2">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spans="1:26" ht="14.25" customHeight="1" x14ac:dyDescent="0.2">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spans="1:26" ht="14.25" customHeight="1" x14ac:dyDescent="0.2">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spans="1:26" ht="14.25" customHeight="1" x14ac:dyDescent="0.2">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spans="1:26" ht="14.25" customHeight="1" x14ac:dyDescent="0.2">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spans="1:26" ht="14.25" customHeight="1" x14ac:dyDescent="0.2">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spans="1:26" ht="14.25" customHeight="1" x14ac:dyDescent="0.2">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spans="1:26" ht="14.25" customHeight="1" x14ac:dyDescent="0.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spans="1:26" ht="14.25" customHeight="1" x14ac:dyDescent="0.2">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spans="1:26" ht="14.25" customHeight="1" x14ac:dyDescent="0.2">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spans="1:26" ht="14.25" customHeight="1" x14ac:dyDescent="0.2">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spans="1:26" ht="14.25" customHeight="1" x14ac:dyDescent="0.2">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spans="1:26" ht="14.25" customHeight="1" x14ac:dyDescent="0.2">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spans="1:26" ht="14.25" customHeight="1" x14ac:dyDescent="0.2">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spans="1:26" ht="14.25" customHeight="1" x14ac:dyDescent="0.2">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spans="1:26" ht="14.25" customHeight="1" x14ac:dyDescent="0.2">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spans="1:26" ht="14.25" customHeight="1" x14ac:dyDescent="0.2">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spans="1:26" ht="14.25" customHeight="1" x14ac:dyDescent="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spans="1:26" ht="14.25" customHeight="1" x14ac:dyDescent="0.2">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spans="1:26" ht="14.25" customHeight="1" x14ac:dyDescent="0.2">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spans="1:26" ht="14.25" customHeight="1" x14ac:dyDescent="0.2">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spans="1:26" ht="14.25" customHeight="1" x14ac:dyDescent="0.2">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spans="1:26" ht="14.25" customHeight="1" x14ac:dyDescent="0.2">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spans="1:26" ht="14.25" customHeight="1" x14ac:dyDescent="0.2">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spans="1:26" ht="14.25" customHeight="1" x14ac:dyDescent="0.2">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spans="1:26" ht="14.25" customHeight="1" x14ac:dyDescent="0.2">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spans="1:26" ht="14.25" customHeight="1" x14ac:dyDescent="0.2">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spans="1:26" ht="14.25" customHeight="1" x14ac:dyDescent="0.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spans="1:26" ht="14.25" customHeight="1" x14ac:dyDescent="0.2">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spans="1:26" ht="14.25" customHeight="1" x14ac:dyDescent="0.2">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spans="1:26" ht="14.25" customHeight="1" x14ac:dyDescent="0.2">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spans="1:26" ht="14.25" customHeight="1" x14ac:dyDescent="0.2">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spans="1:26" ht="14.25" customHeight="1" x14ac:dyDescent="0.2">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spans="1:26" ht="14.25" customHeight="1" x14ac:dyDescent="0.2">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spans="1:26" ht="14.25" customHeight="1" x14ac:dyDescent="0.2">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spans="1:26" ht="14.25" customHeight="1" x14ac:dyDescent="0.2">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spans="1:26" ht="14.25" customHeight="1" x14ac:dyDescent="0.2">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spans="1:26" ht="14.25" customHeight="1" x14ac:dyDescent="0.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spans="1:26" ht="14.25" customHeight="1" x14ac:dyDescent="0.2">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spans="1:26" ht="14.25" customHeight="1" x14ac:dyDescent="0.2">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spans="1:26" ht="14.25" customHeight="1" x14ac:dyDescent="0.2">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spans="1:26" ht="14.25" customHeight="1" x14ac:dyDescent="0.2">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spans="1:26" ht="14.25" customHeight="1" x14ac:dyDescent="0.2">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spans="1:26" ht="14.25" customHeight="1" x14ac:dyDescent="0.2">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spans="1:26" ht="14.25" customHeight="1" x14ac:dyDescent="0.2">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spans="1:26" ht="14.25" customHeight="1" x14ac:dyDescent="0.2">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ht="14.25" customHeight="1" x14ac:dyDescent="0.2">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spans="1:26" ht="14.25" customHeight="1" x14ac:dyDescent="0.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spans="1:26" ht="14.25" customHeight="1" x14ac:dyDescent="0.2">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spans="1:26" ht="14.25" customHeight="1" x14ac:dyDescent="0.2">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spans="1:26" ht="14.25" customHeight="1" x14ac:dyDescent="0.2">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spans="1:26" ht="14.25" customHeight="1" x14ac:dyDescent="0.2">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ht="14.25" customHeight="1" x14ac:dyDescent="0.2">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ht="14.25" customHeight="1" x14ac:dyDescent="0.2">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ht="14.25" customHeight="1" x14ac:dyDescent="0.2">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ht="14.25" customHeight="1" x14ac:dyDescent="0.2">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ht="14.25" customHeight="1" x14ac:dyDescent="0.2">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ht="14.25" customHeight="1" x14ac:dyDescent="0.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ht="14.25" customHeight="1" x14ac:dyDescent="0.2">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ht="14.25" customHeight="1" x14ac:dyDescent="0.2">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14.25" customHeight="1" x14ac:dyDescent="0.2">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14.25" customHeight="1" x14ac:dyDescent="0.2">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ht="14.25" customHeight="1" x14ac:dyDescent="0.2">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ht="14.25" customHeight="1" x14ac:dyDescent="0.2">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ht="14.25" customHeight="1" x14ac:dyDescent="0.2">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ht="14.25" customHeight="1" x14ac:dyDescent="0.2">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ht="14.25" customHeight="1" x14ac:dyDescent="0.2">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ht="14.25" customHeight="1" x14ac:dyDescent="0.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ht="14.25" customHeight="1" x14ac:dyDescent="0.2">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ht="14.25"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4.25"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4.25"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4.25"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4.25"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4.25"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4.25"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4.25"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4.25"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4.25"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4.25"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4.25"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4.25"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4.25"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4.25"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4.25"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4.25"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4.25"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4.25"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4.25"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4.25"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4.25"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4.25" customHeight="1" x14ac:dyDescent="0.2">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4.25" customHeight="1" x14ac:dyDescent="0.2">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4.25" customHeight="1" x14ac:dyDescent="0.2">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4.25" customHeight="1" x14ac:dyDescent="0.2">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4.25" customHeight="1" x14ac:dyDescent="0.2">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4.25" customHeight="1" x14ac:dyDescent="0.2">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4.25" customHeight="1" x14ac:dyDescent="0.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4.25" customHeight="1" x14ac:dyDescent="0.2">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4.25" customHeight="1" x14ac:dyDescent="0.2">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4.25" customHeight="1" x14ac:dyDescent="0.2">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4.25" customHeight="1" x14ac:dyDescent="0.2">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4.25" customHeight="1" x14ac:dyDescent="0.2">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4.25" customHeight="1" x14ac:dyDescent="0.2">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4.25" customHeight="1" x14ac:dyDescent="0.2">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4.25" customHeight="1" x14ac:dyDescent="0.2">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4.25" customHeight="1" x14ac:dyDescent="0.2">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4.25" customHeight="1" x14ac:dyDescent="0.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4.25" customHeight="1" x14ac:dyDescent="0.2">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4.25" customHeight="1" x14ac:dyDescent="0.2">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4.25" customHeight="1" x14ac:dyDescent="0.2">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4.25" customHeight="1" x14ac:dyDescent="0.2">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2">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2">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2">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2">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2">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2">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2">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2">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2">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2">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2">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2">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2">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2">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2">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2">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2">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2">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3.5" customHeight="1" x14ac:dyDescent="0.2">
      <c r="C317" s="67"/>
    </row>
    <row r="318" spans="1:26" ht="13.5" customHeight="1" x14ac:dyDescent="0.2">
      <c r="C318" s="67"/>
    </row>
    <row r="319" spans="1:26" ht="13.5" customHeight="1" x14ac:dyDescent="0.2">
      <c r="C319" s="67"/>
    </row>
    <row r="320" spans="1:26" ht="13.5" customHeight="1" x14ac:dyDescent="0.2">
      <c r="C320" s="67"/>
    </row>
    <row r="321" spans="3:3" ht="13.5" customHeight="1" x14ac:dyDescent="0.2">
      <c r="C321" s="67"/>
    </row>
    <row r="322" spans="3:3" ht="13.5" customHeight="1" x14ac:dyDescent="0.2">
      <c r="C322" s="67"/>
    </row>
    <row r="323" spans="3:3" ht="13.5" customHeight="1" x14ac:dyDescent="0.2">
      <c r="C323" s="67"/>
    </row>
    <row r="324" spans="3:3" ht="13.5" customHeight="1" x14ac:dyDescent="0.2">
      <c r="C324" s="67"/>
    </row>
    <row r="325" spans="3:3" ht="13.5" customHeight="1" x14ac:dyDescent="0.2">
      <c r="C325" s="67"/>
    </row>
    <row r="326" spans="3:3" ht="13.5" customHeight="1" x14ac:dyDescent="0.2">
      <c r="C326" s="67"/>
    </row>
    <row r="327" spans="3:3" ht="13.5" customHeight="1" x14ac:dyDescent="0.2">
      <c r="C327" s="67"/>
    </row>
    <row r="328" spans="3:3" ht="13.5" customHeight="1" x14ac:dyDescent="0.2">
      <c r="C328" s="67"/>
    </row>
    <row r="329" spans="3:3" ht="13.5" customHeight="1" x14ac:dyDescent="0.2">
      <c r="C329" s="67"/>
    </row>
    <row r="330" spans="3:3" ht="13.5" customHeight="1" x14ac:dyDescent="0.2">
      <c r="C330" s="67"/>
    </row>
    <row r="331" spans="3:3" ht="13.5" customHeight="1" x14ac:dyDescent="0.2">
      <c r="C331" s="67"/>
    </row>
    <row r="332" spans="3:3" ht="13.5" customHeight="1" x14ac:dyDescent="0.2">
      <c r="C332" s="67"/>
    </row>
    <row r="333" spans="3:3" ht="13.5" customHeight="1" x14ac:dyDescent="0.2">
      <c r="C333" s="67"/>
    </row>
    <row r="334" spans="3:3" ht="13.5" customHeight="1" x14ac:dyDescent="0.2">
      <c r="C334" s="67"/>
    </row>
    <row r="335" spans="3:3" ht="13.5" customHeight="1" x14ac:dyDescent="0.2">
      <c r="C335" s="67"/>
    </row>
    <row r="336" spans="3:3" ht="13.5" customHeight="1" x14ac:dyDescent="0.2">
      <c r="C336" s="67"/>
    </row>
    <row r="337" spans="3:3" ht="13.5" customHeight="1" x14ac:dyDescent="0.2">
      <c r="C337" s="67"/>
    </row>
    <row r="338" spans="3:3" ht="13.5" customHeight="1" x14ac:dyDescent="0.2">
      <c r="C338" s="67"/>
    </row>
    <row r="339" spans="3:3" ht="13.5" customHeight="1" x14ac:dyDescent="0.2">
      <c r="C339" s="67"/>
    </row>
    <row r="340" spans="3:3" ht="13.5" customHeight="1" x14ac:dyDescent="0.2">
      <c r="C340" s="67"/>
    </row>
    <row r="341" spans="3:3" ht="13.5" customHeight="1" x14ac:dyDescent="0.2">
      <c r="C341" s="67"/>
    </row>
    <row r="342" spans="3:3" ht="13.5" customHeight="1" x14ac:dyDescent="0.2">
      <c r="C342" s="67"/>
    </row>
    <row r="343" spans="3:3" ht="13.5" customHeight="1" x14ac:dyDescent="0.2">
      <c r="C343" s="67"/>
    </row>
    <row r="344" spans="3:3" ht="13.5" customHeight="1" x14ac:dyDescent="0.2">
      <c r="C344" s="67"/>
    </row>
    <row r="345" spans="3:3" ht="13.5" customHeight="1" x14ac:dyDescent="0.2">
      <c r="C345" s="67"/>
    </row>
    <row r="346" spans="3:3" ht="13.5" customHeight="1" x14ac:dyDescent="0.2">
      <c r="C346" s="67"/>
    </row>
    <row r="347" spans="3:3" ht="13.5" customHeight="1" x14ac:dyDescent="0.2">
      <c r="C347" s="67"/>
    </row>
    <row r="348" spans="3:3" ht="13.5" customHeight="1" x14ac:dyDescent="0.2">
      <c r="C348" s="67"/>
    </row>
    <row r="349" spans="3:3" ht="13.5" customHeight="1" x14ac:dyDescent="0.2">
      <c r="C349" s="67"/>
    </row>
    <row r="350" spans="3:3" ht="13.5" customHeight="1" x14ac:dyDescent="0.2">
      <c r="C350" s="67"/>
    </row>
    <row r="351" spans="3:3" ht="13.5" customHeight="1" x14ac:dyDescent="0.2">
      <c r="C351" s="67"/>
    </row>
    <row r="352" spans="3:3" ht="13.5" customHeight="1" x14ac:dyDescent="0.2">
      <c r="C352" s="67"/>
    </row>
    <row r="353" spans="3:3" ht="13.5" customHeight="1" x14ac:dyDescent="0.2">
      <c r="C353" s="67"/>
    </row>
    <row r="354" spans="3:3" ht="13.5" customHeight="1" x14ac:dyDescent="0.2">
      <c r="C354" s="67"/>
    </row>
    <row r="355" spans="3:3" ht="13.5" customHeight="1" x14ac:dyDescent="0.2">
      <c r="C355" s="67"/>
    </row>
    <row r="356" spans="3:3" ht="13.5" customHeight="1" x14ac:dyDescent="0.2">
      <c r="C356" s="67"/>
    </row>
    <row r="357" spans="3:3" ht="13.5" customHeight="1" x14ac:dyDescent="0.2">
      <c r="C357" s="67"/>
    </row>
    <row r="358" spans="3:3" ht="13.5" customHeight="1" x14ac:dyDescent="0.2">
      <c r="C358" s="67"/>
    </row>
    <row r="359" spans="3:3" ht="13.5" customHeight="1" x14ac:dyDescent="0.2">
      <c r="C359" s="67"/>
    </row>
    <row r="360" spans="3:3" ht="13.5" customHeight="1" x14ac:dyDescent="0.2">
      <c r="C360" s="67"/>
    </row>
    <row r="361" spans="3:3" ht="13.5" customHeight="1" x14ac:dyDescent="0.2">
      <c r="C361" s="67"/>
    </row>
    <row r="362" spans="3:3" ht="13.5" customHeight="1" x14ac:dyDescent="0.2">
      <c r="C362" s="67"/>
    </row>
    <row r="363" spans="3:3" ht="13.5" customHeight="1" x14ac:dyDescent="0.2">
      <c r="C363" s="67"/>
    </row>
    <row r="364" spans="3:3" ht="13.5" customHeight="1" x14ac:dyDescent="0.2">
      <c r="C364" s="67"/>
    </row>
    <row r="365" spans="3:3" ht="13.5" customHeight="1" x14ac:dyDescent="0.2">
      <c r="C365" s="67"/>
    </row>
    <row r="366" spans="3:3" ht="13.5" customHeight="1" x14ac:dyDescent="0.2">
      <c r="C366" s="67"/>
    </row>
    <row r="367" spans="3:3" ht="13.5" customHeight="1" x14ac:dyDescent="0.2">
      <c r="C367" s="67"/>
    </row>
    <row r="368" spans="3:3" ht="13.5" customHeight="1" x14ac:dyDescent="0.2">
      <c r="C368" s="67"/>
    </row>
    <row r="369" spans="3:3" ht="13.5" customHeight="1" x14ac:dyDescent="0.2">
      <c r="C369" s="67"/>
    </row>
    <row r="370" spans="3:3" ht="13.5" customHeight="1" x14ac:dyDescent="0.2">
      <c r="C370" s="67"/>
    </row>
    <row r="371" spans="3:3" ht="13.5" customHeight="1" x14ac:dyDescent="0.2">
      <c r="C371" s="67"/>
    </row>
    <row r="372" spans="3:3" ht="13.5" customHeight="1" x14ac:dyDescent="0.2">
      <c r="C372" s="67"/>
    </row>
    <row r="373" spans="3:3" ht="13.5" customHeight="1" x14ac:dyDescent="0.2">
      <c r="C373" s="67"/>
    </row>
    <row r="374" spans="3:3" ht="13.5" customHeight="1" x14ac:dyDescent="0.2">
      <c r="C374" s="67"/>
    </row>
    <row r="375" spans="3:3" ht="13.5" customHeight="1" x14ac:dyDescent="0.2">
      <c r="C375" s="67"/>
    </row>
    <row r="376" spans="3:3" ht="13.5" customHeight="1" x14ac:dyDescent="0.2">
      <c r="C376" s="67"/>
    </row>
    <row r="377" spans="3:3" ht="13.5" customHeight="1" x14ac:dyDescent="0.2">
      <c r="C377" s="67"/>
    </row>
    <row r="378" spans="3:3" ht="13.5" customHeight="1" x14ac:dyDescent="0.2">
      <c r="C378" s="67"/>
    </row>
    <row r="379" spans="3:3" ht="13.5" customHeight="1" x14ac:dyDescent="0.2">
      <c r="C379" s="67"/>
    </row>
    <row r="380" spans="3:3" ht="13.5" customHeight="1" x14ac:dyDescent="0.2">
      <c r="C380" s="67"/>
    </row>
    <row r="381" spans="3:3" ht="13.5" customHeight="1" x14ac:dyDescent="0.2">
      <c r="C381" s="67"/>
    </row>
    <row r="382" spans="3:3" ht="13.5" customHeight="1" x14ac:dyDescent="0.2">
      <c r="C382" s="67"/>
    </row>
    <row r="383" spans="3:3" ht="13.5" customHeight="1" x14ac:dyDescent="0.2">
      <c r="C383" s="67"/>
    </row>
    <row r="384" spans="3:3" ht="13.5" customHeight="1" x14ac:dyDescent="0.2">
      <c r="C384" s="67"/>
    </row>
    <row r="385" spans="3:3" ht="13.5" customHeight="1" x14ac:dyDescent="0.2">
      <c r="C385" s="67"/>
    </row>
    <row r="386" spans="3:3" ht="13.5" customHeight="1" x14ac:dyDescent="0.2">
      <c r="C386" s="67"/>
    </row>
    <row r="387" spans="3:3" ht="13.5" customHeight="1" x14ac:dyDescent="0.2">
      <c r="C387" s="67"/>
    </row>
    <row r="388" spans="3:3" ht="13.5" customHeight="1" x14ac:dyDescent="0.2">
      <c r="C388" s="67"/>
    </row>
    <row r="389" spans="3:3" ht="13.5" customHeight="1" x14ac:dyDescent="0.2">
      <c r="C389" s="67"/>
    </row>
    <row r="390" spans="3:3" ht="13.5" customHeight="1" x14ac:dyDescent="0.2">
      <c r="C390" s="67"/>
    </row>
    <row r="391" spans="3:3" ht="13.5" customHeight="1" x14ac:dyDescent="0.2">
      <c r="C391" s="67"/>
    </row>
    <row r="392" spans="3:3" ht="13.5" customHeight="1" x14ac:dyDescent="0.2">
      <c r="C392" s="67"/>
    </row>
    <row r="393" spans="3:3" ht="13.5" customHeight="1" x14ac:dyDescent="0.2">
      <c r="C393" s="67"/>
    </row>
    <row r="394" spans="3:3" ht="13.5" customHeight="1" x14ac:dyDescent="0.2">
      <c r="C394" s="67"/>
    </row>
    <row r="395" spans="3:3" ht="13.5" customHeight="1" x14ac:dyDescent="0.2">
      <c r="C395" s="67"/>
    </row>
    <row r="396" spans="3:3" ht="13.5" customHeight="1" x14ac:dyDescent="0.2">
      <c r="C396" s="67"/>
    </row>
    <row r="397" spans="3:3" ht="13.5" customHeight="1" x14ac:dyDescent="0.2">
      <c r="C397" s="67"/>
    </row>
    <row r="398" spans="3:3" ht="13.5" customHeight="1" x14ac:dyDescent="0.2">
      <c r="C398" s="67"/>
    </row>
    <row r="399" spans="3:3" ht="13.5" customHeight="1" x14ac:dyDescent="0.2">
      <c r="C399" s="67"/>
    </row>
    <row r="400" spans="3:3" ht="13.5" customHeight="1" x14ac:dyDescent="0.2">
      <c r="C400" s="67"/>
    </row>
    <row r="401" spans="3:3" ht="13.5" customHeight="1" x14ac:dyDescent="0.2">
      <c r="C401" s="67"/>
    </row>
    <row r="402" spans="3:3" ht="13.5" customHeight="1" x14ac:dyDescent="0.2">
      <c r="C402" s="67"/>
    </row>
    <row r="403" spans="3:3" ht="13.5" customHeight="1" x14ac:dyDescent="0.2">
      <c r="C403" s="67"/>
    </row>
    <row r="404" spans="3:3" ht="13.5" customHeight="1" x14ac:dyDescent="0.2">
      <c r="C404" s="67"/>
    </row>
    <row r="405" spans="3:3" ht="13.5" customHeight="1" x14ac:dyDescent="0.2">
      <c r="C405" s="67"/>
    </row>
    <row r="406" spans="3:3" ht="13.5" customHeight="1" x14ac:dyDescent="0.2">
      <c r="C406" s="67"/>
    </row>
    <row r="407" spans="3:3" ht="13.5" customHeight="1" x14ac:dyDescent="0.2">
      <c r="C407" s="67"/>
    </row>
    <row r="408" spans="3:3" ht="13.5" customHeight="1" x14ac:dyDescent="0.2">
      <c r="C408" s="67"/>
    </row>
    <row r="409" spans="3:3" ht="13.5" customHeight="1" x14ac:dyDescent="0.2">
      <c r="C409" s="67"/>
    </row>
    <row r="410" spans="3:3" ht="13.5" customHeight="1" x14ac:dyDescent="0.2">
      <c r="C410" s="67"/>
    </row>
    <row r="411" spans="3:3" ht="13.5" customHeight="1" x14ac:dyDescent="0.2">
      <c r="C411" s="67"/>
    </row>
    <row r="412" spans="3:3" ht="13.5" customHeight="1" x14ac:dyDescent="0.2">
      <c r="C412" s="67"/>
    </row>
    <row r="413" spans="3:3" ht="13.5" customHeight="1" x14ac:dyDescent="0.2">
      <c r="C413" s="67"/>
    </row>
    <row r="414" spans="3:3" ht="13.5" customHeight="1" x14ac:dyDescent="0.2">
      <c r="C414" s="67"/>
    </row>
    <row r="415" spans="3:3" ht="13.5" customHeight="1" x14ac:dyDescent="0.2">
      <c r="C415" s="67"/>
    </row>
    <row r="416" spans="3:3" ht="13.5" customHeight="1" x14ac:dyDescent="0.2">
      <c r="C416" s="67"/>
    </row>
    <row r="417" spans="3:3" ht="13.5" customHeight="1" x14ac:dyDescent="0.2">
      <c r="C417" s="67"/>
    </row>
    <row r="418" spans="3:3" ht="13.5" customHeight="1" x14ac:dyDescent="0.2">
      <c r="C418" s="67"/>
    </row>
    <row r="419" spans="3:3" ht="13.5" customHeight="1" x14ac:dyDescent="0.2">
      <c r="C419" s="67"/>
    </row>
    <row r="420" spans="3:3" ht="13.5" customHeight="1" x14ac:dyDescent="0.2">
      <c r="C420" s="67"/>
    </row>
    <row r="421" spans="3:3" ht="13.5" customHeight="1" x14ac:dyDescent="0.2">
      <c r="C421" s="67"/>
    </row>
    <row r="422" spans="3:3" ht="13.5" customHeight="1" x14ac:dyDescent="0.2">
      <c r="C422" s="67"/>
    </row>
    <row r="423" spans="3:3" ht="13.5" customHeight="1" x14ac:dyDescent="0.2">
      <c r="C423" s="67"/>
    </row>
    <row r="424" spans="3:3" ht="13.5" customHeight="1" x14ac:dyDescent="0.2">
      <c r="C424" s="67"/>
    </row>
    <row r="425" spans="3:3" ht="13.5" customHeight="1" x14ac:dyDescent="0.2">
      <c r="C425" s="67"/>
    </row>
    <row r="426" spans="3:3" ht="13.5" customHeight="1" x14ac:dyDescent="0.2">
      <c r="C426" s="67"/>
    </row>
    <row r="427" spans="3:3" ht="13.5" customHeight="1" x14ac:dyDescent="0.2">
      <c r="C427" s="67"/>
    </row>
    <row r="428" spans="3:3" ht="13.5" customHeight="1" x14ac:dyDescent="0.2">
      <c r="C428" s="67"/>
    </row>
    <row r="429" spans="3:3" ht="13.5" customHeight="1" x14ac:dyDescent="0.2">
      <c r="C429" s="67"/>
    </row>
    <row r="430" spans="3:3" ht="13.5" customHeight="1" x14ac:dyDescent="0.2">
      <c r="C430" s="67"/>
    </row>
    <row r="431" spans="3:3" ht="13.5" customHeight="1" x14ac:dyDescent="0.2">
      <c r="C431" s="67"/>
    </row>
    <row r="432" spans="3:3" ht="13.5" customHeight="1" x14ac:dyDescent="0.2">
      <c r="C432" s="67"/>
    </row>
    <row r="433" spans="3:3" ht="13.5" customHeight="1" x14ac:dyDescent="0.2">
      <c r="C433" s="67"/>
    </row>
    <row r="434" spans="3:3" ht="13.5" customHeight="1" x14ac:dyDescent="0.2">
      <c r="C434" s="67"/>
    </row>
    <row r="435" spans="3:3" ht="13.5" customHeight="1" x14ac:dyDescent="0.2">
      <c r="C435" s="67"/>
    </row>
    <row r="436" spans="3:3" ht="13.5" customHeight="1" x14ac:dyDescent="0.2">
      <c r="C436" s="67"/>
    </row>
    <row r="437" spans="3:3" ht="13.5" customHeight="1" x14ac:dyDescent="0.2">
      <c r="C437" s="67"/>
    </row>
    <row r="438" spans="3:3" ht="13.5" customHeight="1" x14ac:dyDescent="0.2">
      <c r="C438" s="67"/>
    </row>
    <row r="439" spans="3:3" ht="13.5" customHeight="1" x14ac:dyDescent="0.2">
      <c r="C439" s="67"/>
    </row>
    <row r="440" spans="3:3" ht="13.5" customHeight="1" x14ac:dyDescent="0.2">
      <c r="C440" s="67"/>
    </row>
    <row r="441" spans="3:3" ht="13.5" customHeight="1" x14ac:dyDescent="0.2">
      <c r="C441" s="67"/>
    </row>
    <row r="442" spans="3:3" ht="13.5" customHeight="1" x14ac:dyDescent="0.2">
      <c r="C442" s="67"/>
    </row>
    <row r="443" spans="3:3" ht="13.5" customHeight="1" x14ac:dyDescent="0.2">
      <c r="C443" s="67"/>
    </row>
    <row r="444" spans="3:3" ht="13.5" customHeight="1" x14ac:dyDescent="0.2">
      <c r="C444" s="67"/>
    </row>
    <row r="445" spans="3:3" ht="13.5" customHeight="1" x14ac:dyDescent="0.2">
      <c r="C445" s="67"/>
    </row>
    <row r="446" spans="3:3" ht="13.5" customHeight="1" x14ac:dyDescent="0.2">
      <c r="C446" s="67"/>
    </row>
    <row r="447" spans="3:3" ht="13.5" customHeight="1" x14ac:dyDescent="0.2">
      <c r="C447" s="67"/>
    </row>
    <row r="448" spans="3:3" ht="13.5" customHeight="1" x14ac:dyDescent="0.2">
      <c r="C448" s="67"/>
    </row>
    <row r="449" spans="3:3" ht="13.5" customHeight="1" x14ac:dyDescent="0.2">
      <c r="C449" s="67"/>
    </row>
    <row r="450" spans="3:3" ht="13.5" customHeight="1" x14ac:dyDescent="0.2">
      <c r="C450" s="67"/>
    </row>
    <row r="451" spans="3:3" ht="13.5" customHeight="1" x14ac:dyDescent="0.2">
      <c r="C451" s="67"/>
    </row>
    <row r="452" spans="3:3" ht="13.5" customHeight="1" x14ac:dyDescent="0.2">
      <c r="C452" s="67"/>
    </row>
    <row r="453" spans="3:3" ht="13.5" customHeight="1" x14ac:dyDescent="0.2">
      <c r="C453" s="67"/>
    </row>
    <row r="454" spans="3:3" ht="13.5" customHeight="1" x14ac:dyDescent="0.2">
      <c r="C454" s="67"/>
    </row>
    <row r="455" spans="3:3" ht="13.5" customHeight="1" x14ac:dyDescent="0.2">
      <c r="C455" s="67"/>
    </row>
    <row r="456" spans="3:3" ht="13.5" customHeight="1" x14ac:dyDescent="0.2">
      <c r="C456" s="67"/>
    </row>
    <row r="457" spans="3:3" ht="13.5" customHeight="1" x14ac:dyDescent="0.2">
      <c r="C457" s="67"/>
    </row>
    <row r="458" spans="3:3" ht="13.5" customHeight="1" x14ac:dyDescent="0.2">
      <c r="C458" s="67"/>
    </row>
    <row r="459" spans="3:3" ht="13.5" customHeight="1" x14ac:dyDescent="0.2">
      <c r="C459" s="67"/>
    </row>
    <row r="460" spans="3:3" ht="13.5" customHeight="1" x14ac:dyDescent="0.2">
      <c r="C460" s="67"/>
    </row>
    <row r="461" spans="3:3" ht="13.5" customHeight="1" x14ac:dyDescent="0.2">
      <c r="C461" s="67"/>
    </row>
    <row r="462" spans="3:3" ht="13.5" customHeight="1" x14ac:dyDescent="0.2">
      <c r="C462" s="67"/>
    </row>
    <row r="463" spans="3:3" ht="13.5" customHeight="1" x14ac:dyDescent="0.2">
      <c r="C463" s="67"/>
    </row>
    <row r="464" spans="3:3" ht="13.5" customHeight="1" x14ac:dyDescent="0.2">
      <c r="C464" s="67"/>
    </row>
    <row r="465" spans="3:3" ht="13.5" customHeight="1" x14ac:dyDescent="0.2">
      <c r="C465" s="67"/>
    </row>
    <row r="466" spans="3:3" ht="13.5" customHeight="1" x14ac:dyDescent="0.2">
      <c r="C466" s="67"/>
    </row>
    <row r="467" spans="3:3" ht="13.5" customHeight="1" x14ac:dyDescent="0.2">
      <c r="C467" s="67"/>
    </row>
    <row r="468" spans="3:3" ht="13.5" customHeight="1" x14ac:dyDescent="0.2">
      <c r="C468" s="67"/>
    </row>
    <row r="469" spans="3:3" ht="13.5" customHeight="1" x14ac:dyDescent="0.2">
      <c r="C469" s="67"/>
    </row>
    <row r="470" spans="3:3" ht="13.5" customHeight="1" x14ac:dyDescent="0.2">
      <c r="C470" s="67"/>
    </row>
    <row r="471" spans="3:3" ht="13.5" customHeight="1" x14ac:dyDescent="0.2">
      <c r="C471" s="67"/>
    </row>
    <row r="472" spans="3:3" ht="13.5" customHeight="1" x14ac:dyDescent="0.2">
      <c r="C472" s="67"/>
    </row>
    <row r="473" spans="3:3" ht="13.5" customHeight="1" x14ac:dyDescent="0.2">
      <c r="C473" s="67"/>
    </row>
    <row r="474" spans="3:3" ht="13.5" customHeight="1" x14ac:dyDescent="0.2">
      <c r="C474" s="67"/>
    </row>
    <row r="475" spans="3:3" ht="13.5" customHeight="1" x14ac:dyDescent="0.2">
      <c r="C475" s="67"/>
    </row>
    <row r="476" spans="3:3" ht="13.5" customHeight="1" x14ac:dyDescent="0.2">
      <c r="C476" s="67"/>
    </row>
    <row r="477" spans="3:3" ht="13.5" customHeight="1" x14ac:dyDescent="0.2">
      <c r="C477" s="67"/>
    </row>
    <row r="478" spans="3:3" ht="13.5" customHeight="1" x14ac:dyDescent="0.2">
      <c r="C478" s="67"/>
    </row>
    <row r="479" spans="3:3" ht="13.5" customHeight="1" x14ac:dyDescent="0.2">
      <c r="C479" s="67"/>
    </row>
    <row r="480" spans="3:3" ht="13.5" customHeight="1" x14ac:dyDescent="0.2">
      <c r="C480" s="67"/>
    </row>
    <row r="481" spans="3:3" ht="13.5" customHeight="1" x14ac:dyDescent="0.2">
      <c r="C481" s="67"/>
    </row>
    <row r="482" spans="3:3" ht="13.5" customHeight="1" x14ac:dyDescent="0.2">
      <c r="C482" s="67"/>
    </row>
    <row r="483" spans="3:3" ht="13.5" customHeight="1" x14ac:dyDescent="0.2">
      <c r="C483" s="67"/>
    </row>
    <row r="484" spans="3:3" ht="13.5" customHeight="1" x14ac:dyDescent="0.2">
      <c r="C484" s="67"/>
    </row>
    <row r="485" spans="3:3" ht="13.5" customHeight="1" x14ac:dyDescent="0.2">
      <c r="C485" s="67"/>
    </row>
    <row r="486" spans="3:3" ht="13.5" customHeight="1" x14ac:dyDescent="0.2">
      <c r="C486" s="67"/>
    </row>
    <row r="487" spans="3:3" ht="13.5" customHeight="1" x14ac:dyDescent="0.2">
      <c r="C487" s="67"/>
    </row>
    <row r="488" spans="3:3" ht="13.5" customHeight="1" x14ac:dyDescent="0.2">
      <c r="C488" s="67"/>
    </row>
    <row r="489" spans="3:3" ht="13.5" customHeight="1" x14ac:dyDescent="0.2">
      <c r="C489" s="67"/>
    </row>
    <row r="490" spans="3:3" ht="13.5" customHeight="1" x14ac:dyDescent="0.2">
      <c r="C490" s="67"/>
    </row>
    <row r="491" spans="3:3" ht="13.5" customHeight="1" x14ac:dyDescent="0.2">
      <c r="C491" s="67"/>
    </row>
    <row r="492" spans="3:3" ht="13.5" customHeight="1" x14ac:dyDescent="0.2">
      <c r="C492" s="67"/>
    </row>
    <row r="493" spans="3:3" ht="13.5" customHeight="1" x14ac:dyDescent="0.2">
      <c r="C493" s="67"/>
    </row>
    <row r="494" spans="3:3" ht="13.5" customHeight="1" x14ac:dyDescent="0.2">
      <c r="C494" s="67"/>
    </row>
    <row r="495" spans="3:3" ht="13.5" customHeight="1" x14ac:dyDescent="0.2">
      <c r="C495" s="67"/>
    </row>
    <row r="496" spans="3:3" ht="13.5" customHeight="1" x14ac:dyDescent="0.2">
      <c r="C496" s="67"/>
    </row>
    <row r="497" spans="3:3" ht="13.5" customHeight="1" x14ac:dyDescent="0.2">
      <c r="C497" s="67"/>
    </row>
    <row r="498" spans="3:3" ht="13.5" customHeight="1" x14ac:dyDescent="0.2">
      <c r="C498" s="67"/>
    </row>
    <row r="499" spans="3:3" ht="13.5" customHeight="1" x14ac:dyDescent="0.2">
      <c r="C499" s="67"/>
    </row>
    <row r="500" spans="3:3" ht="13.5" customHeight="1" x14ac:dyDescent="0.2">
      <c r="C500" s="67"/>
    </row>
    <row r="501" spans="3:3" ht="13.5" customHeight="1" x14ac:dyDescent="0.2">
      <c r="C501" s="67"/>
    </row>
    <row r="502" spans="3:3" ht="13.5" customHeight="1" x14ac:dyDescent="0.2">
      <c r="C502" s="67"/>
    </row>
    <row r="503" spans="3:3" ht="13.5" customHeight="1" x14ac:dyDescent="0.2">
      <c r="C503" s="67"/>
    </row>
    <row r="504" spans="3:3" ht="13.5" customHeight="1" x14ac:dyDescent="0.2">
      <c r="C504" s="67"/>
    </row>
    <row r="505" spans="3:3" ht="13.5" customHeight="1" x14ac:dyDescent="0.2">
      <c r="C505" s="67"/>
    </row>
    <row r="506" spans="3:3" ht="13.5" customHeight="1" x14ac:dyDescent="0.2">
      <c r="C506" s="67"/>
    </row>
    <row r="507" spans="3:3" ht="13.5" customHeight="1" x14ac:dyDescent="0.2">
      <c r="C507" s="67"/>
    </row>
    <row r="508" spans="3:3" ht="13.5" customHeight="1" x14ac:dyDescent="0.2">
      <c r="C508" s="67"/>
    </row>
    <row r="509" spans="3:3" ht="13.5" customHeight="1" x14ac:dyDescent="0.2">
      <c r="C509" s="67"/>
    </row>
    <row r="510" spans="3:3" ht="13.5" customHeight="1" x14ac:dyDescent="0.2">
      <c r="C510" s="67"/>
    </row>
    <row r="511" spans="3:3" ht="13.5" customHeight="1" x14ac:dyDescent="0.2">
      <c r="C511" s="67"/>
    </row>
    <row r="512" spans="3:3" ht="13.5" customHeight="1" x14ac:dyDescent="0.2">
      <c r="C512" s="67"/>
    </row>
    <row r="513" spans="3:3" ht="13.5" customHeight="1" x14ac:dyDescent="0.2">
      <c r="C513" s="67"/>
    </row>
    <row r="514" spans="3:3" ht="13.5" customHeight="1" x14ac:dyDescent="0.2">
      <c r="C514" s="67"/>
    </row>
    <row r="515" spans="3:3" ht="13.5" customHeight="1" x14ac:dyDescent="0.2">
      <c r="C515" s="67"/>
    </row>
    <row r="516" spans="3:3" ht="13.5" customHeight="1" x14ac:dyDescent="0.2">
      <c r="C516" s="67"/>
    </row>
    <row r="517" spans="3:3" ht="13.5" customHeight="1" x14ac:dyDescent="0.2">
      <c r="C517" s="67"/>
    </row>
    <row r="518" spans="3:3" ht="13.5" customHeight="1" x14ac:dyDescent="0.2">
      <c r="C518" s="67"/>
    </row>
    <row r="519" spans="3:3" ht="13.5" customHeight="1" x14ac:dyDescent="0.2">
      <c r="C519" s="67"/>
    </row>
    <row r="520" spans="3:3" ht="13.5" customHeight="1" x14ac:dyDescent="0.2">
      <c r="C520" s="67"/>
    </row>
    <row r="521" spans="3:3" ht="13.5" customHeight="1" x14ac:dyDescent="0.2">
      <c r="C521" s="67"/>
    </row>
    <row r="522" spans="3:3" ht="13.5" customHeight="1" x14ac:dyDescent="0.2">
      <c r="C522" s="67"/>
    </row>
    <row r="523" spans="3:3" ht="13.5" customHeight="1" x14ac:dyDescent="0.2">
      <c r="C523" s="67"/>
    </row>
    <row r="524" spans="3:3" ht="13.5" customHeight="1" x14ac:dyDescent="0.2">
      <c r="C524" s="67"/>
    </row>
    <row r="525" spans="3:3" ht="13.5" customHeight="1" x14ac:dyDescent="0.2">
      <c r="C525" s="67"/>
    </row>
    <row r="526" spans="3:3" ht="13.5" customHeight="1" x14ac:dyDescent="0.2">
      <c r="C526" s="67"/>
    </row>
    <row r="527" spans="3:3" ht="13.5" customHeight="1" x14ac:dyDescent="0.2">
      <c r="C527" s="67"/>
    </row>
    <row r="528" spans="3:3" ht="13.5" customHeight="1" x14ac:dyDescent="0.2">
      <c r="C528" s="67"/>
    </row>
    <row r="529" spans="3:3" ht="13.5" customHeight="1" x14ac:dyDescent="0.2">
      <c r="C529" s="67"/>
    </row>
    <row r="530" spans="3:3" ht="13.5" customHeight="1" x14ac:dyDescent="0.2">
      <c r="C530" s="67"/>
    </row>
    <row r="531" spans="3:3" ht="13.5" customHeight="1" x14ac:dyDescent="0.2">
      <c r="C531" s="67"/>
    </row>
    <row r="532" spans="3:3" ht="13.5" customHeight="1" x14ac:dyDescent="0.2">
      <c r="C532" s="67"/>
    </row>
    <row r="533" spans="3:3" ht="13.5" customHeight="1" x14ac:dyDescent="0.2">
      <c r="C533" s="67"/>
    </row>
    <row r="534" spans="3:3" ht="13.5" customHeight="1" x14ac:dyDescent="0.2">
      <c r="C534" s="67"/>
    </row>
    <row r="535" spans="3:3" ht="13.5" customHeight="1" x14ac:dyDescent="0.2">
      <c r="C535" s="67"/>
    </row>
    <row r="536" spans="3:3" ht="13.5" customHeight="1" x14ac:dyDescent="0.2">
      <c r="C536" s="67"/>
    </row>
    <row r="537" spans="3:3" ht="13.5" customHeight="1" x14ac:dyDescent="0.2">
      <c r="C537" s="67"/>
    </row>
    <row r="538" spans="3:3" ht="13.5" customHeight="1" x14ac:dyDescent="0.2">
      <c r="C538" s="67"/>
    </row>
    <row r="539" spans="3:3" ht="13.5" customHeight="1" x14ac:dyDescent="0.2">
      <c r="C539" s="67"/>
    </row>
    <row r="540" spans="3:3" ht="13.5" customHeight="1" x14ac:dyDescent="0.2">
      <c r="C540" s="67"/>
    </row>
    <row r="541" spans="3:3" ht="13.5" customHeight="1" x14ac:dyDescent="0.2">
      <c r="C541" s="67"/>
    </row>
    <row r="542" spans="3:3" ht="13.5" customHeight="1" x14ac:dyDescent="0.2">
      <c r="C542" s="67"/>
    </row>
    <row r="543" spans="3:3" ht="13.5" customHeight="1" x14ac:dyDescent="0.2">
      <c r="C543" s="67"/>
    </row>
    <row r="544" spans="3:3" ht="13.5" customHeight="1" x14ac:dyDescent="0.2">
      <c r="C544" s="67"/>
    </row>
    <row r="545" spans="3:3" ht="13.5" customHeight="1" x14ac:dyDescent="0.2">
      <c r="C545" s="67"/>
    </row>
    <row r="546" spans="3:3" ht="13.5" customHeight="1" x14ac:dyDescent="0.2">
      <c r="C546" s="67"/>
    </row>
    <row r="547" spans="3:3" ht="13.5" customHeight="1" x14ac:dyDescent="0.2">
      <c r="C547" s="67"/>
    </row>
    <row r="548" spans="3:3" ht="13.5" customHeight="1" x14ac:dyDescent="0.2">
      <c r="C548" s="67"/>
    </row>
    <row r="549" spans="3:3" ht="13.5" customHeight="1" x14ac:dyDescent="0.2">
      <c r="C549" s="67"/>
    </row>
    <row r="550" spans="3:3" ht="13.5" customHeight="1" x14ac:dyDescent="0.2">
      <c r="C550" s="67"/>
    </row>
    <row r="551" spans="3:3" ht="13.5" customHeight="1" x14ac:dyDescent="0.2">
      <c r="C551" s="67"/>
    </row>
    <row r="552" spans="3:3" ht="13.5" customHeight="1" x14ac:dyDescent="0.2">
      <c r="C552" s="67"/>
    </row>
    <row r="553" spans="3:3" ht="13.5" customHeight="1" x14ac:dyDescent="0.2">
      <c r="C553" s="67"/>
    </row>
    <row r="554" spans="3:3" ht="13.5" customHeight="1" x14ac:dyDescent="0.2">
      <c r="C554" s="67"/>
    </row>
    <row r="555" spans="3:3" ht="13.5" customHeight="1" x14ac:dyDescent="0.2">
      <c r="C555" s="67"/>
    </row>
    <row r="556" spans="3:3" ht="13.5" customHeight="1" x14ac:dyDescent="0.2">
      <c r="C556" s="67"/>
    </row>
    <row r="557" spans="3:3" ht="13.5" customHeight="1" x14ac:dyDescent="0.2">
      <c r="C557" s="67"/>
    </row>
    <row r="558" spans="3:3" ht="13.5" customHeight="1" x14ac:dyDescent="0.2">
      <c r="C558" s="67"/>
    </row>
    <row r="559" spans="3:3" ht="13.5" customHeight="1" x14ac:dyDescent="0.2">
      <c r="C559" s="67"/>
    </row>
    <row r="560" spans="3:3" ht="13.5" customHeight="1" x14ac:dyDescent="0.2">
      <c r="C560" s="67"/>
    </row>
    <row r="561" spans="3:3" ht="13.5" customHeight="1" x14ac:dyDescent="0.2">
      <c r="C561" s="67"/>
    </row>
    <row r="562" spans="3:3" ht="13.5" customHeight="1" x14ac:dyDescent="0.2">
      <c r="C562" s="67"/>
    </row>
    <row r="563" spans="3:3" ht="13.5" customHeight="1" x14ac:dyDescent="0.2">
      <c r="C563" s="67"/>
    </row>
    <row r="564" spans="3:3" ht="13.5" customHeight="1" x14ac:dyDescent="0.2">
      <c r="C564" s="67"/>
    </row>
    <row r="565" spans="3:3" ht="13.5" customHeight="1" x14ac:dyDescent="0.2">
      <c r="C565" s="67"/>
    </row>
    <row r="566" spans="3:3" ht="13.5" customHeight="1" x14ac:dyDescent="0.2">
      <c r="C566" s="67"/>
    </row>
    <row r="567" spans="3:3" ht="13.5" customHeight="1" x14ac:dyDescent="0.2">
      <c r="C567" s="67"/>
    </row>
    <row r="568" spans="3:3" ht="13.5" customHeight="1" x14ac:dyDescent="0.2">
      <c r="C568" s="67"/>
    </row>
    <row r="569" spans="3:3" ht="13.5" customHeight="1" x14ac:dyDescent="0.2">
      <c r="C569" s="67"/>
    </row>
    <row r="570" spans="3:3" ht="13.5" customHeight="1" x14ac:dyDescent="0.2">
      <c r="C570" s="67"/>
    </row>
    <row r="571" spans="3:3" ht="13.5" customHeight="1" x14ac:dyDescent="0.2">
      <c r="C571" s="67"/>
    </row>
    <row r="572" spans="3:3" ht="13.5" customHeight="1" x14ac:dyDescent="0.2">
      <c r="C572" s="67"/>
    </row>
    <row r="573" spans="3:3" ht="13.5" customHeight="1" x14ac:dyDescent="0.2">
      <c r="C573" s="67"/>
    </row>
    <row r="574" spans="3:3" ht="13.5" customHeight="1" x14ac:dyDescent="0.2">
      <c r="C574" s="67"/>
    </row>
    <row r="575" spans="3:3" ht="13.5" customHeight="1" x14ac:dyDescent="0.2">
      <c r="C575" s="67"/>
    </row>
    <row r="576" spans="3:3" ht="13.5" customHeight="1" x14ac:dyDescent="0.2">
      <c r="C576" s="67"/>
    </row>
    <row r="577" spans="3:3" ht="13.5" customHeight="1" x14ac:dyDescent="0.2">
      <c r="C577" s="67"/>
    </row>
    <row r="578" spans="3:3" ht="13.5" customHeight="1" x14ac:dyDescent="0.2">
      <c r="C578" s="67"/>
    </row>
    <row r="579" spans="3:3" ht="13.5" customHeight="1" x14ac:dyDescent="0.2">
      <c r="C579" s="67"/>
    </row>
    <row r="580" spans="3:3" ht="13.5" customHeight="1" x14ac:dyDescent="0.2">
      <c r="C580" s="67"/>
    </row>
    <row r="581" spans="3:3" ht="13.5" customHeight="1" x14ac:dyDescent="0.2">
      <c r="C581" s="67"/>
    </row>
    <row r="582" spans="3:3" ht="13.5" customHeight="1" x14ac:dyDescent="0.2">
      <c r="C582" s="67"/>
    </row>
    <row r="583" spans="3:3" ht="13.5" customHeight="1" x14ac:dyDescent="0.2">
      <c r="C583" s="67"/>
    </row>
    <row r="584" spans="3:3" ht="13.5" customHeight="1" x14ac:dyDescent="0.2">
      <c r="C584" s="67"/>
    </row>
    <row r="585" spans="3:3" ht="13.5" customHeight="1" x14ac:dyDescent="0.2">
      <c r="C585" s="67"/>
    </row>
    <row r="586" spans="3:3" ht="13.5" customHeight="1" x14ac:dyDescent="0.2">
      <c r="C586" s="67"/>
    </row>
    <row r="587" spans="3:3" ht="13.5" customHeight="1" x14ac:dyDescent="0.2">
      <c r="C587" s="67"/>
    </row>
    <row r="588" spans="3:3" ht="13.5" customHeight="1" x14ac:dyDescent="0.2">
      <c r="C588" s="67"/>
    </row>
    <row r="589" spans="3:3" ht="13.5" customHeight="1" x14ac:dyDescent="0.2">
      <c r="C589" s="67"/>
    </row>
    <row r="590" spans="3:3" ht="13.5" customHeight="1" x14ac:dyDescent="0.2">
      <c r="C590" s="67"/>
    </row>
    <row r="591" spans="3:3" ht="13.5" customHeight="1" x14ac:dyDescent="0.2">
      <c r="C591" s="67"/>
    </row>
    <row r="592" spans="3:3" ht="13.5" customHeight="1" x14ac:dyDescent="0.2">
      <c r="C592" s="67"/>
    </row>
    <row r="593" spans="3:3" ht="13.5" customHeight="1" x14ac:dyDescent="0.2">
      <c r="C593" s="67"/>
    </row>
    <row r="594" spans="3:3" ht="13.5" customHeight="1" x14ac:dyDescent="0.2">
      <c r="C594" s="67"/>
    </row>
    <row r="595" spans="3:3" ht="13.5" customHeight="1" x14ac:dyDescent="0.2">
      <c r="C595" s="67"/>
    </row>
    <row r="596" spans="3:3" ht="13.5" customHeight="1" x14ac:dyDescent="0.2">
      <c r="C596" s="67"/>
    </row>
    <row r="597" spans="3:3" ht="13.5" customHeight="1" x14ac:dyDescent="0.2">
      <c r="C597" s="67"/>
    </row>
    <row r="598" spans="3:3" ht="13.5" customHeight="1" x14ac:dyDescent="0.2">
      <c r="C598" s="67"/>
    </row>
    <row r="599" spans="3:3" ht="13.5" customHeight="1" x14ac:dyDescent="0.2">
      <c r="C599" s="67"/>
    </row>
    <row r="600" spans="3:3" ht="13.5" customHeight="1" x14ac:dyDescent="0.2">
      <c r="C600" s="67"/>
    </row>
    <row r="601" spans="3:3" ht="13.5" customHeight="1" x14ac:dyDescent="0.2">
      <c r="C601" s="67"/>
    </row>
    <row r="602" spans="3:3" ht="13.5" customHeight="1" x14ac:dyDescent="0.2">
      <c r="C602" s="67"/>
    </row>
    <row r="603" spans="3:3" ht="13.5" customHeight="1" x14ac:dyDescent="0.2">
      <c r="C603" s="67"/>
    </row>
    <row r="604" spans="3:3" ht="13.5" customHeight="1" x14ac:dyDescent="0.2">
      <c r="C604" s="67"/>
    </row>
    <row r="605" spans="3:3" ht="13.5" customHeight="1" x14ac:dyDescent="0.2">
      <c r="C605" s="67"/>
    </row>
    <row r="606" spans="3:3" ht="13.5" customHeight="1" x14ac:dyDescent="0.2">
      <c r="C606" s="67"/>
    </row>
    <row r="607" spans="3:3" ht="13.5" customHeight="1" x14ac:dyDescent="0.2">
      <c r="C607" s="67"/>
    </row>
    <row r="608" spans="3:3" ht="13.5" customHeight="1" x14ac:dyDescent="0.2">
      <c r="C608" s="67"/>
    </row>
    <row r="609" spans="3:3" ht="13.5" customHeight="1" x14ac:dyDescent="0.2">
      <c r="C609" s="67"/>
    </row>
    <row r="610" spans="3:3" ht="13.5" customHeight="1" x14ac:dyDescent="0.2">
      <c r="C610" s="67"/>
    </row>
    <row r="611" spans="3:3" ht="13.5" customHeight="1" x14ac:dyDescent="0.2">
      <c r="C611" s="67"/>
    </row>
    <row r="612" spans="3:3" ht="13.5" customHeight="1" x14ac:dyDescent="0.2">
      <c r="C612" s="67"/>
    </row>
    <row r="613" spans="3:3" ht="13.5" customHeight="1" x14ac:dyDescent="0.2">
      <c r="C613" s="67"/>
    </row>
    <row r="614" spans="3:3" ht="13.5" customHeight="1" x14ac:dyDescent="0.2">
      <c r="C614" s="67"/>
    </row>
    <row r="615" spans="3:3" ht="13.5" customHeight="1" x14ac:dyDescent="0.2">
      <c r="C615" s="67"/>
    </row>
    <row r="616" spans="3:3" ht="13.5" customHeight="1" x14ac:dyDescent="0.2">
      <c r="C616" s="67"/>
    </row>
    <row r="617" spans="3:3" ht="13.5" customHeight="1" x14ac:dyDescent="0.2">
      <c r="C617" s="67"/>
    </row>
    <row r="618" spans="3:3" ht="13.5" customHeight="1" x14ac:dyDescent="0.2">
      <c r="C618" s="67"/>
    </row>
    <row r="619" spans="3:3" ht="13.5" customHeight="1" x14ac:dyDescent="0.2">
      <c r="C619" s="67"/>
    </row>
    <row r="620" spans="3:3" ht="13.5" customHeight="1" x14ac:dyDescent="0.2">
      <c r="C620" s="67"/>
    </row>
    <row r="621" spans="3:3" ht="13.5" customHeight="1" x14ac:dyDescent="0.2">
      <c r="C621" s="67"/>
    </row>
    <row r="622" spans="3:3" ht="13.5" customHeight="1" x14ac:dyDescent="0.2">
      <c r="C622" s="67"/>
    </row>
    <row r="623" spans="3:3" ht="13.5" customHeight="1" x14ac:dyDescent="0.2">
      <c r="C623" s="67"/>
    </row>
    <row r="624" spans="3:3" ht="13.5" customHeight="1" x14ac:dyDescent="0.2">
      <c r="C624" s="67"/>
    </row>
    <row r="625" spans="3:3" ht="13.5" customHeight="1" x14ac:dyDescent="0.2">
      <c r="C625" s="67"/>
    </row>
    <row r="626" spans="3:3" ht="13.5" customHeight="1" x14ac:dyDescent="0.2">
      <c r="C626" s="67"/>
    </row>
    <row r="627" spans="3:3" ht="13.5" customHeight="1" x14ac:dyDescent="0.2">
      <c r="C627" s="67"/>
    </row>
    <row r="628" spans="3:3" ht="13.5" customHeight="1" x14ac:dyDescent="0.2">
      <c r="C628" s="67"/>
    </row>
    <row r="629" spans="3:3" ht="13.5" customHeight="1" x14ac:dyDescent="0.2">
      <c r="C629" s="67"/>
    </row>
    <row r="630" spans="3:3" ht="13.5" customHeight="1" x14ac:dyDescent="0.2">
      <c r="C630" s="67"/>
    </row>
    <row r="631" spans="3:3" ht="13.5" customHeight="1" x14ac:dyDescent="0.2">
      <c r="C631" s="67"/>
    </row>
    <row r="632" spans="3:3" ht="13.5" customHeight="1" x14ac:dyDescent="0.2">
      <c r="C632" s="67"/>
    </row>
    <row r="633" spans="3:3" ht="13.5" customHeight="1" x14ac:dyDescent="0.2">
      <c r="C633" s="67"/>
    </row>
    <row r="634" spans="3:3" ht="13.5" customHeight="1" x14ac:dyDescent="0.2">
      <c r="C634" s="67"/>
    </row>
    <row r="635" spans="3:3" ht="13.5" customHeight="1" x14ac:dyDescent="0.2">
      <c r="C635" s="67"/>
    </row>
    <row r="636" spans="3:3" ht="13.5" customHeight="1" x14ac:dyDescent="0.2">
      <c r="C636" s="67"/>
    </row>
    <row r="637" spans="3:3" ht="13.5" customHeight="1" x14ac:dyDescent="0.2">
      <c r="C637" s="67"/>
    </row>
    <row r="638" spans="3:3" ht="13.5" customHeight="1" x14ac:dyDescent="0.2">
      <c r="C638" s="67"/>
    </row>
    <row r="639" spans="3:3" ht="13.5" customHeight="1" x14ac:dyDescent="0.2">
      <c r="C639" s="67"/>
    </row>
    <row r="640" spans="3:3" ht="13.5" customHeight="1" x14ac:dyDescent="0.2">
      <c r="C640" s="67"/>
    </row>
    <row r="641" spans="3:3" ht="13.5" customHeight="1" x14ac:dyDescent="0.2">
      <c r="C641" s="67"/>
    </row>
    <row r="642" spans="3:3" ht="13.5" customHeight="1" x14ac:dyDescent="0.2">
      <c r="C642" s="67"/>
    </row>
    <row r="643" spans="3:3" ht="13.5" customHeight="1" x14ac:dyDescent="0.2">
      <c r="C643" s="67"/>
    </row>
    <row r="644" spans="3:3" ht="13.5" customHeight="1" x14ac:dyDescent="0.2">
      <c r="C644" s="67"/>
    </row>
    <row r="645" spans="3:3" ht="13.5" customHeight="1" x14ac:dyDescent="0.2">
      <c r="C645" s="67"/>
    </row>
    <row r="646" spans="3:3" ht="13.5" customHeight="1" x14ac:dyDescent="0.2">
      <c r="C646" s="67"/>
    </row>
    <row r="647" spans="3:3" ht="13.5" customHeight="1" x14ac:dyDescent="0.2">
      <c r="C647" s="67"/>
    </row>
    <row r="648" spans="3:3" ht="13.5" customHeight="1" x14ac:dyDescent="0.2">
      <c r="C648" s="67"/>
    </row>
    <row r="649" spans="3:3" ht="13.5" customHeight="1" x14ac:dyDescent="0.2">
      <c r="C649" s="67"/>
    </row>
    <row r="650" spans="3:3" ht="13.5" customHeight="1" x14ac:dyDescent="0.2">
      <c r="C650" s="67"/>
    </row>
    <row r="651" spans="3:3" ht="13.5" customHeight="1" x14ac:dyDescent="0.2">
      <c r="C651" s="67"/>
    </row>
    <row r="652" spans="3:3" ht="13.5" customHeight="1" x14ac:dyDescent="0.2">
      <c r="C652" s="67"/>
    </row>
    <row r="653" spans="3:3" ht="13.5" customHeight="1" x14ac:dyDescent="0.2">
      <c r="C653" s="67"/>
    </row>
    <row r="654" spans="3:3" ht="13.5" customHeight="1" x14ac:dyDescent="0.2">
      <c r="C654" s="67"/>
    </row>
    <row r="655" spans="3:3" ht="13.5" customHeight="1" x14ac:dyDescent="0.2">
      <c r="C655" s="67"/>
    </row>
    <row r="656" spans="3:3" ht="13.5" customHeight="1" x14ac:dyDescent="0.2">
      <c r="C656" s="67"/>
    </row>
    <row r="657" spans="3:3" ht="13.5" customHeight="1" x14ac:dyDescent="0.2">
      <c r="C657" s="67"/>
    </row>
    <row r="658" spans="3:3" ht="13.5" customHeight="1" x14ac:dyDescent="0.2">
      <c r="C658" s="67"/>
    </row>
    <row r="659" spans="3:3" ht="13.5" customHeight="1" x14ac:dyDescent="0.2">
      <c r="C659" s="67"/>
    </row>
    <row r="660" spans="3:3" ht="13.5" customHeight="1" x14ac:dyDescent="0.2">
      <c r="C660" s="67"/>
    </row>
    <row r="661" spans="3:3" ht="13.5" customHeight="1" x14ac:dyDescent="0.2">
      <c r="C661" s="67"/>
    </row>
    <row r="662" spans="3:3" ht="13.5" customHeight="1" x14ac:dyDescent="0.2">
      <c r="C662" s="67"/>
    </row>
    <row r="663" spans="3:3" ht="13.5" customHeight="1" x14ac:dyDescent="0.2">
      <c r="C663" s="67"/>
    </row>
    <row r="664" spans="3:3" ht="13.5" customHeight="1" x14ac:dyDescent="0.2">
      <c r="C664" s="67"/>
    </row>
    <row r="665" spans="3:3" ht="13.5" customHeight="1" x14ac:dyDescent="0.2">
      <c r="C665" s="67"/>
    </row>
    <row r="666" spans="3:3" ht="13.5" customHeight="1" x14ac:dyDescent="0.2">
      <c r="C666" s="67"/>
    </row>
    <row r="667" spans="3:3" ht="13.5" customHeight="1" x14ac:dyDescent="0.2">
      <c r="C667" s="67"/>
    </row>
    <row r="668" spans="3:3" ht="13.5" customHeight="1" x14ac:dyDescent="0.2">
      <c r="C668" s="67"/>
    </row>
    <row r="669" spans="3:3" ht="13.5" customHeight="1" x14ac:dyDescent="0.2">
      <c r="C669" s="67"/>
    </row>
    <row r="670" spans="3:3" ht="13.5" customHeight="1" x14ac:dyDescent="0.2">
      <c r="C670" s="67"/>
    </row>
    <row r="671" spans="3:3" ht="13.5" customHeight="1" x14ac:dyDescent="0.2">
      <c r="C671" s="67"/>
    </row>
    <row r="672" spans="3:3" ht="13.5" customHeight="1" x14ac:dyDescent="0.2">
      <c r="C672" s="67"/>
    </row>
    <row r="673" spans="3:3" ht="13.5" customHeight="1" x14ac:dyDescent="0.2">
      <c r="C673" s="67"/>
    </row>
    <row r="674" spans="3:3" ht="13.5" customHeight="1" x14ac:dyDescent="0.2">
      <c r="C674" s="67"/>
    </row>
    <row r="675" spans="3:3" ht="13.5" customHeight="1" x14ac:dyDescent="0.2">
      <c r="C675" s="67"/>
    </row>
    <row r="676" spans="3:3" ht="13.5" customHeight="1" x14ac:dyDescent="0.2">
      <c r="C676" s="67"/>
    </row>
    <row r="677" spans="3:3" ht="13.5" customHeight="1" x14ac:dyDescent="0.2">
      <c r="C677" s="67"/>
    </row>
    <row r="678" spans="3:3" ht="13.5" customHeight="1" x14ac:dyDescent="0.2">
      <c r="C678" s="67"/>
    </row>
    <row r="679" spans="3:3" ht="13.5" customHeight="1" x14ac:dyDescent="0.2">
      <c r="C679" s="67"/>
    </row>
    <row r="680" spans="3:3" ht="13.5" customHeight="1" x14ac:dyDescent="0.2">
      <c r="C680" s="67"/>
    </row>
    <row r="681" spans="3:3" ht="13.5" customHeight="1" x14ac:dyDescent="0.2">
      <c r="C681" s="67"/>
    </row>
    <row r="682" spans="3:3" ht="13.5" customHeight="1" x14ac:dyDescent="0.2">
      <c r="C682" s="67"/>
    </row>
    <row r="683" spans="3:3" ht="13.5" customHeight="1" x14ac:dyDescent="0.2">
      <c r="C683" s="67"/>
    </row>
    <row r="684" spans="3:3" ht="13.5" customHeight="1" x14ac:dyDescent="0.2">
      <c r="C684" s="67"/>
    </row>
    <row r="685" spans="3:3" ht="13.5" customHeight="1" x14ac:dyDescent="0.2">
      <c r="C685" s="67"/>
    </row>
    <row r="686" spans="3:3" ht="13.5" customHeight="1" x14ac:dyDescent="0.2">
      <c r="C686" s="67"/>
    </row>
    <row r="687" spans="3:3" ht="13.5" customHeight="1" x14ac:dyDescent="0.2">
      <c r="C687" s="67"/>
    </row>
    <row r="688" spans="3:3" ht="13.5" customHeight="1" x14ac:dyDescent="0.2">
      <c r="C688" s="67"/>
    </row>
    <row r="689" spans="3:3" ht="13.5" customHeight="1" x14ac:dyDescent="0.2">
      <c r="C689" s="67"/>
    </row>
    <row r="690" spans="3:3" ht="13.5" customHeight="1" x14ac:dyDescent="0.2">
      <c r="C690" s="67"/>
    </row>
    <row r="691" spans="3:3" ht="13.5" customHeight="1" x14ac:dyDescent="0.2">
      <c r="C691" s="67"/>
    </row>
    <row r="692" spans="3:3" ht="13.5" customHeight="1" x14ac:dyDescent="0.2">
      <c r="C692" s="67"/>
    </row>
    <row r="693" spans="3:3" ht="13.5" customHeight="1" x14ac:dyDescent="0.2">
      <c r="C693" s="67"/>
    </row>
    <row r="694" spans="3:3" ht="13.5" customHeight="1" x14ac:dyDescent="0.2">
      <c r="C694" s="67"/>
    </row>
    <row r="695" spans="3:3" ht="13.5" customHeight="1" x14ac:dyDescent="0.2">
      <c r="C695" s="67"/>
    </row>
    <row r="696" spans="3:3" ht="13.5" customHeight="1" x14ac:dyDescent="0.2">
      <c r="C696" s="67"/>
    </row>
    <row r="697" spans="3:3" ht="13.5" customHeight="1" x14ac:dyDescent="0.2">
      <c r="C697" s="67"/>
    </row>
    <row r="698" spans="3:3" ht="13.5" customHeight="1" x14ac:dyDescent="0.2">
      <c r="C698" s="67"/>
    </row>
    <row r="699" spans="3:3" ht="13.5" customHeight="1" x14ac:dyDescent="0.2">
      <c r="C699" s="67"/>
    </row>
    <row r="700" spans="3:3" ht="13.5" customHeight="1" x14ac:dyDescent="0.2">
      <c r="C700" s="67"/>
    </row>
    <row r="701" spans="3:3" ht="13.5" customHeight="1" x14ac:dyDescent="0.2">
      <c r="C701" s="67"/>
    </row>
    <row r="702" spans="3:3" ht="13.5" customHeight="1" x14ac:dyDescent="0.2">
      <c r="C702" s="67"/>
    </row>
    <row r="703" spans="3:3" ht="13.5" customHeight="1" x14ac:dyDescent="0.2">
      <c r="C703" s="67"/>
    </row>
    <row r="704" spans="3:3" ht="13.5" customHeight="1" x14ac:dyDescent="0.2">
      <c r="C704" s="67"/>
    </row>
    <row r="705" spans="3:3" ht="13.5" customHeight="1" x14ac:dyDescent="0.2">
      <c r="C705" s="67"/>
    </row>
    <row r="706" spans="3:3" ht="13.5" customHeight="1" x14ac:dyDescent="0.2">
      <c r="C706" s="67"/>
    </row>
    <row r="707" spans="3:3" ht="13.5" customHeight="1" x14ac:dyDescent="0.2">
      <c r="C707" s="67"/>
    </row>
    <row r="708" spans="3:3" ht="13.5" customHeight="1" x14ac:dyDescent="0.2">
      <c r="C708" s="67"/>
    </row>
    <row r="709" spans="3:3" ht="13.5" customHeight="1" x14ac:dyDescent="0.2">
      <c r="C709" s="67"/>
    </row>
    <row r="710" spans="3:3" ht="13.5" customHeight="1" x14ac:dyDescent="0.2">
      <c r="C710" s="67"/>
    </row>
    <row r="711" spans="3:3" ht="13.5" customHeight="1" x14ac:dyDescent="0.2">
      <c r="C711" s="67"/>
    </row>
    <row r="712" spans="3:3" ht="13.5" customHeight="1" x14ac:dyDescent="0.2">
      <c r="C712" s="67"/>
    </row>
    <row r="713" spans="3:3" ht="13.5" customHeight="1" x14ac:dyDescent="0.2">
      <c r="C713" s="67"/>
    </row>
    <row r="714" spans="3:3" ht="13.5" customHeight="1" x14ac:dyDescent="0.2">
      <c r="C714" s="67"/>
    </row>
    <row r="715" spans="3:3" ht="13.5" customHeight="1" x14ac:dyDescent="0.2">
      <c r="C715" s="67"/>
    </row>
    <row r="716" spans="3:3" ht="13.5" customHeight="1" x14ac:dyDescent="0.2">
      <c r="C716" s="67"/>
    </row>
    <row r="717" spans="3:3" ht="13.5" customHeight="1" x14ac:dyDescent="0.2">
      <c r="C717" s="67"/>
    </row>
    <row r="718" spans="3:3" ht="13.5" customHeight="1" x14ac:dyDescent="0.2">
      <c r="C718" s="67"/>
    </row>
    <row r="719" spans="3:3" ht="13.5" customHeight="1" x14ac:dyDescent="0.2">
      <c r="C719" s="67"/>
    </row>
    <row r="720" spans="3:3" ht="13.5" customHeight="1" x14ac:dyDescent="0.2">
      <c r="C720" s="67"/>
    </row>
    <row r="721" spans="3:3" ht="13.5" customHeight="1" x14ac:dyDescent="0.2">
      <c r="C721" s="67"/>
    </row>
    <row r="722" spans="3:3" ht="13.5" customHeight="1" x14ac:dyDescent="0.2">
      <c r="C722" s="67"/>
    </row>
    <row r="723" spans="3:3" ht="13.5" customHeight="1" x14ac:dyDescent="0.2">
      <c r="C723" s="67"/>
    </row>
    <row r="724" spans="3:3" ht="13.5" customHeight="1" x14ac:dyDescent="0.2">
      <c r="C724" s="67"/>
    </row>
    <row r="725" spans="3:3" ht="13.5" customHeight="1" x14ac:dyDescent="0.2">
      <c r="C725" s="67"/>
    </row>
    <row r="726" spans="3:3" ht="13.5" customHeight="1" x14ac:dyDescent="0.2">
      <c r="C726" s="67"/>
    </row>
    <row r="727" spans="3:3" ht="13.5" customHeight="1" x14ac:dyDescent="0.2">
      <c r="C727" s="67"/>
    </row>
    <row r="728" spans="3:3" ht="13.5" customHeight="1" x14ac:dyDescent="0.2">
      <c r="C728" s="67"/>
    </row>
    <row r="729" spans="3:3" ht="13.5" customHeight="1" x14ac:dyDescent="0.2">
      <c r="C729" s="67"/>
    </row>
    <row r="730" spans="3:3" ht="13.5" customHeight="1" x14ac:dyDescent="0.2">
      <c r="C730" s="67"/>
    </row>
    <row r="731" spans="3:3" ht="13.5" customHeight="1" x14ac:dyDescent="0.2">
      <c r="C731" s="67"/>
    </row>
    <row r="732" spans="3:3" ht="13.5" customHeight="1" x14ac:dyDescent="0.2">
      <c r="C732" s="67"/>
    </row>
    <row r="733" spans="3:3" ht="13.5" customHeight="1" x14ac:dyDescent="0.2">
      <c r="C733" s="67"/>
    </row>
    <row r="734" spans="3:3" ht="13.5" customHeight="1" x14ac:dyDescent="0.2">
      <c r="C734" s="67"/>
    </row>
    <row r="735" spans="3:3" ht="13.5" customHeight="1" x14ac:dyDescent="0.2">
      <c r="C735" s="67"/>
    </row>
    <row r="736" spans="3:3" ht="13.5" customHeight="1" x14ac:dyDescent="0.2">
      <c r="C736" s="67"/>
    </row>
    <row r="737" spans="3:3" ht="13.5" customHeight="1" x14ac:dyDescent="0.2">
      <c r="C737" s="67"/>
    </row>
    <row r="738" spans="3:3" ht="13.5" customHeight="1" x14ac:dyDescent="0.2">
      <c r="C738" s="67"/>
    </row>
    <row r="739" spans="3:3" ht="13.5" customHeight="1" x14ac:dyDescent="0.2">
      <c r="C739" s="67"/>
    </row>
    <row r="740" spans="3:3" ht="13.5" customHeight="1" x14ac:dyDescent="0.2">
      <c r="C740" s="67"/>
    </row>
    <row r="741" spans="3:3" ht="13.5" customHeight="1" x14ac:dyDescent="0.2">
      <c r="C741" s="67"/>
    </row>
    <row r="742" spans="3:3" ht="13.5" customHeight="1" x14ac:dyDescent="0.2">
      <c r="C742" s="67"/>
    </row>
    <row r="743" spans="3:3" ht="13.5" customHeight="1" x14ac:dyDescent="0.2">
      <c r="C743" s="67"/>
    </row>
    <row r="744" spans="3:3" ht="13.5" customHeight="1" x14ac:dyDescent="0.2">
      <c r="C744" s="67"/>
    </row>
    <row r="745" spans="3:3" ht="13.5" customHeight="1" x14ac:dyDescent="0.2">
      <c r="C745" s="67"/>
    </row>
    <row r="746" spans="3:3" ht="13.5" customHeight="1" x14ac:dyDescent="0.2">
      <c r="C746" s="67"/>
    </row>
    <row r="747" spans="3:3" ht="13.5" customHeight="1" x14ac:dyDescent="0.2">
      <c r="C747" s="67"/>
    </row>
    <row r="748" spans="3:3" ht="13.5" customHeight="1" x14ac:dyDescent="0.2">
      <c r="C748" s="67"/>
    </row>
    <row r="749" spans="3:3" ht="13.5" customHeight="1" x14ac:dyDescent="0.2">
      <c r="C749" s="67"/>
    </row>
    <row r="750" spans="3:3" ht="13.5" customHeight="1" x14ac:dyDescent="0.2">
      <c r="C750" s="67"/>
    </row>
    <row r="751" spans="3:3" ht="13.5" customHeight="1" x14ac:dyDescent="0.2">
      <c r="C751" s="67"/>
    </row>
    <row r="752" spans="3:3" ht="13.5" customHeight="1" x14ac:dyDescent="0.2">
      <c r="C752" s="67"/>
    </row>
    <row r="753" spans="3:3" ht="13.5" customHeight="1" x14ac:dyDescent="0.2">
      <c r="C753" s="67"/>
    </row>
    <row r="754" spans="3:3" ht="13.5" customHeight="1" x14ac:dyDescent="0.2">
      <c r="C754" s="67"/>
    </row>
    <row r="755" spans="3:3" ht="13.5" customHeight="1" x14ac:dyDescent="0.2">
      <c r="C755" s="67"/>
    </row>
    <row r="756" spans="3:3" ht="13.5" customHeight="1" x14ac:dyDescent="0.2">
      <c r="C756" s="67"/>
    </row>
    <row r="757" spans="3:3" ht="13.5" customHeight="1" x14ac:dyDescent="0.2">
      <c r="C757" s="67"/>
    </row>
    <row r="758" spans="3:3" ht="13.5" customHeight="1" x14ac:dyDescent="0.2">
      <c r="C758" s="67"/>
    </row>
    <row r="759" spans="3:3" ht="13.5" customHeight="1" x14ac:dyDescent="0.2">
      <c r="C759" s="67"/>
    </row>
    <row r="760" spans="3:3" ht="13.5" customHeight="1" x14ac:dyDescent="0.2">
      <c r="C760" s="67"/>
    </row>
    <row r="761" spans="3:3" ht="13.5" customHeight="1" x14ac:dyDescent="0.2">
      <c r="C761" s="67"/>
    </row>
    <row r="762" spans="3:3" ht="13.5" customHeight="1" x14ac:dyDescent="0.2">
      <c r="C762" s="67"/>
    </row>
    <row r="763" spans="3:3" ht="13.5" customHeight="1" x14ac:dyDescent="0.2">
      <c r="C763" s="67"/>
    </row>
    <row r="764" spans="3:3" ht="13.5" customHeight="1" x14ac:dyDescent="0.2">
      <c r="C764" s="67"/>
    </row>
    <row r="765" spans="3:3" ht="13.5" customHeight="1" x14ac:dyDescent="0.2">
      <c r="C765" s="67"/>
    </row>
    <row r="766" spans="3:3" ht="13.5" customHeight="1" x14ac:dyDescent="0.2">
      <c r="C766" s="67"/>
    </row>
    <row r="767" spans="3:3" ht="13.5" customHeight="1" x14ac:dyDescent="0.2">
      <c r="C767" s="67"/>
    </row>
    <row r="768" spans="3:3" ht="13.5" customHeight="1" x14ac:dyDescent="0.2">
      <c r="C768" s="67"/>
    </row>
    <row r="769" spans="3:3" ht="13.5" customHeight="1" x14ac:dyDescent="0.2">
      <c r="C769" s="67"/>
    </row>
    <row r="770" spans="3:3" ht="13.5" customHeight="1" x14ac:dyDescent="0.2">
      <c r="C770" s="67"/>
    </row>
    <row r="771" spans="3:3" ht="13.5" customHeight="1" x14ac:dyDescent="0.2">
      <c r="C771" s="67"/>
    </row>
    <row r="772" spans="3:3" ht="13.5" customHeight="1" x14ac:dyDescent="0.2">
      <c r="C772" s="67"/>
    </row>
    <row r="773" spans="3:3" ht="13.5" customHeight="1" x14ac:dyDescent="0.2">
      <c r="C773" s="67"/>
    </row>
    <row r="774" spans="3:3" ht="13.5" customHeight="1" x14ac:dyDescent="0.2">
      <c r="C774" s="67"/>
    </row>
    <row r="775" spans="3:3" ht="13.5" customHeight="1" x14ac:dyDescent="0.2">
      <c r="C775" s="67"/>
    </row>
    <row r="776" spans="3:3" ht="13.5" customHeight="1" x14ac:dyDescent="0.2">
      <c r="C776" s="67"/>
    </row>
    <row r="777" spans="3:3" ht="13.5" customHeight="1" x14ac:dyDescent="0.2">
      <c r="C777" s="67"/>
    </row>
    <row r="778" spans="3:3" ht="13.5" customHeight="1" x14ac:dyDescent="0.2">
      <c r="C778" s="67"/>
    </row>
    <row r="779" spans="3:3" ht="13.5" customHeight="1" x14ac:dyDescent="0.2">
      <c r="C779" s="67"/>
    </row>
    <row r="780" spans="3:3" ht="13.5" customHeight="1" x14ac:dyDescent="0.2">
      <c r="C780" s="67"/>
    </row>
    <row r="781" spans="3:3" ht="13.5" customHeight="1" x14ac:dyDescent="0.2">
      <c r="C781" s="67"/>
    </row>
    <row r="782" spans="3:3" ht="13.5" customHeight="1" x14ac:dyDescent="0.2">
      <c r="C782" s="67"/>
    </row>
    <row r="783" spans="3:3" ht="13.5" customHeight="1" x14ac:dyDescent="0.2">
      <c r="C783" s="67"/>
    </row>
    <row r="784" spans="3:3" ht="13.5" customHeight="1" x14ac:dyDescent="0.2">
      <c r="C784" s="67"/>
    </row>
    <row r="785" spans="3:3" ht="13.5" customHeight="1" x14ac:dyDescent="0.2">
      <c r="C785" s="67"/>
    </row>
    <row r="786" spans="3:3" ht="13.5" customHeight="1" x14ac:dyDescent="0.2">
      <c r="C786" s="67"/>
    </row>
    <row r="787" spans="3:3" ht="13.5" customHeight="1" x14ac:dyDescent="0.2">
      <c r="C787" s="67"/>
    </row>
    <row r="788" spans="3:3" ht="13.5" customHeight="1" x14ac:dyDescent="0.2">
      <c r="C788" s="67"/>
    </row>
    <row r="789" spans="3:3" ht="13.5" customHeight="1" x14ac:dyDescent="0.2">
      <c r="C789" s="67"/>
    </row>
    <row r="790" spans="3:3" ht="13.5" customHeight="1" x14ac:dyDescent="0.2">
      <c r="C790" s="67"/>
    </row>
    <row r="791" spans="3:3" ht="13.5" customHeight="1" x14ac:dyDescent="0.2">
      <c r="C791" s="67"/>
    </row>
    <row r="792" spans="3:3" ht="13.5" customHeight="1" x14ac:dyDescent="0.2">
      <c r="C792" s="67"/>
    </row>
    <row r="793" spans="3:3" ht="13.5" customHeight="1" x14ac:dyDescent="0.2">
      <c r="C793" s="67"/>
    </row>
    <row r="794" spans="3:3" ht="13.5" customHeight="1" x14ac:dyDescent="0.2">
      <c r="C794" s="67"/>
    </row>
    <row r="795" spans="3:3" ht="13.5" customHeight="1" x14ac:dyDescent="0.2">
      <c r="C795" s="67"/>
    </row>
    <row r="796" spans="3:3" ht="13.5" customHeight="1" x14ac:dyDescent="0.2">
      <c r="C796" s="67"/>
    </row>
    <row r="797" spans="3:3" ht="13.5" customHeight="1" x14ac:dyDescent="0.2">
      <c r="C797" s="67"/>
    </row>
    <row r="798" spans="3:3" ht="13.5" customHeight="1" x14ac:dyDescent="0.2">
      <c r="C798" s="67"/>
    </row>
    <row r="799" spans="3:3" ht="13.5" customHeight="1" x14ac:dyDescent="0.2">
      <c r="C799" s="67"/>
    </row>
    <row r="800" spans="3:3" ht="13.5" customHeight="1" x14ac:dyDescent="0.2">
      <c r="C800" s="67"/>
    </row>
    <row r="801" spans="3:3" ht="13.5" customHeight="1" x14ac:dyDescent="0.2">
      <c r="C801" s="67"/>
    </row>
    <row r="802" spans="3:3" ht="13.5" customHeight="1" x14ac:dyDescent="0.2">
      <c r="C802" s="67"/>
    </row>
    <row r="803" spans="3:3" ht="13.5" customHeight="1" x14ac:dyDescent="0.2">
      <c r="C803" s="67"/>
    </row>
    <row r="804" spans="3:3" ht="13.5" customHeight="1" x14ac:dyDescent="0.2">
      <c r="C804" s="67"/>
    </row>
    <row r="805" spans="3:3" ht="13.5" customHeight="1" x14ac:dyDescent="0.2">
      <c r="C805" s="67"/>
    </row>
    <row r="806" spans="3:3" ht="13.5" customHeight="1" x14ac:dyDescent="0.2">
      <c r="C806" s="67"/>
    </row>
    <row r="807" spans="3:3" ht="13.5" customHeight="1" x14ac:dyDescent="0.2">
      <c r="C807" s="67"/>
    </row>
    <row r="808" spans="3:3" ht="13.5" customHeight="1" x14ac:dyDescent="0.2">
      <c r="C808" s="67"/>
    </row>
    <row r="809" spans="3:3" ht="13.5" customHeight="1" x14ac:dyDescent="0.2">
      <c r="C809" s="67"/>
    </row>
    <row r="810" spans="3:3" ht="13.5" customHeight="1" x14ac:dyDescent="0.2">
      <c r="C810" s="67"/>
    </row>
    <row r="811" spans="3:3" ht="13.5" customHeight="1" x14ac:dyDescent="0.2">
      <c r="C811" s="67"/>
    </row>
    <row r="812" spans="3:3" ht="13.5" customHeight="1" x14ac:dyDescent="0.2">
      <c r="C812" s="67"/>
    </row>
    <row r="813" spans="3:3" ht="13.5" customHeight="1" x14ac:dyDescent="0.2">
      <c r="C813" s="67"/>
    </row>
    <row r="814" spans="3:3" ht="13.5" customHeight="1" x14ac:dyDescent="0.2">
      <c r="C814" s="67"/>
    </row>
    <row r="815" spans="3:3" ht="13.5" customHeight="1" x14ac:dyDescent="0.2">
      <c r="C815" s="67"/>
    </row>
    <row r="816" spans="3:3" ht="13.5" customHeight="1" x14ac:dyDescent="0.2">
      <c r="C816" s="67"/>
    </row>
    <row r="817" spans="3:3" ht="13.5" customHeight="1" x14ac:dyDescent="0.2">
      <c r="C817" s="67"/>
    </row>
    <row r="818" spans="3:3" ht="13.5" customHeight="1" x14ac:dyDescent="0.2">
      <c r="C818" s="67"/>
    </row>
    <row r="819" spans="3:3" ht="13.5" customHeight="1" x14ac:dyDescent="0.2">
      <c r="C819" s="67"/>
    </row>
    <row r="820" spans="3:3" ht="13.5" customHeight="1" x14ac:dyDescent="0.2">
      <c r="C820" s="67"/>
    </row>
    <row r="821" spans="3:3" ht="13.5" customHeight="1" x14ac:dyDescent="0.2">
      <c r="C821" s="67"/>
    </row>
    <row r="822" spans="3:3" ht="13.5" customHeight="1" x14ac:dyDescent="0.2">
      <c r="C822" s="67"/>
    </row>
    <row r="823" spans="3:3" ht="13.5" customHeight="1" x14ac:dyDescent="0.2">
      <c r="C823" s="67"/>
    </row>
    <row r="824" spans="3:3" ht="13.5" customHeight="1" x14ac:dyDescent="0.2">
      <c r="C824" s="67"/>
    </row>
    <row r="825" spans="3:3" ht="13.5" customHeight="1" x14ac:dyDescent="0.2">
      <c r="C825" s="67"/>
    </row>
    <row r="826" spans="3:3" ht="13.5" customHeight="1" x14ac:dyDescent="0.2">
      <c r="C826" s="67"/>
    </row>
    <row r="827" spans="3:3" ht="13.5" customHeight="1" x14ac:dyDescent="0.2">
      <c r="C827" s="67"/>
    </row>
    <row r="828" spans="3:3" ht="13.5" customHeight="1" x14ac:dyDescent="0.2">
      <c r="C828" s="67"/>
    </row>
    <row r="829" spans="3:3" ht="13.5" customHeight="1" x14ac:dyDescent="0.2">
      <c r="C829" s="67"/>
    </row>
    <row r="830" spans="3:3" ht="13.5" customHeight="1" x14ac:dyDescent="0.2">
      <c r="C830" s="67"/>
    </row>
    <row r="831" spans="3:3" ht="13.5" customHeight="1" x14ac:dyDescent="0.2">
      <c r="C831" s="67"/>
    </row>
    <row r="832" spans="3:3" ht="13.5" customHeight="1" x14ac:dyDescent="0.2">
      <c r="C832" s="67"/>
    </row>
    <row r="833" spans="3:3" ht="13.5" customHeight="1" x14ac:dyDescent="0.2">
      <c r="C833" s="67"/>
    </row>
    <row r="834" spans="3:3" ht="13.5" customHeight="1" x14ac:dyDescent="0.2">
      <c r="C834" s="67"/>
    </row>
    <row r="835" spans="3:3" ht="13.5" customHeight="1" x14ac:dyDescent="0.2">
      <c r="C835" s="67"/>
    </row>
    <row r="836" spans="3:3" ht="13.5" customHeight="1" x14ac:dyDescent="0.2">
      <c r="C836" s="67"/>
    </row>
    <row r="837" spans="3:3" ht="13.5" customHeight="1" x14ac:dyDescent="0.2">
      <c r="C837" s="67"/>
    </row>
    <row r="838" spans="3:3" ht="13.5" customHeight="1" x14ac:dyDescent="0.2">
      <c r="C838" s="67"/>
    </row>
    <row r="839" spans="3:3" ht="13.5" customHeight="1" x14ac:dyDescent="0.2">
      <c r="C839" s="67"/>
    </row>
    <row r="840" spans="3:3" ht="13.5" customHeight="1" x14ac:dyDescent="0.2">
      <c r="C840" s="67"/>
    </row>
    <row r="841" spans="3:3" ht="13.5" customHeight="1" x14ac:dyDescent="0.2">
      <c r="C841" s="67"/>
    </row>
    <row r="842" spans="3:3" ht="13.5" customHeight="1" x14ac:dyDescent="0.2">
      <c r="C842" s="67"/>
    </row>
    <row r="843" spans="3:3" ht="13.5" customHeight="1" x14ac:dyDescent="0.2">
      <c r="C843" s="67"/>
    </row>
    <row r="844" spans="3:3" ht="13.5" customHeight="1" x14ac:dyDescent="0.2">
      <c r="C844" s="67"/>
    </row>
    <row r="845" spans="3:3" ht="13.5" customHeight="1" x14ac:dyDescent="0.2">
      <c r="C845" s="67"/>
    </row>
    <row r="846" spans="3:3" ht="13.5" customHeight="1" x14ac:dyDescent="0.2">
      <c r="C846" s="67"/>
    </row>
    <row r="847" spans="3:3" ht="13.5" customHeight="1" x14ac:dyDescent="0.2">
      <c r="C847" s="67"/>
    </row>
    <row r="848" spans="3:3" ht="13.5" customHeight="1" x14ac:dyDescent="0.2">
      <c r="C848" s="67"/>
    </row>
    <row r="849" spans="3:3" ht="13.5" customHeight="1" x14ac:dyDescent="0.2">
      <c r="C849" s="67"/>
    </row>
    <row r="850" spans="3:3" ht="13.5" customHeight="1" x14ac:dyDescent="0.2">
      <c r="C850" s="67"/>
    </row>
    <row r="851" spans="3:3" ht="13.5" customHeight="1" x14ac:dyDescent="0.2">
      <c r="C851" s="67"/>
    </row>
    <row r="852" spans="3:3" ht="13.5" customHeight="1" x14ac:dyDescent="0.2">
      <c r="C852" s="67"/>
    </row>
    <row r="853" spans="3:3" ht="13.5" customHeight="1" x14ac:dyDescent="0.2">
      <c r="C853" s="67"/>
    </row>
    <row r="854" spans="3:3" ht="13.5" customHeight="1" x14ac:dyDescent="0.2">
      <c r="C854" s="67"/>
    </row>
    <row r="855" spans="3:3" ht="13.5" customHeight="1" x14ac:dyDescent="0.2">
      <c r="C855" s="67"/>
    </row>
    <row r="856" spans="3:3" ht="13.5" customHeight="1" x14ac:dyDescent="0.2">
      <c r="C856" s="67"/>
    </row>
    <row r="857" spans="3:3" ht="13.5" customHeight="1" x14ac:dyDescent="0.2">
      <c r="C857" s="67"/>
    </row>
    <row r="858" spans="3:3" ht="13.5" customHeight="1" x14ac:dyDescent="0.2">
      <c r="C858" s="67"/>
    </row>
    <row r="859" spans="3:3" ht="13.5" customHeight="1" x14ac:dyDescent="0.2">
      <c r="C859" s="67"/>
    </row>
    <row r="860" spans="3:3" ht="13.5" customHeight="1" x14ac:dyDescent="0.2">
      <c r="C860" s="67"/>
    </row>
    <row r="861" spans="3:3" ht="13.5" customHeight="1" x14ac:dyDescent="0.2">
      <c r="C861" s="67"/>
    </row>
    <row r="862" spans="3:3" ht="13.5" customHeight="1" x14ac:dyDescent="0.2">
      <c r="C862" s="67"/>
    </row>
    <row r="863" spans="3:3" ht="13.5" customHeight="1" x14ac:dyDescent="0.2">
      <c r="C863" s="67"/>
    </row>
    <row r="864" spans="3:3" ht="13.5" customHeight="1" x14ac:dyDescent="0.2">
      <c r="C864" s="67"/>
    </row>
    <row r="865" spans="3:3" ht="13.5" customHeight="1" x14ac:dyDescent="0.2">
      <c r="C865" s="67"/>
    </row>
    <row r="866" spans="3:3" ht="13.5" customHeight="1" x14ac:dyDescent="0.2">
      <c r="C866" s="67"/>
    </row>
    <row r="867" spans="3:3" ht="13.5" customHeight="1" x14ac:dyDescent="0.2">
      <c r="C867" s="67"/>
    </row>
    <row r="868" spans="3:3" ht="13.5" customHeight="1" x14ac:dyDescent="0.2">
      <c r="C868" s="67"/>
    </row>
    <row r="869" spans="3:3" ht="13.5" customHeight="1" x14ac:dyDescent="0.2">
      <c r="C869" s="67"/>
    </row>
    <row r="870" spans="3:3" ht="13.5" customHeight="1" x14ac:dyDescent="0.2">
      <c r="C870" s="67"/>
    </row>
    <row r="871" spans="3:3" ht="13.5" customHeight="1" x14ac:dyDescent="0.2">
      <c r="C871" s="67"/>
    </row>
    <row r="872" spans="3:3" ht="13.5" customHeight="1" x14ac:dyDescent="0.2">
      <c r="C872" s="67"/>
    </row>
    <row r="873" spans="3:3" ht="13.5" customHeight="1" x14ac:dyDescent="0.2">
      <c r="C873" s="67"/>
    </row>
    <row r="874" spans="3:3" ht="13.5" customHeight="1" x14ac:dyDescent="0.2">
      <c r="C874" s="67"/>
    </row>
    <row r="875" spans="3:3" ht="13.5" customHeight="1" x14ac:dyDescent="0.2">
      <c r="C875" s="67"/>
    </row>
    <row r="876" spans="3:3" ht="13.5" customHeight="1" x14ac:dyDescent="0.2">
      <c r="C876" s="67"/>
    </row>
    <row r="877" spans="3:3" ht="13.5" customHeight="1" x14ac:dyDescent="0.2">
      <c r="C877" s="67"/>
    </row>
    <row r="878" spans="3:3" ht="13.5" customHeight="1" x14ac:dyDescent="0.2">
      <c r="C878" s="67"/>
    </row>
    <row r="879" spans="3:3" ht="13.5" customHeight="1" x14ac:dyDescent="0.2">
      <c r="C879" s="67"/>
    </row>
    <row r="880" spans="3:3" ht="13.5" customHeight="1" x14ac:dyDescent="0.2">
      <c r="C880" s="67"/>
    </row>
    <row r="881" spans="3:3" ht="13.5" customHeight="1" x14ac:dyDescent="0.2">
      <c r="C881" s="67"/>
    </row>
    <row r="882" spans="3:3" ht="13.5" customHeight="1" x14ac:dyDescent="0.2">
      <c r="C882" s="67"/>
    </row>
    <row r="883" spans="3:3" ht="13.5" customHeight="1" x14ac:dyDescent="0.2">
      <c r="C883" s="67"/>
    </row>
    <row r="884" spans="3:3" ht="13.5" customHeight="1" x14ac:dyDescent="0.2">
      <c r="C884" s="67"/>
    </row>
    <row r="885" spans="3:3" ht="13.5" customHeight="1" x14ac:dyDescent="0.2">
      <c r="C885" s="67"/>
    </row>
    <row r="886" spans="3:3" ht="13.5" customHeight="1" x14ac:dyDescent="0.2">
      <c r="C886" s="67"/>
    </row>
    <row r="887" spans="3:3" ht="13.5" customHeight="1" x14ac:dyDescent="0.2">
      <c r="C887" s="67"/>
    </row>
    <row r="888" spans="3:3" ht="13.5" customHeight="1" x14ac:dyDescent="0.2">
      <c r="C888" s="67"/>
    </row>
    <row r="889" spans="3:3" ht="13.5" customHeight="1" x14ac:dyDescent="0.2">
      <c r="C889" s="67"/>
    </row>
    <row r="890" spans="3:3" ht="13.5" customHeight="1" x14ac:dyDescent="0.2">
      <c r="C890" s="67"/>
    </row>
    <row r="891" spans="3:3" ht="13.5" customHeight="1" x14ac:dyDescent="0.2">
      <c r="C891" s="67"/>
    </row>
    <row r="892" spans="3:3" ht="13.5" customHeight="1" x14ac:dyDescent="0.2">
      <c r="C892" s="67"/>
    </row>
    <row r="893" spans="3:3" ht="13.5" customHeight="1" x14ac:dyDescent="0.2">
      <c r="C893" s="67"/>
    </row>
    <row r="894" spans="3:3" ht="13.5" customHeight="1" x14ac:dyDescent="0.2">
      <c r="C894" s="67"/>
    </row>
    <row r="895" spans="3:3" ht="13.5" customHeight="1" x14ac:dyDescent="0.2">
      <c r="C895" s="67"/>
    </row>
    <row r="896" spans="3:3" ht="13.5" customHeight="1" x14ac:dyDescent="0.2">
      <c r="C896" s="67"/>
    </row>
    <row r="897" spans="3:3" ht="13.5" customHeight="1" x14ac:dyDescent="0.2">
      <c r="C897" s="67"/>
    </row>
    <row r="898" spans="3:3" ht="13.5" customHeight="1" x14ac:dyDescent="0.2">
      <c r="C898" s="67"/>
    </row>
    <row r="899" spans="3:3" ht="13.5" customHeight="1" x14ac:dyDescent="0.2">
      <c r="C899" s="67"/>
    </row>
    <row r="900" spans="3:3" ht="13.5" customHeight="1" x14ac:dyDescent="0.2">
      <c r="C900" s="67"/>
    </row>
    <row r="901" spans="3:3" ht="13.5" customHeight="1" x14ac:dyDescent="0.2">
      <c r="C901" s="67"/>
    </row>
    <row r="902" spans="3:3" ht="13.5" customHeight="1" x14ac:dyDescent="0.2">
      <c r="C902" s="67"/>
    </row>
    <row r="903" spans="3:3" ht="13.5" customHeight="1" x14ac:dyDescent="0.2">
      <c r="C903" s="67"/>
    </row>
    <row r="904" spans="3:3" ht="13.5" customHeight="1" x14ac:dyDescent="0.2">
      <c r="C904" s="67"/>
    </row>
    <row r="905" spans="3:3" ht="13.5" customHeight="1" x14ac:dyDescent="0.2">
      <c r="C905" s="67"/>
    </row>
    <row r="906" spans="3:3" ht="13.5" customHeight="1" x14ac:dyDescent="0.2">
      <c r="C906" s="67"/>
    </row>
    <row r="907" spans="3:3" ht="13.5" customHeight="1" x14ac:dyDescent="0.2">
      <c r="C907" s="67"/>
    </row>
    <row r="908" spans="3:3" ht="13.5" customHeight="1" x14ac:dyDescent="0.2">
      <c r="C908" s="67"/>
    </row>
    <row r="909" spans="3:3" ht="13.5" customHeight="1" x14ac:dyDescent="0.2">
      <c r="C909" s="67"/>
    </row>
    <row r="910" spans="3:3" ht="13.5" customHeight="1" x14ac:dyDescent="0.2">
      <c r="C910" s="67"/>
    </row>
    <row r="911" spans="3:3" ht="13.5" customHeight="1" x14ac:dyDescent="0.2">
      <c r="C911" s="67"/>
    </row>
    <row r="912" spans="3:3" ht="13.5" customHeight="1" x14ac:dyDescent="0.2">
      <c r="C912" s="67"/>
    </row>
    <row r="913" spans="3:3" ht="13.5" customHeight="1" x14ac:dyDescent="0.2">
      <c r="C913" s="67"/>
    </row>
    <row r="914" spans="3:3" ht="13.5" customHeight="1" x14ac:dyDescent="0.2">
      <c r="C914" s="67"/>
    </row>
    <row r="915" spans="3:3" ht="13.5" customHeight="1" x14ac:dyDescent="0.2">
      <c r="C915" s="67"/>
    </row>
    <row r="916" spans="3:3" ht="13.5" customHeight="1" x14ac:dyDescent="0.2">
      <c r="C916" s="67"/>
    </row>
    <row r="917" spans="3:3" ht="13.5" customHeight="1" x14ac:dyDescent="0.2">
      <c r="C917" s="67"/>
    </row>
    <row r="918" spans="3:3" ht="13.5" customHeight="1" x14ac:dyDescent="0.2">
      <c r="C918" s="67"/>
    </row>
    <row r="919" spans="3:3" ht="13.5" customHeight="1" x14ac:dyDescent="0.2">
      <c r="C919" s="67"/>
    </row>
    <row r="920" spans="3:3" ht="13.5" customHeight="1" x14ac:dyDescent="0.2">
      <c r="C920" s="67"/>
    </row>
    <row r="921" spans="3:3" ht="13.5" customHeight="1" x14ac:dyDescent="0.2">
      <c r="C921" s="67"/>
    </row>
    <row r="922" spans="3:3" ht="13.5" customHeight="1" x14ac:dyDescent="0.2">
      <c r="C922" s="67"/>
    </row>
    <row r="923" spans="3:3" ht="13.5" customHeight="1" x14ac:dyDescent="0.2">
      <c r="C923" s="67"/>
    </row>
    <row r="924" spans="3:3" ht="13.5" customHeight="1" x14ac:dyDescent="0.2">
      <c r="C924" s="67"/>
    </row>
    <row r="925" spans="3:3" ht="13.5" customHeight="1" x14ac:dyDescent="0.2">
      <c r="C925" s="67"/>
    </row>
    <row r="926" spans="3:3" ht="13.5" customHeight="1" x14ac:dyDescent="0.2">
      <c r="C926" s="67"/>
    </row>
    <row r="927" spans="3:3" ht="13.5" customHeight="1" x14ac:dyDescent="0.2">
      <c r="C927" s="67"/>
    </row>
    <row r="928" spans="3:3" ht="13.5" customHeight="1" x14ac:dyDescent="0.2">
      <c r="C928" s="67"/>
    </row>
    <row r="929" spans="3:3" ht="13.5" customHeight="1" x14ac:dyDescent="0.2">
      <c r="C929" s="67"/>
    </row>
    <row r="930" spans="3:3" ht="13.5" customHeight="1" x14ac:dyDescent="0.2">
      <c r="C930" s="67"/>
    </row>
    <row r="931" spans="3:3" ht="13.5" customHeight="1" x14ac:dyDescent="0.2">
      <c r="C931" s="67"/>
    </row>
    <row r="932" spans="3:3" ht="13.5" customHeight="1" x14ac:dyDescent="0.2">
      <c r="C932" s="67"/>
    </row>
    <row r="933" spans="3:3" ht="13.5" customHeight="1" x14ac:dyDescent="0.2">
      <c r="C933" s="67"/>
    </row>
    <row r="934" spans="3:3" ht="13.5" customHeight="1" x14ac:dyDescent="0.2">
      <c r="C934" s="67"/>
    </row>
    <row r="935" spans="3:3" ht="13.5" customHeight="1" x14ac:dyDescent="0.2">
      <c r="C935" s="67"/>
    </row>
    <row r="936" spans="3:3" ht="13.5" customHeight="1" x14ac:dyDescent="0.2">
      <c r="C936" s="67"/>
    </row>
    <row r="937" spans="3:3" ht="13.5" customHeight="1" x14ac:dyDescent="0.2">
      <c r="C937" s="67"/>
    </row>
    <row r="938" spans="3:3" ht="13.5" customHeight="1" x14ac:dyDescent="0.2">
      <c r="C938" s="67"/>
    </row>
    <row r="939" spans="3:3" ht="13.5" customHeight="1" x14ac:dyDescent="0.2">
      <c r="C939" s="67"/>
    </row>
    <row r="940" spans="3:3" ht="13.5" customHeight="1" x14ac:dyDescent="0.2">
      <c r="C940" s="67"/>
    </row>
    <row r="941" spans="3:3" ht="13.5" customHeight="1" x14ac:dyDescent="0.2">
      <c r="C941" s="67"/>
    </row>
    <row r="942" spans="3:3" ht="13.5" customHeight="1" x14ac:dyDescent="0.2">
      <c r="C942" s="67"/>
    </row>
    <row r="943" spans="3:3" ht="13.5" customHeight="1" x14ac:dyDescent="0.2">
      <c r="C943" s="67"/>
    </row>
    <row r="944" spans="3:3" ht="13.5" customHeight="1" x14ac:dyDescent="0.2">
      <c r="C944" s="67"/>
    </row>
    <row r="945" spans="3:3" ht="13.5" customHeight="1" x14ac:dyDescent="0.2">
      <c r="C945" s="67"/>
    </row>
    <row r="946" spans="3:3" ht="13.5" customHeight="1" x14ac:dyDescent="0.2">
      <c r="C946" s="67"/>
    </row>
    <row r="947" spans="3:3" ht="13.5" customHeight="1" x14ac:dyDescent="0.2">
      <c r="C947" s="67"/>
    </row>
    <row r="948" spans="3:3" ht="13.5" customHeight="1" x14ac:dyDescent="0.2">
      <c r="C948" s="67"/>
    </row>
    <row r="949" spans="3:3" ht="13.5" customHeight="1" x14ac:dyDescent="0.2">
      <c r="C949" s="67"/>
    </row>
    <row r="950" spans="3:3" ht="13.5" customHeight="1" x14ac:dyDescent="0.2">
      <c r="C950" s="67"/>
    </row>
    <row r="951" spans="3:3" ht="13.5" customHeight="1" x14ac:dyDescent="0.2">
      <c r="C951" s="67"/>
    </row>
    <row r="952" spans="3:3" ht="13.5" customHeight="1" x14ac:dyDescent="0.2">
      <c r="C952" s="67"/>
    </row>
    <row r="953" spans="3:3" ht="13.5" customHeight="1" x14ac:dyDescent="0.2">
      <c r="C953" s="67"/>
    </row>
    <row r="954" spans="3:3" ht="13.5" customHeight="1" x14ac:dyDescent="0.2">
      <c r="C954" s="67"/>
    </row>
    <row r="955" spans="3:3" ht="13.5" customHeight="1" x14ac:dyDescent="0.2">
      <c r="C955" s="67"/>
    </row>
    <row r="956" spans="3:3" ht="13.5" customHeight="1" x14ac:dyDescent="0.2">
      <c r="C956" s="67"/>
    </row>
    <row r="957" spans="3:3" ht="13.5" customHeight="1" x14ac:dyDescent="0.2">
      <c r="C957" s="67"/>
    </row>
    <row r="958" spans="3:3" ht="13.5" customHeight="1" x14ac:dyDescent="0.2">
      <c r="C958" s="67"/>
    </row>
    <row r="959" spans="3:3" ht="13.5" customHeight="1" x14ac:dyDescent="0.2">
      <c r="C959" s="67"/>
    </row>
    <row r="960" spans="3:3" ht="13.5" customHeight="1" x14ac:dyDescent="0.2">
      <c r="C960" s="67"/>
    </row>
    <row r="961" spans="3:3" ht="13.5" customHeight="1" x14ac:dyDescent="0.2">
      <c r="C961" s="67"/>
    </row>
    <row r="962" spans="3:3" ht="13.5" customHeight="1" x14ac:dyDescent="0.2">
      <c r="C962" s="67"/>
    </row>
    <row r="963" spans="3:3" ht="13.5" customHeight="1" x14ac:dyDescent="0.2">
      <c r="C963" s="67"/>
    </row>
    <row r="964" spans="3:3" ht="13.5" customHeight="1" x14ac:dyDescent="0.2">
      <c r="C964" s="67"/>
    </row>
    <row r="965" spans="3:3" ht="13.5" customHeight="1" x14ac:dyDescent="0.2">
      <c r="C965" s="67"/>
    </row>
    <row r="966" spans="3:3" ht="13.5" customHeight="1" x14ac:dyDescent="0.2">
      <c r="C966" s="67"/>
    </row>
    <row r="967" spans="3:3" ht="13.5" customHeight="1" x14ac:dyDescent="0.2">
      <c r="C967" s="67"/>
    </row>
    <row r="968" spans="3:3" ht="13.5" customHeight="1" x14ac:dyDescent="0.2">
      <c r="C968" s="67"/>
    </row>
    <row r="969" spans="3:3" ht="13.5" customHeight="1" x14ac:dyDescent="0.2">
      <c r="C969" s="67"/>
    </row>
    <row r="970" spans="3:3" ht="13.5" customHeight="1" x14ac:dyDescent="0.2">
      <c r="C970" s="67"/>
    </row>
    <row r="971" spans="3:3" ht="13.5" customHeight="1" x14ac:dyDescent="0.2">
      <c r="C971" s="67"/>
    </row>
    <row r="972" spans="3:3" ht="13.5" customHeight="1" x14ac:dyDescent="0.2">
      <c r="C972" s="67"/>
    </row>
    <row r="973" spans="3:3" ht="13.5" customHeight="1" x14ac:dyDescent="0.2">
      <c r="C973" s="67"/>
    </row>
    <row r="974" spans="3:3" ht="13.5" customHeight="1" x14ac:dyDescent="0.2">
      <c r="C974" s="67"/>
    </row>
    <row r="975" spans="3:3" ht="13.5" customHeight="1" x14ac:dyDescent="0.2">
      <c r="C975" s="67"/>
    </row>
    <row r="976" spans="3:3" ht="13.5" customHeight="1" x14ac:dyDescent="0.2">
      <c r="C976" s="67"/>
    </row>
    <row r="977" spans="3:3" ht="13.5" customHeight="1" x14ac:dyDescent="0.2">
      <c r="C977" s="67"/>
    </row>
    <row r="978" spans="3:3" ht="13.5" customHeight="1" x14ac:dyDescent="0.2">
      <c r="C978" s="67"/>
    </row>
    <row r="979" spans="3:3" ht="13.5" customHeight="1" x14ac:dyDescent="0.2">
      <c r="C979" s="67"/>
    </row>
    <row r="980" spans="3:3" ht="13.5" customHeight="1" x14ac:dyDescent="0.2">
      <c r="C980" s="67"/>
    </row>
    <row r="981" spans="3:3" ht="13.5" customHeight="1" x14ac:dyDescent="0.2">
      <c r="C981" s="67"/>
    </row>
    <row r="982" spans="3:3" ht="13.5" customHeight="1" x14ac:dyDescent="0.2">
      <c r="C982" s="67"/>
    </row>
    <row r="983" spans="3:3" ht="13.5" customHeight="1" x14ac:dyDescent="0.2">
      <c r="C983" s="67"/>
    </row>
    <row r="984" spans="3:3" ht="13.5" customHeight="1" x14ac:dyDescent="0.2">
      <c r="C984" s="67"/>
    </row>
    <row r="985" spans="3:3" ht="13.5" customHeight="1" x14ac:dyDescent="0.2">
      <c r="C985" s="67"/>
    </row>
    <row r="986" spans="3:3" ht="13.5" customHeight="1" x14ac:dyDescent="0.2">
      <c r="C986" s="67"/>
    </row>
    <row r="987" spans="3:3" ht="13.5" customHeight="1" x14ac:dyDescent="0.2">
      <c r="C987" s="67"/>
    </row>
    <row r="988" spans="3:3" ht="13.5" customHeight="1" x14ac:dyDescent="0.2">
      <c r="C988" s="67"/>
    </row>
    <row r="989" spans="3:3" ht="13.5" customHeight="1" x14ac:dyDescent="0.2">
      <c r="C989" s="67"/>
    </row>
    <row r="990" spans="3:3" ht="13.5" customHeight="1" x14ac:dyDescent="0.2">
      <c r="C990" s="67"/>
    </row>
    <row r="991" spans="3:3" ht="13.5" customHeight="1" x14ac:dyDescent="0.2">
      <c r="C991" s="67"/>
    </row>
    <row r="992" spans="3:3" ht="13.5" customHeight="1" x14ac:dyDescent="0.2">
      <c r="C992" s="67"/>
    </row>
    <row r="993" spans="3:3" ht="13.5" customHeight="1" x14ac:dyDescent="0.2">
      <c r="C993" s="67"/>
    </row>
    <row r="994" spans="3:3" ht="13.5" customHeight="1" x14ac:dyDescent="0.2">
      <c r="C994" s="67"/>
    </row>
    <row r="995" spans="3:3" ht="13.5" customHeight="1" x14ac:dyDescent="0.2">
      <c r="C995" s="67"/>
    </row>
    <row r="996" spans="3:3" ht="13.5" customHeight="1" x14ac:dyDescent="0.2">
      <c r="C996" s="67"/>
    </row>
    <row r="997" spans="3:3" ht="13.5" customHeight="1" x14ac:dyDescent="0.2">
      <c r="C997" s="67"/>
    </row>
    <row r="998" spans="3:3" ht="13.5" customHeight="1" x14ac:dyDescent="0.2">
      <c r="C998" s="67"/>
    </row>
    <row r="999" spans="3:3" ht="13.5" customHeight="1" x14ac:dyDescent="0.2">
      <c r="C999" s="67"/>
    </row>
    <row r="1000" spans="3:3" ht="13.5" customHeight="1" x14ac:dyDescent="0.2">
      <c r="C1000" s="67"/>
    </row>
    <row r="1001" spans="3:3" ht="13.5" customHeight="1" x14ac:dyDescent="0.2">
      <c r="C1001" s="67"/>
    </row>
    <row r="1002" spans="3:3" ht="13.5" customHeight="1" x14ac:dyDescent="0.2">
      <c r="C1002" s="67"/>
    </row>
    <row r="1003" spans="3:3" ht="13.5" customHeight="1" x14ac:dyDescent="0.2">
      <c r="C1003" s="67"/>
    </row>
    <row r="1004" spans="3:3" ht="13.5" customHeight="1" x14ac:dyDescent="0.2">
      <c r="C1004" s="67"/>
    </row>
    <row r="1005" spans="3:3" ht="13.5" customHeight="1" x14ac:dyDescent="0.2">
      <c r="C1005" s="67"/>
    </row>
    <row r="1006" spans="3:3" ht="13.5" customHeight="1" x14ac:dyDescent="0.2">
      <c r="C1006" s="67"/>
    </row>
    <row r="1007" spans="3:3" ht="13.5" customHeight="1" x14ac:dyDescent="0.2">
      <c r="C1007" s="67"/>
    </row>
  </sheetData>
  <hyperlinks>
    <hyperlink ref="F1" r:id="rId1" xr:uid="{00000000-0004-0000-0500-000000000000}"/>
    <hyperlink ref="F3" r:id="rId2" xr:uid="{00000000-0004-0000-0500-000001000000}"/>
    <hyperlink ref="F102" r:id="rId3" xr:uid="{00000000-0004-0000-0500-000002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Z1000"/>
  <sheetViews>
    <sheetView rightToLeft="1" workbookViewId="0">
      <selection activeCell="H1023" sqref="H1023"/>
    </sheetView>
  </sheetViews>
  <sheetFormatPr defaultColWidth="12.625" defaultRowHeight="15" customHeight="1" x14ac:dyDescent="0.2"/>
  <cols>
    <col min="1" max="1" width="4.875" customWidth="1"/>
    <col min="2" max="2" width="12.25" customWidth="1"/>
    <col min="3" max="3" width="12.875" customWidth="1"/>
    <col min="4" max="4" width="10.375" customWidth="1"/>
    <col min="5" max="5" width="18.5" customWidth="1"/>
    <col min="6" max="6" width="17.125" customWidth="1"/>
    <col min="7" max="7" width="16.375" customWidth="1"/>
    <col min="8" max="8" width="40.5" customWidth="1"/>
    <col min="9" max="9" width="101" customWidth="1"/>
    <col min="10" max="26" width="8.75" customWidth="1"/>
  </cols>
  <sheetData>
    <row r="1" spans="1:26" ht="14.25" customHeight="1" x14ac:dyDescent="0.25">
      <c r="A1" s="242" t="s">
        <v>470</v>
      </c>
      <c r="B1" s="242" t="s">
        <v>3332</v>
      </c>
      <c r="C1" s="242" t="s">
        <v>3333</v>
      </c>
      <c r="D1" s="242" t="s">
        <v>3334</v>
      </c>
      <c r="E1" s="242" t="s">
        <v>3335</v>
      </c>
      <c r="F1" s="242" t="s">
        <v>3336</v>
      </c>
      <c r="G1" s="242" t="s">
        <v>3337</v>
      </c>
      <c r="H1" s="48" t="s">
        <v>466</v>
      </c>
      <c r="I1" s="206" t="s">
        <v>3338</v>
      </c>
      <c r="J1" s="243"/>
      <c r="K1" s="243"/>
      <c r="L1" s="243" t="s">
        <v>3339</v>
      </c>
      <c r="M1" s="243"/>
      <c r="N1" s="243"/>
      <c r="O1" s="243"/>
      <c r="P1" s="67"/>
      <c r="Q1" s="67"/>
      <c r="R1" s="67"/>
      <c r="S1" s="67"/>
      <c r="T1" s="67"/>
      <c r="U1" s="67"/>
      <c r="V1" s="67"/>
      <c r="W1" s="67"/>
      <c r="X1" s="67"/>
      <c r="Y1" s="67"/>
      <c r="Z1" s="67"/>
    </row>
    <row r="2" spans="1:26" ht="14.25" hidden="1" customHeight="1" x14ac:dyDescent="0.2">
      <c r="A2" s="25">
        <v>1</v>
      </c>
      <c r="B2" s="25">
        <v>76644301</v>
      </c>
      <c r="C2" s="43" t="s">
        <v>1588</v>
      </c>
      <c r="D2" s="43">
        <v>12.21</v>
      </c>
      <c r="E2" s="43" t="s">
        <v>3340</v>
      </c>
      <c r="F2" s="43"/>
      <c r="G2" s="43">
        <v>4000</v>
      </c>
      <c r="H2" s="196"/>
      <c r="I2" s="43"/>
      <c r="J2" s="243"/>
      <c r="K2" s="243"/>
      <c r="L2" s="243" t="s">
        <v>3341</v>
      </c>
      <c r="M2" s="243"/>
      <c r="N2" s="243"/>
      <c r="O2" s="243"/>
      <c r="P2" s="67"/>
      <c r="Q2" s="67"/>
      <c r="R2" s="67"/>
      <c r="S2" s="67"/>
      <c r="T2" s="67"/>
      <c r="U2" s="67"/>
      <c r="V2" s="67"/>
      <c r="W2" s="67"/>
      <c r="X2" s="67"/>
      <c r="Y2" s="67"/>
      <c r="Z2" s="67"/>
    </row>
    <row r="3" spans="1:26" ht="14.25" hidden="1" customHeight="1" x14ac:dyDescent="0.2">
      <c r="A3" s="25">
        <v>2</v>
      </c>
      <c r="B3" s="25">
        <v>76644301</v>
      </c>
      <c r="C3" s="43" t="s">
        <v>1588</v>
      </c>
      <c r="D3" s="43" t="s">
        <v>3342</v>
      </c>
      <c r="E3" s="43" t="s">
        <v>3343</v>
      </c>
      <c r="F3" s="43"/>
      <c r="G3" s="43" t="s">
        <v>3344</v>
      </c>
      <c r="H3" s="196"/>
      <c r="I3" s="43"/>
      <c r="J3" s="67"/>
      <c r="K3" s="67"/>
      <c r="L3" s="67"/>
      <c r="M3" s="67"/>
      <c r="N3" s="67"/>
      <c r="O3" s="67"/>
      <c r="P3" s="67"/>
      <c r="Q3" s="67"/>
      <c r="R3" s="67"/>
      <c r="S3" s="67"/>
      <c r="T3" s="67"/>
      <c r="U3" s="67"/>
      <c r="V3" s="67"/>
      <c r="W3" s="67"/>
      <c r="X3" s="67"/>
      <c r="Y3" s="67"/>
      <c r="Z3" s="67"/>
    </row>
    <row r="4" spans="1:26" ht="14.25" hidden="1" customHeight="1" x14ac:dyDescent="0.2">
      <c r="A4" s="25">
        <v>3</v>
      </c>
      <c r="B4" s="25">
        <v>42948502</v>
      </c>
      <c r="C4" s="43" t="s">
        <v>2336</v>
      </c>
      <c r="D4" s="43" t="s">
        <v>3345</v>
      </c>
      <c r="E4" s="43" t="s">
        <v>3346</v>
      </c>
      <c r="F4" s="43"/>
      <c r="G4" s="43">
        <v>450</v>
      </c>
      <c r="H4" s="196"/>
      <c r="I4" s="43"/>
      <c r="J4" s="67"/>
      <c r="K4" s="67"/>
      <c r="L4" s="67"/>
      <c r="M4" s="67"/>
      <c r="N4" s="67"/>
      <c r="O4" s="67"/>
      <c r="P4" s="67"/>
      <c r="Q4" s="67"/>
      <c r="R4" s="67"/>
      <c r="S4" s="67"/>
      <c r="T4" s="67"/>
      <c r="U4" s="67"/>
      <c r="V4" s="67"/>
      <c r="W4" s="67"/>
      <c r="X4" s="67"/>
      <c r="Y4" s="67"/>
      <c r="Z4" s="67"/>
    </row>
    <row r="5" spans="1:26" ht="14.25" hidden="1" customHeight="1" x14ac:dyDescent="0.2">
      <c r="A5" s="25">
        <v>4</v>
      </c>
      <c r="B5" s="244">
        <v>42009002</v>
      </c>
      <c r="C5" s="64" t="s">
        <v>1610</v>
      </c>
      <c r="D5" s="64" t="s">
        <v>3347</v>
      </c>
      <c r="E5" s="64" t="s">
        <v>3348</v>
      </c>
      <c r="F5" s="64">
        <v>14521</v>
      </c>
      <c r="G5" s="64">
        <v>0</v>
      </c>
      <c r="H5" s="235"/>
      <c r="I5" s="64"/>
      <c r="J5" s="67"/>
      <c r="K5" s="67"/>
      <c r="L5" s="67"/>
      <c r="M5" s="67"/>
      <c r="N5" s="67"/>
      <c r="O5" s="67"/>
      <c r="P5" s="67"/>
      <c r="Q5" s="67"/>
      <c r="R5" s="67"/>
      <c r="S5" s="67"/>
      <c r="T5" s="67"/>
      <c r="U5" s="67"/>
      <c r="V5" s="67"/>
      <c r="W5" s="67"/>
      <c r="X5" s="67"/>
      <c r="Y5" s="67"/>
      <c r="Z5" s="67"/>
    </row>
    <row r="6" spans="1:26" ht="14.25" hidden="1" customHeight="1" x14ac:dyDescent="0.2">
      <c r="A6" s="25">
        <v>5</v>
      </c>
      <c r="B6" s="245">
        <v>79741702</v>
      </c>
      <c r="C6" s="246" t="s">
        <v>2664</v>
      </c>
      <c r="D6" s="246" t="s">
        <v>1565</v>
      </c>
      <c r="E6" s="246" t="s">
        <v>49</v>
      </c>
      <c r="F6" s="246"/>
      <c r="G6" s="246"/>
      <c r="H6" s="247" t="s">
        <v>3349</v>
      </c>
      <c r="I6" s="248" t="s">
        <v>3350</v>
      </c>
      <c r="J6" s="67"/>
      <c r="K6" s="67"/>
      <c r="L6" s="67"/>
      <c r="M6" s="67"/>
      <c r="N6" s="67"/>
      <c r="O6" s="67"/>
      <c r="P6" s="67"/>
      <c r="Q6" s="67"/>
      <c r="R6" s="67"/>
      <c r="S6" s="67"/>
      <c r="T6" s="67"/>
      <c r="U6" s="67"/>
      <c r="V6" s="67"/>
      <c r="W6" s="67"/>
      <c r="X6" s="67"/>
      <c r="Y6" s="67"/>
      <c r="Z6" s="67"/>
    </row>
    <row r="7" spans="1:26" ht="14.25" hidden="1" customHeight="1" x14ac:dyDescent="0.2">
      <c r="A7" s="25">
        <v>6</v>
      </c>
      <c r="B7" s="211">
        <v>41222802</v>
      </c>
      <c r="C7" s="211" t="s">
        <v>599</v>
      </c>
      <c r="D7" s="211" t="s">
        <v>674</v>
      </c>
      <c r="E7" s="211" t="s">
        <v>35</v>
      </c>
      <c r="F7" s="211">
        <v>15408</v>
      </c>
      <c r="G7" s="211"/>
      <c r="H7" s="249" t="s">
        <v>3351</v>
      </c>
      <c r="I7" s="250">
        <v>1447</v>
      </c>
      <c r="J7" s="67"/>
      <c r="K7" s="67"/>
      <c r="L7" s="67"/>
      <c r="M7" s="67"/>
      <c r="N7" s="67"/>
      <c r="O7" s="67"/>
      <c r="P7" s="67"/>
      <c r="Q7" s="67"/>
      <c r="R7" s="67"/>
      <c r="S7" s="67"/>
      <c r="T7" s="67"/>
      <c r="U7" s="67"/>
      <c r="V7" s="67"/>
      <c r="W7" s="67"/>
      <c r="X7" s="67"/>
      <c r="Y7" s="67"/>
      <c r="Z7" s="67"/>
    </row>
    <row r="8" spans="1:26" ht="14.25" hidden="1" customHeight="1" x14ac:dyDescent="0.2">
      <c r="A8" s="25">
        <v>7</v>
      </c>
      <c r="B8" s="43">
        <v>64078901</v>
      </c>
      <c r="C8" s="43" t="s">
        <v>1033</v>
      </c>
      <c r="D8" s="43" t="s">
        <v>1624</v>
      </c>
      <c r="E8" s="43" t="s">
        <v>35</v>
      </c>
      <c r="F8" s="43"/>
      <c r="G8" s="43"/>
      <c r="H8" s="196" t="s">
        <v>3352</v>
      </c>
      <c r="I8" s="248">
        <v>1453</v>
      </c>
      <c r="J8" s="67"/>
      <c r="K8" s="67"/>
      <c r="L8" s="67"/>
      <c r="M8" s="67"/>
      <c r="N8" s="67"/>
      <c r="O8" s="67"/>
      <c r="P8" s="67"/>
      <c r="Q8" s="67"/>
      <c r="R8" s="67"/>
      <c r="S8" s="67"/>
      <c r="T8" s="67"/>
      <c r="U8" s="67"/>
      <c r="V8" s="67"/>
      <c r="W8" s="67"/>
      <c r="X8" s="67"/>
      <c r="Y8" s="67"/>
      <c r="Z8" s="67"/>
    </row>
    <row r="9" spans="1:26" ht="14.25" hidden="1" customHeight="1" x14ac:dyDescent="0.2">
      <c r="A9" s="25">
        <v>8</v>
      </c>
      <c r="B9" s="43">
        <v>12198203</v>
      </c>
      <c r="C9" s="43" t="s">
        <v>1563</v>
      </c>
      <c r="D9" s="43" t="s">
        <v>3353</v>
      </c>
      <c r="E9" s="43" t="s">
        <v>823</v>
      </c>
      <c r="F9" s="43"/>
      <c r="G9" s="43"/>
      <c r="H9" s="196" t="s">
        <v>3354</v>
      </c>
      <c r="I9" s="248">
        <v>2850</v>
      </c>
      <c r="J9" s="67"/>
      <c r="K9" s="67"/>
      <c r="L9" s="67"/>
      <c r="M9" s="67"/>
      <c r="N9" s="67"/>
      <c r="O9" s="67"/>
      <c r="P9" s="67"/>
      <c r="Q9" s="67"/>
      <c r="R9" s="67"/>
      <c r="S9" s="67"/>
      <c r="T9" s="67"/>
      <c r="U9" s="67"/>
      <c r="V9" s="67"/>
      <c r="W9" s="67"/>
      <c r="X9" s="67"/>
      <c r="Y9" s="67"/>
      <c r="Z9" s="67"/>
    </row>
    <row r="10" spans="1:26" ht="14.25" hidden="1" customHeight="1" x14ac:dyDescent="0.2">
      <c r="A10" s="25">
        <v>9</v>
      </c>
      <c r="B10" s="15">
        <v>87608202</v>
      </c>
      <c r="C10" s="43" t="s">
        <v>1064</v>
      </c>
      <c r="D10" s="43" t="s">
        <v>3355</v>
      </c>
      <c r="E10" s="43" t="s">
        <v>488</v>
      </c>
      <c r="F10" s="43">
        <v>149966</v>
      </c>
      <c r="G10" s="43"/>
      <c r="H10" s="196" t="s">
        <v>3356</v>
      </c>
      <c r="I10" s="248">
        <v>2000</v>
      </c>
      <c r="J10" s="67"/>
      <c r="K10" s="67"/>
      <c r="L10" s="67"/>
      <c r="M10" s="67"/>
      <c r="N10" s="67"/>
      <c r="O10" s="67"/>
      <c r="P10" s="67"/>
      <c r="Q10" s="67"/>
      <c r="R10" s="67"/>
      <c r="S10" s="67"/>
      <c r="T10" s="67"/>
      <c r="U10" s="67"/>
      <c r="V10" s="67"/>
      <c r="W10" s="67"/>
      <c r="X10" s="67"/>
      <c r="Y10" s="67"/>
      <c r="Z10" s="67"/>
    </row>
    <row r="11" spans="1:26" ht="14.25" hidden="1" customHeight="1" x14ac:dyDescent="0.2">
      <c r="A11" s="25">
        <v>10</v>
      </c>
      <c r="B11" s="25">
        <v>76376501</v>
      </c>
      <c r="C11" s="43" t="s">
        <v>3357</v>
      </c>
      <c r="D11" s="43" t="s">
        <v>3358</v>
      </c>
      <c r="E11" s="43" t="s">
        <v>35</v>
      </c>
      <c r="F11" s="43">
        <v>14264</v>
      </c>
      <c r="G11" s="43">
        <v>3500</v>
      </c>
      <c r="H11" s="196" t="s">
        <v>3359</v>
      </c>
      <c r="I11" s="248" t="s">
        <v>3360</v>
      </c>
      <c r="J11" s="67"/>
      <c r="K11" s="67"/>
      <c r="L11" s="67"/>
      <c r="M11" s="67"/>
      <c r="N11" s="67"/>
      <c r="O11" s="67"/>
      <c r="P11" s="67"/>
      <c r="Q11" s="67"/>
      <c r="R11" s="67"/>
      <c r="S11" s="67"/>
      <c r="T11" s="67"/>
      <c r="U11" s="67"/>
      <c r="V11" s="67"/>
      <c r="W11" s="67"/>
      <c r="X11" s="67"/>
      <c r="Y11" s="67"/>
      <c r="Z11" s="67"/>
    </row>
    <row r="12" spans="1:26" ht="14.25" hidden="1" customHeight="1" x14ac:dyDescent="0.2">
      <c r="A12" s="25">
        <v>11</v>
      </c>
      <c r="B12" s="25">
        <v>42948502</v>
      </c>
      <c r="C12" s="43" t="s">
        <v>536</v>
      </c>
      <c r="D12" s="43" t="s">
        <v>3361</v>
      </c>
      <c r="E12" s="43" t="s">
        <v>3362</v>
      </c>
      <c r="F12" s="43">
        <v>14693</v>
      </c>
      <c r="G12" s="43">
        <v>3500</v>
      </c>
      <c r="H12" s="196" t="s">
        <v>3356</v>
      </c>
      <c r="I12" s="248">
        <v>1424</v>
      </c>
      <c r="J12" s="67"/>
      <c r="K12" s="67"/>
      <c r="L12" s="67"/>
      <c r="M12" s="67"/>
      <c r="N12" s="67"/>
      <c r="O12" s="67"/>
      <c r="P12" s="67"/>
      <c r="Q12" s="67"/>
      <c r="R12" s="67"/>
      <c r="S12" s="67"/>
      <c r="T12" s="67"/>
      <c r="U12" s="67"/>
      <c r="V12" s="67"/>
      <c r="W12" s="67"/>
      <c r="X12" s="67"/>
      <c r="Y12" s="67"/>
      <c r="Z12" s="67"/>
    </row>
    <row r="13" spans="1:26" ht="14.25" hidden="1" customHeight="1" x14ac:dyDescent="0.2">
      <c r="A13" s="25">
        <v>12</v>
      </c>
      <c r="B13" s="25">
        <v>42949202</v>
      </c>
      <c r="C13" s="43" t="s">
        <v>1549</v>
      </c>
      <c r="D13" s="43" t="s">
        <v>3363</v>
      </c>
      <c r="E13" s="43" t="s">
        <v>35</v>
      </c>
      <c r="F13" s="43"/>
      <c r="G13" s="43"/>
      <c r="H13" s="196" t="s">
        <v>3356</v>
      </c>
      <c r="I13" s="248">
        <v>1447</v>
      </c>
      <c r="J13" s="67"/>
      <c r="K13" s="67"/>
      <c r="L13" s="67"/>
      <c r="M13" s="67"/>
      <c r="N13" s="67"/>
      <c r="O13" s="67"/>
      <c r="P13" s="67"/>
      <c r="Q13" s="67"/>
      <c r="R13" s="67"/>
      <c r="S13" s="67"/>
      <c r="T13" s="67"/>
      <c r="U13" s="67"/>
      <c r="V13" s="67"/>
      <c r="W13" s="67"/>
      <c r="X13" s="67"/>
      <c r="Y13" s="67"/>
      <c r="Z13" s="67"/>
    </row>
    <row r="14" spans="1:26" ht="14.25" hidden="1" customHeight="1" x14ac:dyDescent="0.2">
      <c r="A14" s="25">
        <v>13</v>
      </c>
      <c r="B14" s="43">
        <v>42949202</v>
      </c>
      <c r="C14" s="43" t="s">
        <v>1549</v>
      </c>
      <c r="D14" s="43" t="s">
        <v>1547</v>
      </c>
      <c r="E14" s="43" t="s">
        <v>35</v>
      </c>
      <c r="F14" s="43">
        <v>15336</v>
      </c>
      <c r="G14" s="43"/>
      <c r="H14" s="196" t="s">
        <v>3364</v>
      </c>
      <c r="I14" s="248" t="s">
        <v>3365</v>
      </c>
      <c r="J14" s="67"/>
      <c r="K14" s="67"/>
      <c r="L14" s="67"/>
      <c r="M14" s="67"/>
      <c r="N14" s="67"/>
      <c r="O14" s="67"/>
      <c r="P14" s="67"/>
      <c r="Q14" s="67"/>
      <c r="R14" s="67"/>
      <c r="S14" s="67"/>
      <c r="T14" s="67"/>
      <c r="U14" s="67"/>
      <c r="V14" s="67"/>
      <c r="W14" s="67"/>
      <c r="X14" s="67"/>
      <c r="Y14" s="67"/>
      <c r="Z14" s="67"/>
    </row>
    <row r="15" spans="1:26" ht="14.25" hidden="1" customHeight="1" x14ac:dyDescent="0.2">
      <c r="A15" s="25">
        <v>14</v>
      </c>
      <c r="B15" s="43">
        <v>42948502</v>
      </c>
      <c r="C15" s="43" t="s">
        <v>552</v>
      </c>
      <c r="D15" s="43" t="s">
        <v>3366</v>
      </c>
      <c r="E15" s="43" t="s">
        <v>35</v>
      </c>
      <c r="F15" s="43">
        <v>15333</v>
      </c>
      <c r="G15" s="43"/>
      <c r="H15" s="196" t="s">
        <v>3367</v>
      </c>
      <c r="I15" s="248" t="s">
        <v>3365</v>
      </c>
      <c r="J15" s="67"/>
      <c r="K15" s="67"/>
      <c r="L15" s="67"/>
      <c r="M15" s="67"/>
      <c r="N15" s="67"/>
      <c r="O15" s="67"/>
      <c r="P15" s="67"/>
      <c r="Q15" s="67"/>
      <c r="R15" s="67"/>
      <c r="S15" s="67"/>
      <c r="T15" s="67"/>
      <c r="U15" s="67"/>
      <c r="V15" s="67"/>
      <c r="W15" s="67"/>
      <c r="X15" s="67"/>
      <c r="Y15" s="67"/>
      <c r="Z15" s="67"/>
    </row>
    <row r="16" spans="1:26" ht="14.25" hidden="1" customHeight="1" x14ac:dyDescent="0.2">
      <c r="A16" s="25">
        <v>15</v>
      </c>
      <c r="B16" s="43">
        <v>63109602</v>
      </c>
      <c r="C16" s="43" t="s">
        <v>1604</v>
      </c>
      <c r="D16" s="43" t="s">
        <v>3368</v>
      </c>
      <c r="E16" s="43" t="s">
        <v>35</v>
      </c>
      <c r="F16" s="43"/>
      <c r="G16" s="43"/>
      <c r="H16" s="196" t="s">
        <v>3356</v>
      </c>
      <c r="I16" s="248">
        <v>1424</v>
      </c>
      <c r="J16" s="67"/>
      <c r="K16" s="67"/>
      <c r="L16" s="67"/>
      <c r="M16" s="67"/>
      <c r="N16" s="67"/>
      <c r="O16" s="67"/>
      <c r="P16" s="67"/>
      <c r="Q16" s="67"/>
      <c r="R16" s="67"/>
      <c r="S16" s="67"/>
      <c r="T16" s="67"/>
      <c r="U16" s="67"/>
      <c r="V16" s="67"/>
      <c r="W16" s="67"/>
      <c r="X16" s="67"/>
      <c r="Y16" s="67"/>
      <c r="Z16" s="67"/>
    </row>
    <row r="17" spans="1:26" ht="14.25" hidden="1" customHeight="1" x14ac:dyDescent="0.2">
      <c r="A17" s="25">
        <v>16</v>
      </c>
      <c r="B17" s="43">
        <v>45366702</v>
      </c>
      <c r="C17" s="43" t="s">
        <v>1569</v>
      </c>
      <c r="D17" s="43" t="s">
        <v>3369</v>
      </c>
      <c r="E17" s="43" t="s">
        <v>520</v>
      </c>
      <c r="F17" s="43"/>
      <c r="G17" s="64"/>
      <c r="H17" s="196" t="s">
        <v>3370</v>
      </c>
      <c r="I17" s="248">
        <v>1817.15</v>
      </c>
      <c r="J17" s="67"/>
      <c r="K17" s="67"/>
      <c r="L17" s="67"/>
      <c r="M17" s="67"/>
      <c r="N17" s="67"/>
      <c r="O17" s="67"/>
      <c r="P17" s="67"/>
      <c r="Q17" s="67"/>
      <c r="R17" s="67"/>
      <c r="S17" s="67"/>
      <c r="T17" s="67"/>
      <c r="U17" s="67"/>
      <c r="V17" s="67"/>
      <c r="W17" s="67"/>
      <c r="X17" s="67"/>
      <c r="Y17" s="67"/>
      <c r="Z17" s="67"/>
    </row>
    <row r="18" spans="1:26" ht="14.25" hidden="1" customHeight="1" x14ac:dyDescent="0.2">
      <c r="A18" s="25">
        <v>17</v>
      </c>
      <c r="B18" s="64">
        <v>12198203</v>
      </c>
      <c r="C18" s="64" t="s">
        <v>1563</v>
      </c>
      <c r="D18" s="64" t="s">
        <v>1658</v>
      </c>
      <c r="E18" s="64" t="s">
        <v>823</v>
      </c>
      <c r="F18" s="235"/>
      <c r="G18" s="43"/>
      <c r="H18" s="251" t="s">
        <v>3367</v>
      </c>
      <c r="I18" s="248" t="s">
        <v>3371</v>
      </c>
      <c r="J18" s="67"/>
      <c r="K18" s="67"/>
      <c r="L18" s="67"/>
      <c r="M18" s="67"/>
      <c r="N18" s="67"/>
      <c r="O18" s="67"/>
      <c r="P18" s="67"/>
      <c r="Q18" s="67"/>
      <c r="R18" s="67"/>
      <c r="S18" s="67"/>
      <c r="T18" s="67"/>
      <c r="U18" s="67"/>
      <c r="V18" s="67"/>
      <c r="W18" s="67"/>
      <c r="X18" s="67"/>
      <c r="Y18" s="67"/>
      <c r="Z18" s="67"/>
    </row>
    <row r="19" spans="1:26" ht="14.25" hidden="1" customHeight="1" x14ac:dyDescent="0.2">
      <c r="A19" s="25">
        <v>18</v>
      </c>
      <c r="B19" s="25">
        <v>83327901</v>
      </c>
      <c r="C19" s="43" t="s">
        <v>1588</v>
      </c>
      <c r="D19" s="43"/>
      <c r="E19" s="43" t="s">
        <v>3372</v>
      </c>
      <c r="F19" s="43"/>
      <c r="G19" s="211">
        <v>287</v>
      </c>
      <c r="H19" s="196"/>
      <c r="I19" s="248" t="s">
        <v>3373</v>
      </c>
      <c r="J19" s="67"/>
      <c r="K19" s="67"/>
      <c r="L19" s="67"/>
      <c r="M19" s="67"/>
      <c r="N19" s="67"/>
      <c r="O19" s="67"/>
      <c r="P19" s="67"/>
      <c r="Q19" s="67"/>
      <c r="R19" s="67"/>
      <c r="S19" s="67"/>
      <c r="T19" s="67"/>
      <c r="U19" s="67"/>
      <c r="V19" s="67"/>
      <c r="W19" s="67"/>
      <c r="X19" s="67"/>
      <c r="Y19" s="67"/>
      <c r="Z19" s="67"/>
    </row>
    <row r="20" spans="1:26" ht="14.25" hidden="1" customHeight="1" x14ac:dyDescent="0.2">
      <c r="A20" s="25">
        <v>19</v>
      </c>
      <c r="B20" s="25">
        <v>76644301</v>
      </c>
      <c r="C20" s="43" t="s">
        <v>531</v>
      </c>
      <c r="D20" s="43"/>
      <c r="E20" s="43" t="s">
        <v>3372</v>
      </c>
      <c r="F20" s="43"/>
      <c r="G20" s="43">
        <v>287</v>
      </c>
      <c r="H20" s="196"/>
      <c r="I20" s="248" t="s">
        <v>3373</v>
      </c>
      <c r="J20" s="67"/>
      <c r="K20" s="67"/>
      <c r="L20" s="67"/>
      <c r="M20" s="67"/>
      <c r="N20" s="67"/>
      <c r="O20" s="67"/>
      <c r="P20" s="67"/>
      <c r="Q20" s="67"/>
      <c r="R20" s="67"/>
      <c r="S20" s="67"/>
      <c r="T20" s="67"/>
      <c r="U20" s="67"/>
      <c r="V20" s="67"/>
      <c r="W20" s="67"/>
      <c r="X20" s="67"/>
      <c r="Y20" s="67"/>
      <c r="Z20" s="67"/>
    </row>
    <row r="21" spans="1:26" ht="14.25" hidden="1" customHeight="1" x14ac:dyDescent="0.2">
      <c r="A21" s="25">
        <v>20</v>
      </c>
      <c r="B21" s="43">
        <v>78741102</v>
      </c>
      <c r="C21" s="43" t="s">
        <v>887</v>
      </c>
      <c r="D21" s="43" t="s">
        <v>3374</v>
      </c>
      <c r="E21" s="43" t="s">
        <v>49</v>
      </c>
      <c r="F21" s="43"/>
      <c r="G21" s="43"/>
      <c r="H21" s="196" t="s">
        <v>3375</v>
      </c>
      <c r="I21" s="248" t="s">
        <v>3350</v>
      </c>
      <c r="J21" s="67"/>
      <c r="K21" s="67"/>
      <c r="L21" s="67"/>
      <c r="M21" s="67"/>
      <c r="N21" s="67"/>
      <c r="O21" s="67"/>
      <c r="P21" s="67"/>
      <c r="Q21" s="67"/>
      <c r="R21" s="67"/>
      <c r="S21" s="67"/>
      <c r="T21" s="67"/>
      <c r="U21" s="67"/>
      <c r="V21" s="67"/>
      <c r="W21" s="67"/>
      <c r="X21" s="67"/>
      <c r="Y21" s="67"/>
      <c r="Z21" s="67"/>
    </row>
    <row r="22" spans="1:26" ht="14.25" hidden="1" customHeight="1" x14ac:dyDescent="0.2">
      <c r="A22" s="25">
        <v>21</v>
      </c>
      <c r="B22" s="43">
        <v>83327901</v>
      </c>
      <c r="C22" s="43" t="s">
        <v>1588</v>
      </c>
      <c r="D22" s="43" t="s">
        <v>1735</v>
      </c>
      <c r="E22" s="43" t="s">
        <v>823</v>
      </c>
      <c r="F22" s="43"/>
      <c r="G22" s="43"/>
      <c r="H22" s="196" t="s">
        <v>3376</v>
      </c>
      <c r="I22" s="248" t="s">
        <v>3350</v>
      </c>
      <c r="J22" s="67"/>
      <c r="K22" s="67"/>
      <c r="L22" s="67"/>
      <c r="M22" s="67"/>
      <c r="N22" s="67"/>
      <c r="O22" s="67"/>
      <c r="P22" s="67"/>
      <c r="Q22" s="67"/>
      <c r="R22" s="67"/>
      <c r="S22" s="67"/>
      <c r="T22" s="67"/>
      <c r="U22" s="67"/>
      <c r="V22" s="67"/>
      <c r="W22" s="67"/>
      <c r="X22" s="67"/>
      <c r="Y22" s="67"/>
      <c r="Z22" s="67"/>
    </row>
    <row r="23" spans="1:26" ht="14.25" hidden="1" customHeight="1" x14ac:dyDescent="0.2">
      <c r="A23" s="25">
        <v>22</v>
      </c>
      <c r="B23" s="244">
        <v>83303702</v>
      </c>
      <c r="C23" s="43" t="s">
        <v>877</v>
      </c>
      <c r="D23" s="43" t="s">
        <v>3377</v>
      </c>
      <c r="E23" s="43" t="s">
        <v>488</v>
      </c>
      <c r="F23" s="43"/>
      <c r="G23" s="43"/>
      <c r="H23" s="196" t="s">
        <v>3378</v>
      </c>
      <c r="I23" s="248" t="s">
        <v>3379</v>
      </c>
      <c r="J23" s="67"/>
      <c r="K23" s="67"/>
      <c r="L23" s="67"/>
      <c r="M23" s="67"/>
      <c r="N23" s="67"/>
      <c r="O23" s="67"/>
      <c r="P23" s="67"/>
      <c r="Q23" s="67"/>
      <c r="R23" s="67"/>
      <c r="S23" s="67"/>
      <c r="T23" s="67"/>
      <c r="U23" s="67"/>
      <c r="V23" s="67"/>
      <c r="W23" s="67"/>
      <c r="X23" s="67"/>
      <c r="Y23" s="67"/>
      <c r="Z23" s="67"/>
    </row>
    <row r="24" spans="1:26" ht="14.25" hidden="1" customHeight="1" x14ac:dyDescent="0.2">
      <c r="A24" s="25">
        <v>23</v>
      </c>
      <c r="B24" s="43">
        <v>79740102</v>
      </c>
      <c r="C24" s="43" t="s">
        <v>589</v>
      </c>
      <c r="D24" s="43" t="s">
        <v>1745</v>
      </c>
      <c r="E24" s="43" t="s">
        <v>49</v>
      </c>
      <c r="F24" s="43"/>
      <c r="G24" s="43"/>
      <c r="H24" s="196" t="s">
        <v>3380</v>
      </c>
      <c r="I24" s="248" t="s">
        <v>3350</v>
      </c>
      <c r="J24" s="67"/>
      <c r="K24" s="67"/>
      <c r="L24" s="67"/>
      <c r="M24" s="67"/>
      <c r="N24" s="67"/>
      <c r="O24" s="67"/>
      <c r="P24" s="67"/>
      <c r="Q24" s="67"/>
      <c r="R24" s="67"/>
      <c r="S24" s="67"/>
      <c r="T24" s="67"/>
      <c r="U24" s="67"/>
      <c r="V24" s="67"/>
      <c r="W24" s="67"/>
      <c r="X24" s="67"/>
      <c r="Y24" s="67"/>
      <c r="Z24" s="67"/>
    </row>
    <row r="25" spans="1:26" ht="14.25" hidden="1" customHeight="1" x14ac:dyDescent="0.2">
      <c r="A25" s="25">
        <v>24</v>
      </c>
      <c r="B25" s="43">
        <v>30525602</v>
      </c>
      <c r="C25" s="43" t="s">
        <v>723</v>
      </c>
      <c r="D25" s="43" t="s">
        <v>3381</v>
      </c>
      <c r="E25" s="43" t="s">
        <v>35</v>
      </c>
      <c r="F25" s="43"/>
      <c r="G25" s="43"/>
      <c r="H25" s="196" t="s">
        <v>3382</v>
      </c>
      <c r="I25" s="248" t="s">
        <v>3383</v>
      </c>
      <c r="J25" s="67"/>
      <c r="K25" s="67"/>
      <c r="L25" s="67"/>
      <c r="M25" s="67"/>
      <c r="N25" s="67"/>
      <c r="O25" s="67"/>
      <c r="P25" s="67"/>
      <c r="Q25" s="67"/>
      <c r="R25" s="67"/>
      <c r="S25" s="67"/>
      <c r="T25" s="67"/>
      <c r="U25" s="67"/>
      <c r="V25" s="67"/>
      <c r="W25" s="67"/>
      <c r="X25" s="67"/>
      <c r="Y25" s="67"/>
      <c r="Z25" s="67"/>
    </row>
    <row r="26" spans="1:26" ht="14.25" hidden="1" customHeight="1" x14ac:dyDescent="0.2">
      <c r="A26" s="25">
        <v>25</v>
      </c>
      <c r="B26" s="43">
        <v>59321401</v>
      </c>
      <c r="C26" s="43" t="s">
        <v>1613</v>
      </c>
      <c r="D26" s="43" t="s">
        <v>2489</v>
      </c>
      <c r="E26" s="43" t="s">
        <v>823</v>
      </c>
      <c r="F26" s="43"/>
      <c r="G26" s="43"/>
      <c r="H26" s="196" t="s">
        <v>3384</v>
      </c>
      <c r="I26" s="248" t="s">
        <v>3385</v>
      </c>
      <c r="J26" s="67"/>
      <c r="K26" s="67"/>
      <c r="L26" s="67"/>
      <c r="M26" s="67"/>
      <c r="N26" s="67"/>
      <c r="O26" s="67"/>
      <c r="P26" s="67"/>
      <c r="Q26" s="67"/>
      <c r="R26" s="67"/>
      <c r="S26" s="67"/>
      <c r="T26" s="67"/>
      <c r="U26" s="67"/>
      <c r="V26" s="67"/>
      <c r="W26" s="67"/>
      <c r="X26" s="67"/>
      <c r="Y26" s="67"/>
      <c r="Z26" s="67"/>
    </row>
    <row r="27" spans="1:26" ht="14.25" hidden="1" customHeight="1" x14ac:dyDescent="0.2">
      <c r="A27" s="25">
        <v>26</v>
      </c>
      <c r="B27" s="43">
        <v>75019402</v>
      </c>
      <c r="C27" s="43" t="s">
        <v>813</v>
      </c>
      <c r="D27" s="43" t="s">
        <v>2489</v>
      </c>
      <c r="E27" s="43" t="s">
        <v>35</v>
      </c>
      <c r="F27" s="43"/>
      <c r="G27" s="43"/>
      <c r="H27" s="196" t="s">
        <v>3367</v>
      </c>
      <c r="I27" s="248">
        <v>2857</v>
      </c>
      <c r="J27" s="67"/>
      <c r="K27" s="67"/>
      <c r="L27" s="67"/>
      <c r="M27" s="67"/>
      <c r="N27" s="67"/>
      <c r="O27" s="67"/>
      <c r="P27" s="67"/>
      <c r="Q27" s="67"/>
      <c r="R27" s="67"/>
      <c r="S27" s="67"/>
      <c r="T27" s="67"/>
      <c r="U27" s="67"/>
      <c r="V27" s="67"/>
      <c r="W27" s="67"/>
      <c r="X27" s="67"/>
      <c r="Y27" s="67"/>
      <c r="Z27" s="67"/>
    </row>
    <row r="28" spans="1:26" ht="14.25" hidden="1" customHeight="1" x14ac:dyDescent="0.2">
      <c r="A28" s="25">
        <v>27</v>
      </c>
      <c r="B28" s="64">
        <v>42008802</v>
      </c>
      <c r="C28" s="64" t="s">
        <v>501</v>
      </c>
      <c r="D28" s="64" t="s">
        <v>3386</v>
      </c>
      <c r="E28" s="64" t="s">
        <v>35</v>
      </c>
      <c r="F28" s="64"/>
      <c r="G28" s="64"/>
      <c r="H28" s="235" t="s">
        <v>3356</v>
      </c>
      <c r="I28" s="248">
        <v>1447</v>
      </c>
      <c r="J28" s="67"/>
      <c r="K28" s="67"/>
      <c r="L28" s="67"/>
      <c r="M28" s="67"/>
      <c r="N28" s="67"/>
      <c r="O28" s="67"/>
      <c r="P28" s="67"/>
      <c r="Q28" s="67"/>
      <c r="R28" s="67"/>
      <c r="S28" s="67"/>
      <c r="T28" s="67"/>
      <c r="U28" s="67"/>
      <c r="V28" s="67"/>
      <c r="W28" s="67"/>
      <c r="X28" s="67"/>
      <c r="Y28" s="67"/>
      <c r="Z28" s="67"/>
    </row>
    <row r="29" spans="1:26" ht="14.25" hidden="1" customHeight="1" x14ac:dyDescent="0.2">
      <c r="A29" s="25">
        <v>28</v>
      </c>
      <c r="B29" s="43">
        <v>42949202</v>
      </c>
      <c r="C29" s="43" t="s">
        <v>1549</v>
      </c>
      <c r="D29" s="43" t="s">
        <v>2489</v>
      </c>
      <c r="E29" s="43" t="s">
        <v>35</v>
      </c>
      <c r="F29" s="43"/>
      <c r="G29" s="43"/>
      <c r="H29" s="196" t="s">
        <v>3367</v>
      </c>
      <c r="I29" s="248" t="s">
        <v>3387</v>
      </c>
      <c r="J29" s="67"/>
      <c r="K29" s="67"/>
      <c r="L29" s="67"/>
      <c r="M29" s="67"/>
      <c r="N29" s="67"/>
      <c r="O29" s="67"/>
      <c r="P29" s="67"/>
      <c r="Q29" s="67"/>
      <c r="R29" s="67"/>
      <c r="S29" s="67"/>
      <c r="T29" s="67"/>
      <c r="U29" s="67"/>
      <c r="V29" s="67"/>
      <c r="W29" s="67"/>
      <c r="X29" s="67"/>
      <c r="Y29" s="67"/>
      <c r="Z29" s="67"/>
    </row>
    <row r="30" spans="1:26" ht="14.25" hidden="1" customHeight="1" x14ac:dyDescent="0.2">
      <c r="A30" s="25">
        <v>29</v>
      </c>
      <c r="B30" s="43">
        <v>79741702</v>
      </c>
      <c r="C30" s="43" t="s">
        <v>2664</v>
      </c>
      <c r="D30" s="43" t="s">
        <v>3388</v>
      </c>
      <c r="E30" s="43" t="s">
        <v>49</v>
      </c>
      <c r="F30" s="43"/>
      <c r="G30" s="43"/>
      <c r="H30" s="196" t="s">
        <v>3356</v>
      </c>
      <c r="I30" s="248" t="s">
        <v>3350</v>
      </c>
      <c r="J30" s="67"/>
      <c r="K30" s="67"/>
      <c r="L30" s="67"/>
      <c r="M30" s="67"/>
      <c r="N30" s="67"/>
      <c r="O30" s="67"/>
      <c r="P30" s="67"/>
      <c r="Q30" s="67"/>
      <c r="R30" s="67"/>
      <c r="S30" s="67"/>
      <c r="T30" s="67"/>
      <c r="U30" s="67"/>
      <c r="V30" s="67"/>
      <c r="W30" s="67"/>
      <c r="X30" s="67"/>
      <c r="Y30" s="67"/>
      <c r="Z30" s="67"/>
    </row>
    <row r="31" spans="1:26" ht="14.25" hidden="1" customHeight="1" x14ac:dyDescent="0.2">
      <c r="A31" s="25">
        <v>30</v>
      </c>
      <c r="B31" s="64">
        <v>79735202</v>
      </c>
      <c r="C31" s="64" t="s">
        <v>766</v>
      </c>
      <c r="D31" s="64" t="s">
        <v>1785</v>
      </c>
      <c r="E31" s="64" t="s">
        <v>49</v>
      </c>
      <c r="F31" s="64"/>
      <c r="G31" s="64"/>
      <c r="H31" s="235" t="s">
        <v>3367</v>
      </c>
      <c r="I31" s="248" t="s">
        <v>3350</v>
      </c>
      <c r="J31" s="67"/>
      <c r="K31" s="67"/>
      <c r="L31" s="67"/>
      <c r="M31" s="67"/>
      <c r="N31" s="67"/>
      <c r="O31" s="67"/>
      <c r="P31" s="67"/>
      <c r="Q31" s="67"/>
      <c r="R31" s="67"/>
      <c r="S31" s="67"/>
      <c r="T31" s="67"/>
      <c r="U31" s="67"/>
      <c r="V31" s="67"/>
      <c r="W31" s="67"/>
      <c r="X31" s="67"/>
      <c r="Y31" s="67"/>
      <c r="Z31" s="67"/>
    </row>
    <row r="32" spans="1:26" ht="14.25" hidden="1" customHeight="1" x14ac:dyDescent="0.2">
      <c r="A32" s="25">
        <v>31</v>
      </c>
      <c r="B32" s="43">
        <v>42950702</v>
      </c>
      <c r="C32" s="43" t="s">
        <v>1621</v>
      </c>
      <c r="D32" s="43" t="s">
        <v>1782</v>
      </c>
      <c r="E32" s="43" t="s">
        <v>35</v>
      </c>
      <c r="F32" s="43"/>
      <c r="G32" s="43"/>
      <c r="H32" s="196" t="s">
        <v>3389</v>
      </c>
      <c r="I32" s="248" t="s">
        <v>3387</v>
      </c>
      <c r="J32" s="67"/>
      <c r="K32" s="67"/>
      <c r="L32" s="67"/>
      <c r="M32" s="67"/>
      <c r="N32" s="67"/>
      <c r="O32" s="67"/>
      <c r="P32" s="67"/>
      <c r="Q32" s="67"/>
      <c r="R32" s="67"/>
      <c r="S32" s="67"/>
      <c r="T32" s="67"/>
      <c r="U32" s="67"/>
      <c r="V32" s="67"/>
      <c r="W32" s="67"/>
      <c r="X32" s="67"/>
      <c r="Y32" s="67"/>
      <c r="Z32" s="67"/>
    </row>
    <row r="33" spans="1:26" ht="14.25" hidden="1" customHeight="1" x14ac:dyDescent="0.2">
      <c r="A33" s="25">
        <v>32</v>
      </c>
      <c r="B33" s="43">
        <v>75169702</v>
      </c>
      <c r="C33" s="43" t="s">
        <v>3357</v>
      </c>
      <c r="D33" s="43" t="s">
        <v>1795</v>
      </c>
      <c r="E33" s="43" t="s">
        <v>35</v>
      </c>
      <c r="F33" s="43"/>
      <c r="G33" s="43"/>
      <c r="H33" s="196" t="s">
        <v>3367</v>
      </c>
      <c r="I33" s="248" t="s">
        <v>3390</v>
      </c>
      <c r="J33" s="67"/>
      <c r="K33" s="67"/>
      <c r="L33" s="67"/>
      <c r="M33" s="67"/>
      <c r="N33" s="67"/>
      <c r="O33" s="67"/>
      <c r="P33" s="67"/>
      <c r="Q33" s="67"/>
      <c r="R33" s="67"/>
      <c r="S33" s="67"/>
      <c r="T33" s="67"/>
      <c r="U33" s="67"/>
      <c r="V33" s="67"/>
      <c r="W33" s="67"/>
      <c r="X33" s="67"/>
      <c r="Y33" s="67"/>
      <c r="Z33" s="67"/>
    </row>
    <row r="34" spans="1:26" ht="14.25" hidden="1" customHeight="1" x14ac:dyDescent="0.2">
      <c r="A34" s="25">
        <v>33</v>
      </c>
      <c r="B34" s="43">
        <v>31404502</v>
      </c>
      <c r="C34" s="43" t="s">
        <v>1043</v>
      </c>
      <c r="D34" s="43" t="s">
        <v>3391</v>
      </c>
      <c r="E34" s="43" t="s">
        <v>35</v>
      </c>
      <c r="F34" s="43"/>
      <c r="G34" s="43"/>
      <c r="H34" s="196" t="s">
        <v>3392</v>
      </c>
      <c r="I34" s="248" t="s">
        <v>3393</v>
      </c>
      <c r="J34" s="67"/>
      <c r="K34" s="67"/>
      <c r="L34" s="67"/>
      <c r="M34" s="67"/>
      <c r="N34" s="67"/>
      <c r="O34" s="67"/>
      <c r="P34" s="67"/>
      <c r="Q34" s="67"/>
      <c r="R34" s="67"/>
      <c r="S34" s="67"/>
      <c r="T34" s="67"/>
      <c r="U34" s="67"/>
      <c r="V34" s="67"/>
      <c r="W34" s="67"/>
      <c r="X34" s="67"/>
      <c r="Y34" s="67"/>
      <c r="Z34" s="67"/>
    </row>
    <row r="35" spans="1:26" ht="14.25" hidden="1" customHeight="1" x14ac:dyDescent="0.2">
      <c r="A35" s="25">
        <v>34</v>
      </c>
      <c r="B35" s="43">
        <v>83302602</v>
      </c>
      <c r="C35" s="43" t="s">
        <v>1130</v>
      </c>
      <c r="D35" s="43" t="s">
        <v>3394</v>
      </c>
      <c r="E35" s="43" t="s">
        <v>652</v>
      </c>
      <c r="F35" s="43"/>
      <c r="G35" s="43"/>
      <c r="H35" s="196" t="s">
        <v>3356</v>
      </c>
      <c r="I35" s="43" t="s">
        <v>3395</v>
      </c>
      <c r="J35" s="67"/>
      <c r="K35" s="67"/>
      <c r="L35" s="67"/>
      <c r="M35" s="67"/>
      <c r="N35" s="67"/>
      <c r="O35" s="67"/>
      <c r="P35" s="67"/>
      <c r="Q35" s="67"/>
      <c r="R35" s="67"/>
      <c r="S35" s="67"/>
      <c r="T35" s="67"/>
      <c r="U35" s="67"/>
      <c r="V35" s="67"/>
      <c r="W35" s="67"/>
      <c r="X35" s="67"/>
      <c r="Y35" s="67"/>
      <c r="Z35" s="67"/>
    </row>
    <row r="36" spans="1:26" ht="14.25" hidden="1" customHeight="1" x14ac:dyDescent="0.2">
      <c r="A36" s="25">
        <v>35</v>
      </c>
      <c r="B36" s="43">
        <v>75169802</v>
      </c>
      <c r="C36" s="43" t="s">
        <v>1626</v>
      </c>
      <c r="D36" s="43" t="s">
        <v>3396</v>
      </c>
      <c r="E36" s="43" t="s">
        <v>35</v>
      </c>
      <c r="F36" s="43"/>
      <c r="G36" s="43"/>
      <c r="H36" s="196" t="s">
        <v>3397</v>
      </c>
      <c r="I36" s="43" t="s">
        <v>3373</v>
      </c>
      <c r="J36" s="67"/>
      <c r="K36" s="67"/>
      <c r="L36" s="67"/>
      <c r="M36" s="67"/>
      <c r="N36" s="67"/>
      <c r="O36" s="67"/>
      <c r="P36" s="67"/>
      <c r="Q36" s="67"/>
      <c r="R36" s="67"/>
      <c r="S36" s="67"/>
      <c r="T36" s="67"/>
      <c r="U36" s="67"/>
      <c r="V36" s="67"/>
      <c r="W36" s="67"/>
      <c r="X36" s="67"/>
      <c r="Y36" s="67"/>
      <c r="Z36" s="67"/>
    </row>
    <row r="37" spans="1:26" ht="14.25" hidden="1" customHeight="1" x14ac:dyDescent="0.2">
      <c r="A37" s="25">
        <v>36</v>
      </c>
      <c r="B37" s="15">
        <v>63765702</v>
      </c>
      <c r="C37" s="43" t="s">
        <v>1604</v>
      </c>
      <c r="D37" s="43" t="s">
        <v>1805</v>
      </c>
      <c r="E37" s="43" t="s">
        <v>35</v>
      </c>
      <c r="F37" s="43"/>
      <c r="G37" s="43"/>
      <c r="H37" s="196" t="s">
        <v>3382</v>
      </c>
      <c r="I37" s="43" t="s">
        <v>3398</v>
      </c>
      <c r="J37" s="67"/>
      <c r="K37" s="67"/>
      <c r="L37" s="67"/>
      <c r="M37" s="67"/>
      <c r="N37" s="67"/>
      <c r="O37" s="67"/>
      <c r="P37" s="67"/>
      <c r="Q37" s="67"/>
      <c r="R37" s="67"/>
      <c r="S37" s="67"/>
      <c r="T37" s="67"/>
      <c r="U37" s="67"/>
      <c r="V37" s="67"/>
      <c r="W37" s="67"/>
      <c r="X37" s="67"/>
      <c r="Y37" s="67"/>
      <c r="Z37" s="67"/>
    </row>
    <row r="38" spans="1:26" ht="14.25" hidden="1" customHeight="1" x14ac:dyDescent="0.2">
      <c r="A38" s="25">
        <v>37</v>
      </c>
      <c r="B38" s="64">
        <v>21898003</v>
      </c>
      <c r="C38" s="64" t="s">
        <v>3399</v>
      </c>
      <c r="D38" s="64" t="s">
        <v>3400</v>
      </c>
      <c r="E38" s="64" t="s">
        <v>35</v>
      </c>
      <c r="F38" s="64"/>
      <c r="G38" s="64"/>
      <c r="H38" s="235" t="s">
        <v>3401</v>
      </c>
      <c r="I38" s="43" t="s">
        <v>3398</v>
      </c>
      <c r="J38" s="67"/>
      <c r="K38" s="67"/>
      <c r="L38" s="67"/>
      <c r="M38" s="67"/>
      <c r="N38" s="67"/>
      <c r="O38" s="67"/>
      <c r="P38" s="67"/>
      <c r="Q38" s="67"/>
      <c r="R38" s="67"/>
      <c r="S38" s="67"/>
      <c r="T38" s="67"/>
      <c r="U38" s="67"/>
      <c r="V38" s="67"/>
      <c r="W38" s="67"/>
      <c r="X38" s="67"/>
      <c r="Y38" s="67"/>
      <c r="Z38" s="67"/>
    </row>
    <row r="39" spans="1:26" ht="14.25" hidden="1" customHeight="1" x14ac:dyDescent="0.2">
      <c r="A39" s="244">
        <v>38</v>
      </c>
      <c r="B39" s="64">
        <v>75169802</v>
      </c>
      <c r="C39" s="64" t="s">
        <v>1626</v>
      </c>
      <c r="D39" s="64" t="s">
        <v>3402</v>
      </c>
      <c r="E39" s="64" t="s">
        <v>35</v>
      </c>
      <c r="F39" s="64"/>
      <c r="G39" s="64"/>
      <c r="H39" s="64" t="s">
        <v>3403</v>
      </c>
      <c r="I39" s="248" t="s">
        <v>3350</v>
      </c>
      <c r="J39" s="67"/>
      <c r="K39" s="67"/>
      <c r="L39" s="67"/>
      <c r="M39" s="67"/>
      <c r="N39" s="67"/>
      <c r="O39" s="67"/>
      <c r="P39" s="67"/>
      <c r="Q39" s="67"/>
      <c r="R39" s="67"/>
      <c r="S39" s="67"/>
      <c r="T39" s="67"/>
      <c r="U39" s="67"/>
      <c r="V39" s="67"/>
      <c r="W39" s="67"/>
      <c r="X39" s="67"/>
      <c r="Y39" s="67"/>
      <c r="Z39" s="67"/>
    </row>
    <row r="40" spans="1:26" ht="14.25" hidden="1" customHeight="1" x14ac:dyDescent="0.2">
      <c r="A40" s="43">
        <v>39</v>
      </c>
      <c r="B40" s="43">
        <v>42950702</v>
      </c>
      <c r="C40" s="43" t="s">
        <v>1667</v>
      </c>
      <c r="D40" s="43" t="s">
        <v>3404</v>
      </c>
      <c r="E40" s="43" t="s">
        <v>35</v>
      </c>
      <c r="F40" s="43"/>
      <c r="G40" s="43"/>
      <c r="H40" s="43" t="s">
        <v>3367</v>
      </c>
      <c r="I40" s="43" t="s">
        <v>3405</v>
      </c>
      <c r="J40" s="67"/>
      <c r="K40" s="67"/>
      <c r="L40" s="67"/>
      <c r="M40" s="67"/>
      <c r="N40" s="67"/>
      <c r="O40" s="67"/>
      <c r="P40" s="67"/>
      <c r="Q40" s="67"/>
      <c r="R40" s="67"/>
      <c r="S40" s="67"/>
      <c r="T40" s="67"/>
      <c r="U40" s="67"/>
      <c r="V40" s="67"/>
      <c r="W40" s="67"/>
      <c r="X40" s="67"/>
      <c r="Y40" s="67"/>
      <c r="Z40" s="67"/>
    </row>
    <row r="41" spans="1:26" ht="14.25" hidden="1" customHeight="1" x14ac:dyDescent="0.2">
      <c r="A41" s="64">
        <v>40</v>
      </c>
      <c r="B41" s="64">
        <v>83774102</v>
      </c>
      <c r="C41" s="64" t="s">
        <v>919</v>
      </c>
      <c r="D41" s="64" t="s">
        <v>3406</v>
      </c>
      <c r="E41" s="64" t="s">
        <v>35</v>
      </c>
      <c r="F41" s="64"/>
      <c r="G41" s="64"/>
      <c r="H41" s="64" t="s">
        <v>3407</v>
      </c>
      <c r="I41" s="64" t="s">
        <v>3408</v>
      </c>
      <c r="J41" s="67"/>
      <c r="K41" s="67"/>
      <c r="L41" s="67"/>
      <c r="M41" s="67"/>
      <c r="N41" s="67"/>
      <c r="O41" s="67"/>
      <c r="P41" s="67"/>
      <c r="Q41" s="67"/>
      <c r="R41" s="67"/>
      <c r="S41" s="67"/>
      <c r="T41" s="67"/>
      <c r="U41" s="67"/>
      <c r="V41" s="67"/>
      <c r="W41" s="67"/>
      <c r="X41" s="67"/>
      <c r="Y41" s="67"/>
      <c r="Z41" s="67"/>
    </row>
    <row r="42" spans="1:26" ht="14.25" hidden="1" customHeight="1" x14ac:dyDescent="0.2">
      <c r="A42" s="64">
        <v>41</v>
      </c>
      <c r="B42" s="64">
        <v>83320402</v>
      </c>
      <c r="C42" s="64" t="s">
        <v>963</v>
      </c>
      <c r="D42" s="64" t="s">
        <v>3409</v>
      </c>
      <c r="E42" s="64" t="s">
        <v>597</v>
      </c>
      <c r="F42" s="64"/>
      <c r="G42" s="64"/>
      <c r="H42" s="64" t="s">
        <v>3410</v>
      </c>
      <c r="I42" s="64" t="s">
        <v>3411</v>
      </c>
      <c r="J42" s="67"/>
      <c r="K42" s="67"/>
      <c r="L42" s="67"/>
      <c r="M42" s="67"/>
      <c r="N42" s="67"/>
      <c r="O42" s="67"/>
      <c r="P42" s="67"/>
      <c r="Q42" s="67"/>
      <c r="R42" s="67"/>
      <c r="S42" s="67"/>
      <c r="T42" s="67"/>
      <c r="U42" s="67"/>
      <c r="V42" s="67"/>
      <c r="W42" s="67"/>
      <c r="X42" s="67"/>
      <c r="Y42" s="67"/>
      <c r="Z42" s="67"/>
    </row>
    <row r="43" spans="1:26" ht="14.25" hidden="1" customHeight="1" x14ac:dyDescent="0.2">
      <c r="A43" s="64">
        <v>42</v>
      </c>
      <c r="B43" s="64">
        <v>22045903</v>
      </c>
      <c r="C43" s="64" t="s">
        <v>3412</v>
      </c>
      <c r="D43" s="64" t="s">
        <v>1835</v>
      </c>
      <c r="E43" s="64" t="s">
        <v>35</v>
      </c>
      <c r="F43" s="64"/>
      <c r="G43" s="64"/>
      <c r="H43" s="64" t="s">
        <v>3367</v>
      </c>
      <c r="I43" s="64" t="s">
        <v>3413</v>
      </c>
      <c r="J43" s="67"/>
      <c r="K43" s="67"/>
      <c r="L43" s="67"/>
      <c r="M43" s="67"/>
      <c r="N43" s="67"/>
      <c r="O43" s="67"/>
      <c r="P43" s="67"/>
      <c r="Q43" s="67"/>
      <c r="R43" s="67"/>
      <c r="S43" s="67"/>
      <c r="T43" s="67"/>
      <c r="U43" s="67"/>
      <c r="V43" s="67"/>
      <c r="W43" s="67"/>
      <c r="X43" s="67"/>
      <c r="Y43" s="67"/>
      <c r="Z43" s="67"/>
    </row>
    <row r="44" spans="1:26" ht="14.25" hidden="1" customHeight="1" x14ac:dyDescent="0.2">
      <c r="A44" s="64">
        <v>43</v>
      </c>
      <c r="B44" s="252">
        <v>24889203</v>
      </c>
      <c r="C44" s="64" t="s">
        <v>852</v>
      </c>
      <c r="D44" s="64" t="s">
        <v>1861</v>
      </c>
      <c r="E44" s="64" t="s">
        <v>49</v>
      </c>
      <c r="F44" s="64"/>
      <c r="G44" s="64"/>
      <c r="H44" s="64" t="s">
        <v>3367</v>
      </c>
      <c r="I44" s="64" t="s">
        <v>3413</v>
      </c>
      <c r="J44" s="67"/>
      <c r="K44" s="67"/>
      <c r="L44" s="67"/>
      <c r="M44" s="67"/>
      <c r="N44" s="67"/>
      <c r="O44" s="67"/>
      <c r="P44" s="67"/>
      <c r="Q44" s="67"/>
      <c r="R44" s="67"/>
      <c r="S44" s="67"/>
      <c r="T44" s="67"/>
      <c r="U44" s="67"/>
      <c r="V44" s="67"/>
      <c r="W44" s="67"/>
      <c r="X44" s="67"/>
      <c r="Y44" s="67"/>
      <c r="Z44" s="67"/>
    </row>
    <row r="45" spans="1:26" ht="14.25" hidden="1" customHeight="1" x14ac:dyDescent="0.2">
      <c r="A45" s="43">
        <v>44</v>
      </c>
      <c r="B45" s="15">
        <v>76376601</v>
      </c>
      <c r="C45" s="43" t="s">
        <v>1846</v>
      </c>
      <c r="D45" s="43" t="s">
        <v>1863</v>
      </c>
      <c r="E45" s="43" t="s">
        <v>35</v>
      </c>
      <c r="F45" s="43"/>
      <c r="G45" s="43"/>
      <c r="H45" s="43" t="s">
        <v>3356</v>
      </c>
      <c r="I45" s="43" t="s">
        <v>3414</v>
      </c>
      <c r="J45" s="67"/>
      <c r="K45" s="67"/>
      <c r="L45" s="67"/>
      <c r="M45" s="67"/>
      <c r="N45" s="67"/>
      <c r="O45" s="67"/>
      <c r="P45" s="67"/>
      <c r="Q45" s="67"/>
      <c r="R45" s="67"/>
      <c r="S45" s="67"/>
      <c r="T45" s="67"/>
      <c r="U45" s="67"/>
      <c r="V45" s="67"/>
      <c r="W45" s="67"/>
      <c r="X45" s="67"/>
      <c r="Y45" s="67"/>
      <c r="Z45" s="67"/>
    </row>
    <row r="46" spans="1:26" ht="14.25" hidden="1" customHeight="1" x14ac:dyDescent="0.2">
      <c r="A46" s="64">
        <v>45</v>
      </c>
      <c r="B46" s="64">
        <v>24889103</v>
      </c>
      <c r="C46" s="64" t="s">
        <v>517</v>
      </c>
      <c r="D46" s="64" t="s">
        <v>1876</v>
      </c>
      <c r="E46" s="64" t="s">
        <v>49</v>
      </c>
      <c r="F46" s="64"/>
      <c r="G46" s="64"/>
      <c r="H46" s="64" t="s">
        <v>3356</v>
      </c>
      <c r="I46" s="64" t="s">
        <v>3415</v>
      </c>
      <c r="J46" s="67"/>
      <c r="K46" s="67"/>
      <c r="L46" s="67"/>
      <c r="M46" s="67"/>
      <c r="N46" s="67"/>
      <c r="O46" s="67"/>
      <c r="P46" s="67"/>
      <c r="Q46" s="67"/>
      <c r="R46" s="67"/>
      <c r="S46" s="67"/>
      <c r="T46" s="67"/>
      <c r="U46" s="67"/>
      <c r="V46" s="67"/>
      <c r="W46" s="67"/>
      <c r="X46" s="67"/>
      <c r="Y46" s="67"/>
      <c r="Z46" s="67"/>
    </row>
    <row r="47" spans="1:26" ht="14.25" hidden="1" customHeight="1" x14ac:dyDescent="0.2">
      <c r="A47" s="43">
        <v>46</v>
      </c>
      <c r="B47" s="15">
        <v>34002803</v>
      </c>
      <c r="C47" s="43" t="s">
        <v>3416</v>
      </c>
      <c r="D47" s="43" t="s">
        <v>1888</v>
      </c>
      <c r="E47" s="43" t="s">
        <v>49</v>
      </c>
      <c r="F47" s="43"/>
      <c r="G47" s="43"/>
      <c r="H47" s="43" t="s">
        <v>3356</v>
      </c>
      <c r="I47" s="43" t="s">
        <v>3415</v>
      </c>
      <c r="J47" s="67"/>
      <c r="K47" s="67"/>
      <c r="L47" s="67"/>
      <c r="M47" s="67"/>
      <c r="N47" s="67"/>
      <c r="O47" s="67"/>
      <c r="P47" s="67"/>
      <c r="Q47" s="67"/>
      <c r="R47" s="67"/>
      <c r="S47" s="67"/>
      <c r="T47" s="67"/>
      <c r="U47" s="67"/>
      <c r="V47" s="67"/>
      <c r="W47" s="67"/>
      <c r="X47" s="67"/>
      <c r="Y47" s="67"/>
      <c r="Z47" s="67"/>
    </row>
    <row r="48" spans="1:26" ht="14.25" hidden="1" customHeight="1" x14ac:dyDescent="0.2">
      <c r="A48" s="43">
        <v>47</v>
      </c>
      <c r="B48" s="15">
        <v>58849301</v>
      </c>
      <c r="C48" s="43" t="s">
        <v>539</v>
      </c>
      <c r="D48" s="43" t="s">
        <v>1890</v>
      </c>
      <c r="E48" s="43" t="s">
        <v>520</v>
      </c>
      <c r="F48" s="43"/>
      <c r="G48" s="43"/>
      <c r="H48" s="43" t="s">
        <v>3367</v>
      </c>
      <c r="I48" s="43" t="s">
        <v>3417</v>
      </c>
      <c r="J48" s="67"/>
      <c r="K48" s="67"/>
      <c r="L48" s="67"/>
      <c r="M48" s="67"/>
      <c r="N48" s="67"/>
      <c r="O48" s="67"/>
      <c r="P48" s="67"/>
      <c r="Q48" s="67"/>
      <c r="R48" s="67"/>
      <c r="S48" s="67"/>
      <c r="T48" s="67"/>
      <c r="U48" s="67"/>
      <c r="V48" s="67"/>
      <c r="W48" s="67"/>
      <c r="X48" s="67"/>
      <c r="Y48" s="67"/>
      <c r="Z48" s="67"/>
    </row>
    <row r="49" spans="1:26" ht="14.25" hidden="1" customHeight="1" x14ac:dyDescent="0.2">
      <c r="A49" s="43">
        <v>48</v>
      </c>
      <c r="B49" s="43">
        <v>28548103</v>
      </c>
      <c r="C49" s="43" t="s">
        <v>949</v>
      </c>
      <c r="D49" s="43" t="s">
        <v>1899</v>
      </c>
      <c r="E49" s="43" t="s">
        <v>520</v>
      </c>
      <c r="F49" s="43"/>
      <c r="G49" s="43"/>
      <c r="H49" s="43" t="s">
        <v>3367</v>
      </c>
      <c r="I49" s="43" t="s">
        <v>3418</v>
      </c>
      <c r="J49" s="67"/>
      <c r="K49" s="67"/>
      <c r="L49" s="67"/>
      <c r="M49" s="67"/>
      <c r="N49" s="67"/>
      <c r="O49" s="67"/>
      <c r="P49" s="67"/>
      <c r="Q49" s="67"/>
      <c r="R49" s="67"/>
      <c r="S49" s="67"/>
      <c r="T49" s="67"/>
      <c r="U49" s="67"/>
      <c r="V49" s="67"/>
      <c r="W49" s="67"/>
      <c r="X49" s="67"/>
      <c r="Y49" s="67"/>
      <c r="Z49" s="67"/>
    </row>
    <row r="50" spans="1:26" ht="14.25" hidden="1" customHeight="1" x14ac:dyDescent="0.2">
      <c r="A50" s="43">
        <v>49</v>
      </c>
      <c r="B50" s="43">
        <v>30327902</v>
      </c>
      <c r="C50" s="43" t="s">
        <v>1057</v>
      </c>
      <c r="D50" s="43"/>
      <c r="E50" s="43" t="s">
        <v>35</v>
      </c>
      <c r="F50" s="43"/>
      <c r="G50" s="43"/>
      <c r="H50" s="43" t="s">
        <v>3419</v>
      </c>
      <c r="I50" s="43" t="s">
        <v>3420</v>
      </c>
      <c r="J50" s="67"/>
      <c r="K50" s="67"/>
      <c r="L50" s="67"/>
      <c r="M50" s="67"/>
      <c r="N50" s="67"/>
      <c r="O50" s="67"/>
      <c r="P50" s="67"/>
      <c r="Q50" s="67"/>
      <c r="R50" s="67"/>
      <c r="S50" s="67"/>
      <c r="T50" s="67"/>
      <c r="U50" s="67"/>
      <c r="V50" s="67"/>
      <c r="W50" s="67"/>
      <c r="X50" s="67"/>
      <c r="Y50" s="67"/>
      <c r="Z50" s="67"/>
    </row>
    <row r="51" spans="1:26" ht="14.25" hidden="1" customHeight="1" x14ac:dyDescent="0.2">
      <c r="A51" s="43">
        <v>50</v>
      </c>
      <c r="B51" s="15">
        <v>41222702</v>
      </c>
      <c r="C51" s="43" t="s">
        <v>1075</v>
      </c>
      <c r="D51" s="43" t="s">
        <v>3421</v>
      </c>
      <c r="E51" s="43" t="s">
        <v>35</v>
      </c>
      <c r="F51" s="43"/>
      <c r="G51" s="43"/>
      <c r="H51" s="43" t="s">
        <v>3419</v>
      </c>
      <c r="I51" s="43" t="s">
        <v>3422</v>
      </c>
      <c r="J51" s="67"/>
      <c r="K51" s="67"/>
      <c r="L51" s="67"/>
      <c r="M51" s="67"/>
      <c r="N51" s="67"/>
      <c r="O51" s="67"/>
      <c r="P51" s="67"/>
      <c r="Q51" s="67"/>
      <c r="R51" s="67"/>
      <c r="S51" s="67"/>
      <c r="T51" s="67"/>
      <c r="U51" s="67"/>
      <c r="V51" s="67"/>
      <c r="W51" s="67"/>
      <c r="X51" s="67"/>
      <c r="Y51" s="67"/>
      <c r="Z51" s="67"/>
    </row>
    <row r="52" spans="1:26" ht="14.25" hidden="1" customHeight="1" x14ac:dyDescent="0.2">
      <c r="A52" s="43">
        <v>51</v>
      </c>
      <c r="B52" s="15">
        <v>76644701</v>
      </c>
      <c r="C52" s="43" t="s">
        <v>774</v>
      </c>
      <c r="D52" s="43" t="s">
        <v>1920</v>
      </c>
      <c r="E52" s="43" t="s">
        <v>35</v>
      </c>
      <c r="F52" s="43"/>
      <c r="G52" s="43"/>
      <c r="H52" s="43" t="s">
        <v>3419</v>
      </c>
      <c r="I52" s="43" t="s">
        <v>3423</v>
      </c>
      <c r="J52" s="67"/>
      <c r="K52" s="67"/>
      <c r="L52" s="67"/>
      <c r="M52" s="67"/>
      <c r="N52" s="67"/>
      <c r="O52" s="67"/>
      <c r="P52" s="67"/>
      <c r="Q52" s="67"/>
      <c r="R52" s="67"/>
      <c r="S52" s="67"/>
      <c r="T52" s="67"/>
      <c r="U52" s="67"/>
      <c r="V52" s="67"/>
      <c r="W52" s="67"/>
      <c r="X52" s="67"/>
      <c r="Y52" s="67"/>
      <c r="Z52" s="67"/>
    </row>
    <row r="53" spans="1:26" ht="14.25" hidden="1" customHeight="1" x14ac:dyDescent="0.2">
      <c r="A53" s="43">
        <v>52</v>
      </c>
      <c r="B53" s="15">
        <v>75170102</v>
      </c>
      <c r="C53" s="43" t="s">
        <v>1307</v>
      </c>
      <c r="D53" s="43" t="s">
        <v>2742</v>
      </c>
      <c r="E53" s="43" t="s">
        <v>3424</v>
      </c>
      <c r="F53" s="43"/>
      <c r="G53" s="43"/>
      <c r="H53" s="43" t="s">
        <v>3367</v>
      </c>
      <c r="I53" s="43"/>
      <c r="J53" s="67"/>
      <c r="K53" s="67"/>
      <c r="L53" s="67"/>
      <c r="M53" s="67"/>
      <c r="N53" s="67"/>
      <c r="O53" s="67"/>
      <c r="P53" s="67"/>
      <c r="Q53" s="67"/>
      <c r="R53" s="67"/>
      <c r="S53" s="67"/>
      <c r="T53" s="67"/>
      <c r="U53" s="67"/>
      <c r="V53" s="67"/>
      <c r="W53" s="67"/>
      <c r="X53" s="67"/>
      <c r="Y53" s="67"/>
      <c r="Z53" s="67"/>
    </row>
    <row r="54" spans="1:26" ht="14.25" hidden="1" customHeight="1" x14ac:dyDescent="0.2">
      <c r="A54" s="60">
        <v>53</v>
      </c>
      <c r="B54" s="54">
        <v>12198203</v>
      </c>
      <c r="C54" s="60" t="s">
        <v>1588</v>
      </c>
      <c r="D54" s="60" t="s">
        <v>2742</v>
      </c>
      <c r="E54" s="60" t="s">
        <v>520</v>
      </c>
      <c r="F54" s="60"/>
      <c r="G54" s="60"/>
      <c r="H54" s="60" t="s">
        <v>3367</v>
      </c>
      <c r="I54" s="60" t="s">
        <v>3425</v>
      </c>
      <c r="J54" s="67"/>
      <c r="K54" s="67"/>
      <c r="L54" s="67"/>
      <c r="M54" s="67"/>
      <c r="N54" s="67"/>
      <c r="O54" s="67"/>
      <c r="P54" s="67"/>
      <c r="Q54" s="67"/>
      <c r="R54" s="67"/>
      <c r="S54" s="67"/>
      <c r="T54" s="67"/>
      <c r="U54" s="67"/>
      <c r="V54" s="67"/>
      <c r="W54" s="67"/>
      <c r="X54" s="67"/>
      <c r="Y54" s="67"/>
      <c r="Z54" s="67"/>
    </row>
    <row r="55" spans="1:26" ht="14.25" hidden="1" customHeight="1" x14ac:dyDescent="0.2">
      <c r="A55" s="43">
        <v>54</v>
      </c>
      <c r="B55" s="15">
        <v>42008902</v>
      </c>
      <c r="C55" s="43" t="s">
        <v>1039</v>
      </c>
      <c r="D55" s="43" t="s">
        <v>1931</v>
      </c>
      <c r="E55" s="43" t="s">
        <v>35</v>
      </c>
      <c r="F55" s="43"/>
      <c r="G55" s="43"/>
      <c r="H55" s="43" t="s">
        <v>3419</v>
      </c>
      <c r="I55" s="43" t="s">
        <v>3426</v>
      </c>
      <c r="J55" s="67"/>
      <c r="K55" s="67"/>
      <c r="L55" s="67"/>
      <c r="M55" s="67"/>
      <c r="N55" s="67"/>
      <c r="O55" s="67"/>
      <c r="P55" s="67"/>
      <c r="Q55" s="67"/>
      <c r="R55" s="67"/>
      <c r="S55" s="67"/>
      <c r="T55" s="67"/>
      <c r="U55" s="67"/>
      <c r="V55" s="67"/>
      <c r="W55" s="67"/>
      <c r="X55" s="67"/>
      <c r="Y55" s="67"/>
      <c r="Z55" s="67"/>
    </row>
    <row r="56" spans="1:26" ht="39" hidden="1" customHeight="1" x14ac:dyDescent="0.25">
      <c r="A56" s="22">
        <v>55</v>
      </c>
      <c r="B56" s="34">
        <v>20425302</v>
      </c>
      <c r="C56" s="22" t="s">
        <v>567</v>
      </c>
      <c r="D56" s="22" t="s">
        <v>1931</v>
      </c>
      <c r="E56" s="22" t="s">
        <v>3427</v>
      </c>
      <c r="F56" s="22"/>
      <c r="G56" s="22"/>
      <c r="H56" s="22" t="s">
        <v>3428</v>
      </c>
      <c r="I56" s="204" t="s">
        <v>3429</v>
      </c>
      <c r="J56" s="67"/>
      <c r="K56" s="67"/>
      <c r="L56" s="67"/>
      <c r="M56" s="67"/>
      <c r="N56" s="67"/>
      <c r="O56" s="67"/>
      <c r="P56" s="67"/>
      <c r="Q56" s="67"/>
      <c r="R56" s="67"/>
      <c r="S56" s="67"/>
      <c r="T56" s="67"/>
      <c r="U56" s="67"/>
      <c r="V56" s="67"/>
      <c r="W56" s="67"/>
      <c r="X56" s="67"/>
      <c r="Y56" s="67"/>
      <c r="Z56" s="67"/>
    </row>
    <row r="57" spans="1:26" ht="14.25" hidden="1" customHeight="1" x14ac:dyDescent="0.2">
      <c r="A57" s="43">
        <v>56</v>
      </c>
      <c r="B57" s="15">
        <v>34005403</v>
      </c>
      <c r="C57" s="43" t="s">
        <v>603</v>
      </c>
      <c r="D57" s="43" t="s">
        <v>3430</v>
      </c>
      <c r="E57" s="43" t="s">
        <v>49</v>
      </c>
      <c r="F57" s="43"/>
      <c r="G57" s="43"/>
      <c r="H57" s="43"/>
      <c r="I57" s="43" t="s">
        <v>3384</v>
      </c>
      <c r="J57" s="67"/>
      <c r="K57" s="67"/>
      <c r="L57" s="67"/>
      <c r="M57" s="67"/>
      <c r="N57" s="67"/>
      <c r="O57" s="67"/>
      <c r="P57" s="67"/>
      <c r="Q57" s="67"/>
      <c r="R57" s="67"/>
      <c r="S57" s="67"/>
      <c r="T57" s="67"/>
      <c r="U57" s="67"/>
      <c r="V57" s="67"/>
      <c r="W57" s="67"/>
      <c r="X57" s="67"/>
      <c r="Y57" s="67"/>
      <c r="Z57" s="67"/>
    </row>
    <row r="58" spans="1:26" ht="14.25" hidden="1" customHeight="1" x14ac:dyDescent="0.2">
      <c r="A58" s="43">
        <v>57</v>
      </c>
      <c r="B58" s="15">
        <v>89137102</v>
      </c>
      <c r="C58" s="43" t="s">
        <v>3431</v>
      </c>
      <c r="D58" s="43" t="s">
        <v>3432</v>
      </c>
      <c r="E58" s="43" t="s">
        <v>35</v>
      </c>
      <c r="F58" s="43"/>
      <c r="G58" s="43"/>
      <c r="H58" s="43" t="s">
        <v>3433</v>
      </c>
      <c r="I58" s="43" t="s">
        <v>3434</v>
      </c>
      <c r="J58" s="67"/>
      <c r="K58" s="67"/>
      <c r="L58" s="67"/>
      <c r="M58" s="67"/>
      <c r="N58" s="67"/>
      <c r="O58" s="67"/>
      <c r="P58" s="67"/>
      <c r="Q58" s="67"/>
      <c r="R58" s="67"/>
      <c r="S58" s="67"/>
      <c r="T58" s="67"/>
      <c r="U58" s="67"/>
      <c r="V58" s="67"/>
      <c r="W58" s="67"/>
      <c r="X58" s="67"/>
      <c r="Y58" s="67"/>
      <c r="Z58" s="67"/>
    </row>
    <row r="59" spans="1:26" ht="14.25" customHeight="1" x14ac:dyDescent="0.2">
      <c r="A59" s="43">
        <v>58</v>
      </c>
      <c r="B59" s="15">
        <v>17053103</v>
      </c>
      <c r="C59" s="43" t="s">
        <v>919</v>
      </c>
      <c r="D59" s="43" t="s">
        <v>1941</v>
      </c>
      <c r="E59" s="43" t="s">
        <v>35</v>
      </c>
      <c r="F59" s="43"/>
      <c r="G59" s="43"/>
      <c r="H59" s="43" t="s">
        <v>3367</v>
      </c>
      <c r="I59" s="338" t="s">
        <v>4119</v>
      </c>
      <c r="J59" s="67"/>
      <c r="K59" s="67"/>
      <c r="L59" s="67"/>
      <c r="M59" s="67"/>
      <c r="N59" s="67"/>
      <c r="O59" s="67"/>
      <c r="P59" s="67"/>
      <c r="Q59" s="67"/>
      <c r="R59" s="67"/>
      <c r="S59" s="67"/>
      <c r="T59" s="67"/>
      <c r="U59" s="67"/>
      <c r="V59" s="67"/>
      <c r="W59" s="67"/>
      <c r="X59" s="67"/>
      <c r="Y59" s="67"/>
      <c r="Z59" s="67"/>
    </row>
    <row r="60" spans="1:26" ht="14.25" hidden="1" customHeight="1" x14ac:dyDescent="0.2">
      <c r="A60" s="43">
        <v>59</v>
      </c>
      <c r="B60" s="15">
        <v>42948502</v>
      </c>
      <c r="C60" s="43" t="s">
        <v>552</v>
      </c>
      <c r="D60" s="43"/>
      <c r="E60" s="43" t="s">
        <v>35</v>
      </c>
      <c r="F60" s="43"/>
      <c r="G60" s="43"/>
      <c r="H60" s="43" t="s">
        <v>3356</v>
      </c>
      <c r="I60" s="43" t="s">
        <v>3435</v>
      </c>
      <c r="J60" s="67"/>
      <c r="K60" s="67"/>
      <c r="L60" s="67"/>
      <c r="M60" s="67"/>
      <c r="N60" s="67"/>
      <c r="O60" s="67"/>
      <c r="P60" s="67"/>
      <c r="Q60" s="67"/>
      <c r="R60" s="67"/>
      <c r="S60" s="67"/>
      <c r="T60" s="67"/>
      <c r="U60" s="67"/>
      <c r="V60" s="67"/>
      <c r="W60" s="67"/>
      <c r="X60" s="67"/>
      <c r="Y60" s="67"/>
      <c r="Z60" s="67"/>
    </row>
    <row r="61" spans="1:26" ht="14.25" hidden="1" customHeight="1" x14ac:dyDescent="0.2">
      <c r="A61" s="43">
        <v>60</v>
      </c>
      <c r="B61" s="43">
        <v>3351539</v>
      </c>
      <c r="C61" s="43" t="s">
        <v>1180</v>
      </c>
      <c r="D61" s="43" t="s">
        <v>1941</v>
      </c>
      <c r="E61" s="43" t="s">
        <v>895</v>
      </c>
      <c r="F61" s="43"/>
      <c r="G61" s="43"/>
      <c r="H61" s="43" t="s">
        <v>3436</v>
      </c>
      <c r="I61" s="43" t="s">
        <v>3437</v>
      </c>
      <c r="J61" s="67"/>
      <c r="K61" s="67"/>
      <c r="L61" s="67"/>
      <c r="M61" s="67"/>
      <c r="N61" s="67"/>
      <c r="O61" s="67"/>
      <c r="P61" s="67"/>
      <c r="Q61" s="67"/>
      <c r="R61" s="67"/>
      <c r="S61" s="67"/>
      <c r="T61" s="67"/>
      <c r="U61" s="67"/>
      <c r="V61" s="67"/>
      <c r="W61" s="67"/>
      <c r="X61" s="67"/>
      <c r="Y61" s="67"/>
      <c r="Z61" s="67"/>
    </row>
    <row r="62" spans="1:26" ht="14.25" hidden="1" customHeight="1" x14ac:dyDescent="0.2">
      <c r="A62" s="21">
        <v>61</v>
      </c>
      <c r="B62" s="43">
        <v>76376601</v>
      </c>
      <c r="C62" s="43" t="s">
        <v>1846</v>
      </c>
      <c r="D62" s="43" t="s">
        <v>3438</v>
      </c>
      <c r="E62" s="43" t="s">
        <v>35</v>
      </c>
      <c r="F62" s="43"/>
      <c r="G62" s="43"/>
      <c r="H62" s="43" t="s">
        <v>3439</v>
      </c>
      <c r="I62" s="43" t="s">
        <v>3440</v>
      </c>
      <c r="J62" s="67"/>
      <c r="K62" s="67"/>
      <c r="L62" s="67"/>
      <c r="M62" s="67"/>
      <c r="N62" s="67"/>
      <c r="O62" s="67"/>
      <c r="P62" s="67"/>
      <c r="Q62" s="67"/>
      <c r="R62" s="67"/>
      <c r="S62" s="67"/>
      <c r="T62" s="67"/>
      <c r="U62" s="67"/>
      <c r="V62" s="67"/>
      <c r="W62" s="67"/>
      <c r="X62" s="67"/>
      <c r="Y62" s="67"/>
      <c r="Z62" s="67"/>
    </row>
    <row r="63" spans="1:26" ht="14.25" hidden="1" customHeight="1" x14ac:dyDescent="0.2">
      <c r="A63" s="21">
        <v>62</v>
      </c>
      <c r="B63" s="43">
        <v>24889403</v>
      </c>
      <c r="C63" s="43" t="s">
        <v>860</v>
      </c>
      <c r="D63" s="43" t="s">
        <v>3441</v>
      </c>
      <c r="E63" s="43" t="s">
        <v>49</v>
      </c>
      <c r="F63" s="43"/>
      <c r="G63" s="43"/>
      <c r="H63" s="43" t="s">
        <v>3442</v>
      </c>
      <c r="I63" s="43" t="s">
        <v>3442</v>
      </c>
      <c r="J63" s="67"/>
      <c r="K63" s="67"/>
      <c r="L63" s="67"/>
      <c r="M63" s="67"/>
      <c r="N63" s="67"/>
      <c r="O63" s="67"/>
      <c r="P63" s="67"/>
      <c r="Q63" s="67"/>
      <c r="R63" s="67"/>
      <c r="S63" s="67"/>
      <c r="T63" s="67"/>
      <c r="U63" s="67"/>
      <c r="V63" s="67"/>
      <c r="W63" s="67"/>
      <c r="X63" s="67"/>
      <c r="Y63" s="67"/>
      <c r="Z63" s="67"/>
    </row>
    <row r="64" spans="1:26" ht="14.25" hidden="1" customHeight="1" x14ac:dyDescent="0.2">
      <c r="A64" s="43">
        <v>63</v>
      </c>
      <c r="B64" s="15">
        <v>31404502</v>
      </c>
      <c r="C64" s="43" t="s">
        <v>1043</v>
      </c>
      <c r="D64" s="43" t="s">
        <v>3443</v>
      </c>
      <c r="E64" s="43" t="s">
        <v>35</v>
      </c>
      <c r="F64" s="43"/>
      <c r="G64" s="43"/>
      <c r="H64" s="43" t="s">
        <v>3367</v>
      </c>
      <c r="I64" s="43" t="s">
        <v>3444</v>
      </c>
      <c r="J64" s="67"/>
      <c r="K64" s="67"/>
      <c r="L64" s="67"/>
      <c r="M64" s="67"/>
      <c r="N64" s="67"/>
      <c r="O64" s="67"/>
      <c r="P64" s="67"/>
      <c r="Q64" s="67"/>
      <c r="R64" s="67"/>
      <c r="S64" s="67"/>
      <c r="T64" s="67"/>
      <c r="U64" s="67"/>
      <c r="V64" s="67"/>
      <c r="W64" s="67"/>
      <c r="X64" s="67"/>
      <c r="Y64" s="67"/>
      <c r="Z64" s="67"/>
    </row>
    <row r="65" spans="1:26" ht="14.25" hidden="1" customHeight="1" x14ac:dyDescent="0.2">
      <c r="A65" s="43">
        <v>64</v>
      </c>
      <c r="B65" s="43">
        <v>76376601</v>
      </c>
      <c r="C65" s="43" t="s">
        <v>1846</v>
      </c>
      <c r="D65" s="43" t="s">
        <v>3445</v>
      </c>
      <c r="E65" s="43" t="s">
        <v>35</v>
      </c>
      <c r="F65" s="43"/>
      <c r="G65" s="43"/>
      <c r="H65" s="43" t="s">
        <v>3446</v>
      </c>
      <c r="I65" s="43" t="s">
        <v>3447</v>
      </c>
      <c r="J65" s="67"/>
      <c r="K65" s="67"/>
      <c r="L65" s="67"/>
      <c r="M65" s="67"/>
      <c r="N65" s="67"/>
      <c r="O65" s="67"/>
      <c r="P65" s="67"/>
      <c r="Q65" s="67"/>
      <c r="R65" s="67"/>
      <c r="S65" s="67"/>
      <c r="T65" s="67"/>
      <c r="U65" s="67"/>
      <c r="V65" s="67"/>
      <c r="W65" s="67"/>
      <c r="X65" s="67"/>
      <c r="Y65" s="67"/>
      <c r="Z65" s="67"/>
    </row>
    <row r="66" spans="1:26" ht="14.25" hidden="1" customHeight="1" x14ac:dyDescent="0.2">
      <c r="A66" s="43">
        <v>65</v>
      </c>
      <c r="B66" s="15">
        <v>34005603</v>
      </c>
      <c r="C66" s="43" t="s">
        <v>3448</v>
      </c>
      <c r="D66" s="43" t="s">
        <v>1958</v>
      </c>
      <c r="E66" s="43" t="s">
        <v>49</v>
      </c>
      <c r="F66" s="43"/>
      <c r="G66" s="43"/>
      <c r="H66" s="43" t="s">
        <v>3367</v>
      </c>
      <c r="I66" s="43" t="s">
        <v>3449</v>
      </c>
      <c r="J66" s="67"/>
      <c r="K66" s="67"/>
      <c r="L66" s="67"/>
      <c r="M66" s="67"/>
      <c r="N66" s="67"/>
      <c r="O66" s="67"/>
      <c r="P66" s="67"/>
      <c r="Q66" s="67"/>
      <c r="R66" s="67"/>
      <c r="S66" s="67"/>
      <c r="T66" s="67"/>
      <c r="U66" s="67"/>
      <c r="V66" s="67"/>
      <c r="W66" s="67"/>
      <c r="X66" s="67"/>
      <c r="Y66" s="67"/>
      <c r="Z66" s="67"/>
    </row>
    <row r="67" spans="1:26" ht="14.25" hidden="1" customHeight="1" x14ac:dyDescent="0.2">
      <c r="A67" s="64">
        <v>66</v>
      </c>
      <c r="B67" s="252">
        <v>24969503</v>
      </c>
      <c r="C67" s="64" t="s">
        <v>846</v>
      </c>
      <c r="D67" s="64" t="s">
        <v>1967</v>
      </c>
      <c r="E67" s="64" t="s">
        <v>49</v>
      </c>
      <c r="F67" s="64"/>
      <c r="G67" s="64"/>
      <c r="H67" s="64" t="s">
        <v>3450</v>
      </c>
      <c r="I67" s="64" t="s">
        <v>3451</v>
      </c>
      <c r="J67" s="67"/>
      <c r="K67" s="67"/>
      <c r="L67" s="67"/>
      <c r="M67" s="67"/>
      <c r="N67" s="67"/>
      <c r="O67" s="67"/>
      <c r="P67" s="67"/>
      <c r="Q67" s="67"/>
      <c r="R67" s="67"/>
      <c r="S67" s="67"/>
      <c r="T67" s="67"/>
      <c r="U67" s="67"/>
      <c r="V67" s="67"/>
      <c r="W67" s="67"/>
      <c r="X67" s="67"/>
      <c r="Y67" s="67"/>
      <c r="Z67" s="67"/>
    </row>
    <row r="68" spans="1:26" ht="14.25" hidden="1" customHeight="1" x14ac:dyDescent="0.2">
      <c r="A68" s="64">
        <v>67</v>
      </c>
      <c r="B68" s="244">
        <v>66115602</v>
      </c>
      <c r="C68" s="64" t="s">
        <v>868</v>
      </c>
      <c r="D68" s="64" t="s">
        <v>1969</v>
      </c>
      <c r="E68" s="64" t="s">
        <v>488</v>
      </c>
      <c r="F68" s="64"/>
      <c r="G68" s="64"/>
      <c r="H68" s="64" t="s">
        <v>3367</v>
      </c>
      <c r="I68" s="64" t="s">
        <v>3452</v>
      </c>
      <c r="J68" s="67"/>
      <c r="K68" s="67"/>
      <c r="L68" s="67"/>
      <c r="M68" s="67"/>
      <c r="N68" s="67"/>
      <c r="O68" s="67"/>
      <c r="P68" s="67"/>
      <c r="Q68" s="67"/>
      <c r="R68" s="67"/>
      <c r="S68" s="67"/>
      <c r="T68" s="67"/>
      <c r="U68" s="67"/>
      <c r="V68" s="67"/>
      <c r="W68" s="67"/>
      <c r="X68" s="67"/>
      <c r="Y68" s="67"/>
      <c r="Z68" s="67"/>
    </row>
    <row r="69" spans="1:26" ht="14.25" hidden="1" customHeight="1" x14ac:dyDescent="0.2">
      <c r="A69" s="43">
        <v>68</v>
      </c>
      <c r="B69" s="43">
        <v>61872202</v>
      </c>
      <c r="C69" s="43" t="s">
        <v>892</v>
      </c>
      <c r="D69" s="43" t="s">
        <v>328</v>
      </c>
      <c r="E69" s="43" t="s">
        <v>895</v>
      </c>
      <c r="F69" s="43"/>
      <c r="G69" s="43"/>
      <c r="H69" s="43" t="s">
        <v>3453</v>
      </c>
      <c r="I69" s="43" t="s">
        <v>3454</v>
      </c>
      <c r="J69" s="67"/>
      <c r="K69" s="67"/>
      <c r="L69" s="67"/>
      <c r="M69" s="67"/>
      <c r="N69" s="67"/>
      <c r="O69" s="67"/>
      <c r="P69" s="67"/>
      <c r="Q69" s="67"/>
      <c r="R69" s="67"/>
      <c r="S69" s="67"/>
      <c r="T69" s="67"/>
      <c r="U69" s="67"/>
      <c r="V69" s="67"/>
      <c r="W69" s="67"/>
      <c r="X69" s="67"/>
      <c r="Y69" s="67"/>
      <c r="Z69" s="67"/>
    </row>
    <row r="70" spans="1:26" ht="14.25" hidden="1" customHeight="1" x14ac:dyDescent="0.2">
      <c r="A70" s="43">
        <v>69</v>
      </c>
      <c r="B70" s="43">
        <v>39138502</v>
      </c>
      <c r="C70" s="43" t="s">
        <v>603</v>
      </c>
      <c r="D70" s="43" t="s">
        <v>1983</v>
      </c>
      <c r="E70" s="43" t="s">
        <v>49</v>
      </c>
      <c r="F70" s="43"/>
      <c r="G70" s="43"/>
      <c r="H70" s="43" t="s">
        <v>3455</v>
      </c>
      <c r="I70" s="43" t="s">
        <v>3456</v>
      </c>
      <c r="J70" s="67"/>
      <c r="K70" s="67"/>
      <c r="L70" s="67"/>
      <c r="M70" s="67"/>
      <c r="N70" s="67"/>
      <c r="O70" s="67"/>
      <c r="P70" s="67"/>
      <c r="Q70" s="67"/>
      <c r="R70" s="67"/>
      <c r="S70" s="67"/>
      <c r="T70" s="67"/>
      <c r="U70" s="67"/>
      <c r="V70" s="67"/>
      <c r="W70" s="67"/>
      <c r="X70" s="67"/>
      <c r="Y70" s="67"/>
      <c r="Z70" s="67"/>
    </row>
    <row r="71" spans="1:26" ht="14.25" hidden="1" customHeight="1" x14ac:dyDescent="0.2">
      <c r="A71" s="43">
        <v>70</v>
      </c>
      <c r="B71" s="15">
        <v>63109602</v>
      </c>
      <c r="C71" s="43" t="s">
        <v>1604</v>
      </c>
      <c r="D71" s="43" t="s">
        <v>3457</v>
      </c>
      <c r="E71" s="43" t="s">
        <v>35</v>
      </c>
      <c r="F71" s="43"/>
      <c r="G71" s="43"/>
      <c r="H71" s="43" t="s">
        <v>3367</v>
      </c>
      <c r="I71" s="43" t="s">
        <v>3458</v>
      </c>
      <c r="J71" s="67"/>
      <c r="K71" s="67"/>
      <c r="L71" s="67"/>
      <c r="M71" s="67"/>
      <c r="N71" s="67"/>
      <c r="O71" s="67"/>
      <c r="P71" s="67"/>
      <c r="Q71" s="67"/>
      <c r="R71" s="67"/>
      <c r="S71" s="67"/>
      <c r="T71" s="67"/>
      <c r="U71" s="67"/>
      <c r="V71" s="67"/>
      <c r="W71" s="67"/>
      <c r="X71" s="67"/>
      <c r="Y71" s="67"/>
      <c r="Z71" s="67"/>
    </row>
    <row r="72" spans="1:26" ht="14.25" hidden="1" customHeight="1" x14ac:dyDescent="0.2">
      <c r="A72" s="43">
        <v>71</v>
      </c>
      <c r="B72" s="43">
        <v>72069702</v>
      </c>
      <c r="C72" s="43" t="s">
        <v>1261</v>
      </c>
      <c r="D72" s="43" t="s">
        <v>3459</v>
      </c>
      <c r="E72" s="43" t="s">
        <v>49</v>
      </c>
      <c r="F72" s="43"/>
      <c r="G72" s="43"/>
      <c r="H72" s="43" t="s">
        <v>3367</v>
      </c>
      <c r="I72" s="43" t="s">
        <v>3460</v>
      </c>
      <c r="J72" s="67"/>
      <c r="K72" s="67"/>
      <c r="L72" s="67"/>
      <c r="M72" s="67"/>
      <c r="N72" s="67"/>
      <c r="O72" s="67"/>
      <c r="P72" s="67"/>
      <c r="Q72" s="67"/>
      <c r="R72" s="67"/>
      <c r="S72" s="67"/>
      <c r="T72" s="67"/>
      <c r="U72" s="67"/>
      <c r="V72" s="67"/>
      <c r="W72" s="67"/>
      <c r="X72" s="67"/>
      <c r="Y72" s="67"/>
      <c r="Z72" s="67"/>
    </row>
    <row r="73" spans="1:26" ht="14.25" hidden="1" customHeight="1" x14ac:dyDescent="0.2">
      <c r="A73" s="43">
        <v>72</v>
      </c>
      <c r="B73" s="43">
        <v>31404502</v>
      </c>
      <c r="C73" s="43" t="s">
        <v>1043</v>
      </c>
      <c r="D73" s="43" t="s">
        <v>3461</v>
      </c>
      <c r="E73" s="43" t="s">
        <v>35</v>
      </c>
      <c r="F73" s="43"/>
      <c r="G73" s="43"/>
      <c r="H73" s="43" t="s">
        <v>3356</v>
      </c>
      <c r="I73" s="43" t="s">
        <v>3462</v>
      </c>
      <c r="J73" s="67"/>
      <c r="K73" s="67"/>
      <c r="L73" s="67"/>
      <c r="M73" s="67"/>
      <c r="N73" s="67"/>
      <c r="O73" s="67"/>
      <c r="P73" s="67"/>
      <c r="Q73" s="67"/>
      <c r="R73" s="67"/>
      <c r="S73" s="67"/>
      <c r="T73" s="67"/>
      <c r="U73" s="67"/>
      <c r="V73" s="67"/>
      <c r="W73" s="67"/>
      <c r="X73" s="67"/>
      <c r="Y73" s="67"/>
      <c r="Z73" s="67"/>
    </row>
    <row r="74" spans="1:26" ht="14.25" hidden="1" customHeight="1" x14ac:dyDescent="0.2">
      <c r="A74" s="43">
        <v>73</v>
      </c>
      <c r="B74" s="15">
        <v>24890603</v>
      </c>
      <c r="C74" s="43" t="s">
        <v>864</v>
      </c>
      <c r="D74" s="43" t="s">
        <v>2011</v>
      </c>
      <c r="E74" s="43" t="s">
        <v>49</v>
      </c>
      <c r="F74" s="43"/>
      <c r="G74" s="43"/>
      <c r="H74" s="43" t="s">
        <v>3356</v>
      </c>
      <c r="I74" s="43"/>
      <c r="J74" s="67"/>
      <c r="K74" s="67"/>
      <c r="L74" s="67"/>
      <c r="M74" s="67"/>
      <c r="N74" s="67"/>
      <c r="O74" s="67"/>
      <c r="P74" s="67"/>
      <c r="Q74" s="67"/>
      <c r="R74" s="67"/>
      <c r="S74" s="67"/>
      <c r="T74" s="67"/>
      <c r="U74" s="67"/>
      <c r="V74" s="67"/>
      <c r="W74" s="67"/>
      <c r="X74" s="67"/>
      <c r="Y74" s="67"/>
      <c r="Z74" s="67"/>
    </row>
    <row r="75" spans="1:26" ht="14.25" hidden="1" customHeight="1" x14ac:dyDescent="0.2">
      <c r="A75" s="22">
        <v>74</v>
      </c>
      <c r="B75" s="22">
        <v>41221502</v>
      </c>
      <c r="C75" s="22" t="s">
        <v>1139</v>
      </c>
      <c r="D75" s="22" t="s">
        <v>3463</v>
      </c>
      <c r="E75" s="22" t="s">
        <v>35</v>
      </c>
      <c r="F75" s="22"/>
      <c r="G75" s="22"/>
      <c r="H75" s="22" t="s">
        <v>3367</v>
      </c>
      <c r="I75" s="22" t="s">
        <v>3464</v>
      </c>
      <c r="J75" s="67"/>
      <c r="K75" s="67"/>
      <c r="L75" s="67"/>
      <c r="M75" s="67"/>
      <c r="N75" s="67"/>
      <c r="O75" s="67"/>
      <c r="P75" s="67"/>
      <c r="Q75" s="67"/>
      <c r="R75" s="67"/>
      <c r="S75" s="67"/>
      <c r="T75" s="67"/>
      <c r="U75" s="67"/>
      <c r="V75" s="67"/>
      <c r="W75" s="67"/>
      <c r="X75" s="67"/>
      <c r="Y75" s="67"/>
      <c r="Z75" s="67"/>
    </row>
    <row r="76" spans="1:26" ht="14.25" hidden="1" customHeight="1" x14ac:dyDescent="0.2">
      <c r="A76" s="43">
        <v>75</v>
      </c>
      <c r="B76" s="43">
        <v>24889103</v>
      </c>
      <c r="C76" s="43" t="s">
        <v>517</v>
      </c>
      <c r="D76" s="43" t="s">
        <v>3465</v>
      </c>
      <c r="E76" s="43" t="s">
        <v>49</v>
      </c>
      <c r="F76" s="43"/>
      <c r="G76" s="43"/>
      <c r="H76" s="43" t="s">
        <v>3419</v>
      </c>
      <c r="I76" s="43" t="s">
        <v>3466</v>
      </c>
      <c r="J76" s="67"/>
      <c r="K76" s="67"/>
      <c r="L76" s="67"/>
      <c r="M76" s="67"/>
      <c r="N76" s="67"/>
      <c r="O76" s="67"/>
      <c r="P76" s="67"/>
      <c r="Q76" s="67"/>
      <c r="R76" s="67"/>
      <c r="S76" s="67"/>
      <c r="T76" s="67"/>
      <c r="U76" s="67"/>
      <c r="V76" s="67"/>
      <c r="W76" s="67"/>
      <c r="X76" s="67"/>
      <c r="Y76" s="67"/>
      <c r="Z76" s="67"/>
    </row>
    <row r="77" spans="1:26" ht="14.25" hidden="1" customHeight="1" x14ac:dyDescent="0.2">
      <c r="A77" s="43">
        <v>76</v>
      </c>
      <c r="B77" s="43">
        <v>42949202</v>
      </c>
      <c r="C77" s="43" t="s">
        <v>1012</v>
      </c>
      <c r="D77" s="43" t="s">
        <v>3467</v>
      </c>
      <c r="E77" s="43" t="s">
        <v>35</v>
      </c>
      <c r="F77" s="43"/>
      <c r="G77" s="43"/>
      <c r="H77" s="43" t="s">
        <v>3468</v>
      </c>
      <c r="I77" s="43" t="s">
        <v>3469</v>
      </c>
      <c r="J77" s="67"/>
      <c r="K77" s="67"/>
      <c r="L77" s="67"/>
      <c r="M77" s="67"/>
      <c r="N77" s="67"/>
      <c r="O77" s="67"/>
      <c r="P77" s="67"/>
      <c r="Q77" s="67"/>
      <c r="R77" s="67"/>
      <c r="S77" s="67"/>
      <c r="T77" s="67"/>
      <c r="U77" s="67"/>
      <c r="V77" s="67"/>
      <c r="W77" s="67"/>
      <c r="X77" s="67"/>
      <c r="Y77" s="67"/>
      <c r="Z77" s="67"/>
    </row>
    <row r="78" spans="1:26" ht="14.25" hidden="1" customHeight="1" x14ac:dyDescent="0.2">
      <c r="A78" s="43">
        <v>77</v>
      </c>
      <c r="B78" s="43">
        <v>83212202</v>
      </c>
      <c r="C78" s="43" t="s">
        <v>1089</v>
      </c>
      <c r="D78" s="43" t="s">
        <v>2045</v>
      </c>
      <c r="E78" s="43" t="s">
        <v>597</v>
      </c>
      <c r="F78" s="43"/>
      <c r="G78" s="43"/>
      <c r="H78" s="43" t="s">
        <v>3419</v>
      </c>
      <c r="I78" s="43" t="s">
        <v>3470</v>
      </c>
      <c r="J78" s="67"/>
      <c r="K78" s="67"/>
      <c r="L78" s="67"/>
      <c r="M78" s="67"/>
      <c r="N78" s="67"/>
      <c r="O78" s="67"/>
      <c r="P78" s="67"/>
      <c r="Q78" s="67"/>
      <c r="R78" s="67"/>
      <c r="S78" s="67"/>
      <c r="T78" s="67"/>
      <c r="U78" s="67"/>
      <c r="V78" s="67"/>
      <c r="W78" s="67"/>
      <c r="X78" s="67"/>
      <c r="Y78" s="67"/>
      <c r="Z78" s="67"/>
    </row>
    <row r="79" spans="1:26" ht="14.25" hidden="1" customHeight="1" x14ac:dyDescent="0.2">
      <c r="A79" s="43">
        <v>78</v>
      </c>
      <c r="B79" s="43">
        <v>34005603</v>
      </c>
      <c r="C79" s="43" t="s">
        <v>3448</v>
      </c>
      <c r="D79" s="43" t="s">
        <v>2043</v>
      </c>
      <c r="E79" s="43" t="s">
        <v>49</v>
      </c>
      <c r="F79" s="43"/>
      <c r="G79" s="43"/>
      <c r="H79" s="43" t="s">
        <v>3419</v>
      </c>
      <c r="I79" s="43" t="s">
        <v>3471</v>
      </c>
      <c r="J79" s="67"/>
      <c r="K79" s="67"/>
      <c r="L79" s="67"/>
      <c r="M79" s="67"/>
      <c r="N79" s="67"/>
      <c r="O79" s="67"/>
      <c r="P79" s="67"/>
      <c r="Q79" s="67"/>
      <c r="R79" s="67"/>
      <c r="S79" s="67"/>
      <c r="T79" s="67"/>
      <c r="U79" s="67"/>
      <c r="V79" s="67"/>
      <c r="W79" s="67"/>
      <c r="X79" s="67"/>
      <c r="Y79" s="67"/>
      <c r="Z79" s="67"/>
    </row>
    <row r="80" spans="1:26" ht="14.25" hidden="1" customHeight="1" x14ac:dyDescent="0.2">
      <c r="A80" s="43">
        <v>79</v>
      </c>
      <c r="B80" s="43">
        <v>59201203</v>
      </c>
      <c r="C80" s="43" t="s">
        <v>1017</v>
      </c>
      <c r="D80" s="43" t="s">
        <v>2060</v>
      </c>
      <c r="E80" s="43" t="s">
        <v>520</v>
      </c>
      <c r="F80" s="43"/>
      <c r="G80" s="43"/>
      <c r="H80" s="43" t="s">
        <v>3419</v>
      </c>
      <c r="I80" s="43" t="s">
        <v>3472</v>
      </c>
      <c r="J80" s="67"/>
      <c r="K80" s="67"/>
      <c r="L80" s="67"/>
      <c r="M80" s="67"/>
      <c r="N80" s="67"/>
      <c r="O80" s="67"/>
      <c r="P80" s="67"/>
      <c r="Q80" s="67"/>
      <c r="R80" s="67"/>
      <c r="S80" s="67"/>
      <c r="T80" s="67"/>
      <c r="U80" s="67"/>
      <c r="V80" s="67"/>
      <c r="W80" s="67"/>
      <c r="X80" s="67"/>
      <c r="Y80" s="67"/>
      <c r="Z80" s="67"/>
    </row>
    <row r="81" spans="1:26" ht="14.25" hidden="1" customHeight="1" x14ac:dyDescent="0.2">
      <c r="A81" s="64">
        <v>80</v>
      </c>
      <c r="B81" s="64">
        <v>63109602</v>
      </c>
      <c r="C81" s="64" t="s">
        <v>1604</v>
      </c>
      <c r="D81" s="64" t="s">
        <v>3473</v>
      </c>
      <c r="E81" s="64" t="s">
        <v>35</v>
      </c>
      <c r="F81" s="64"/>
      <c r="G81" s="64"/>
      <c r="H81" s="64" t="s">
        <v>3474</v>
      </c>
      <c r="I81" s="64" t="s">
        <v>3475</v>
      </c>
      <c r="J81" s="67"/>
      <c r="K81" s="67"/>
      <c r="L81" s="67"/>
      <c r="M81" s="67"/>
      <c r="N81" s="67"/>
      <c r="O81" s="67"/>
      <c r="P81" s="67"/>
      <c r="Q81" s="67"/>
      <c r="R81" s="67"/>
      <c r="S81" s="67"/>
      <c r="T81" s="67"/>
      <c r="U81" s="67"/>
      <c r="V81" s="67"/>
      <c r="W81" s="67"/>
      <c r="X81" s="67"/>
      <c r="Y81" s="67"/>
      <c r="Z81" s="67"/>
    </row>
    <row r="82" spans="1:26" ht="14.25" hidden="1" customHeight="1" x14ac:dyDescent="0.2">
      <c r="A82" s="43">
        <v>81</v>
      </c>
      <c r="B82" s="15">
        <v>24969803</v>
      </c>
      <c r="C82" s="43" t="s">
        <v>2664</v>
      </c>
      <c r="D82" s="43" t="s">
        <v>3473</v>
      </c>
      <c r="E82" s="43" t="s">
        <v>49</v>
      </c>
      <c r="F82" s="43"/>
      <c r="G82" s="43"/>
      <c r="H82" s="43" t="s">
        <v>3476</v>
      </c>
      <c r="I82" s="43" t="s">
        <v>3449</v>
      </c>
      <c r="J82" s="67"/>
      <c r="K82" s="67"/>
      <c r="L82" s="67"/>
      <c r="M82" s="67"/>
      <c r="N82" s="67"/>
      <c r="O82" s="67"/>
      <c r="P82" s="67"/>
      <c r="Q82" s="67"/>
      <c r="R82" s="67"/>
      <c r="S82" s="67"/>
      <c r="T82" s="67"/>
      <c r="U82" s="67"/>
      <c r="V82" s="67"/>
      <c r="W82" s="67"/>
      <c r="X82" s="67"/>
      <c r="Y82" s="67"/>
      <c r="Z82" s="67"/>
    </row>
    <row r="83" spans="1:26" ht="14.25" hidden="1" customHeight="1" x14ac:dyDescent="0.2">
      <c r="A83" s="43">
        <v>82</v>
      </c>
      <c r="B83" s="43">
        <v>42949102</v>
      </c>
      <c r="C83" s="43" t="s">
        <v>709</v>
      </c>
      <c r="D83" s="43" t="s">
        <v>3477</v>
      </c>
      <c r="E83" s="43" t="s">
        <v>35</v>
      </c>
      <c r="F83" s="43"/>
      <c r="G83" s="43"/>
      <c r="H83" s="43" t="s">
        <v>3419</v>
      </c>
      <c r="I83" s="43" t="s">
        <v>3478</v>
      </c>
      <c r="J83" s="67"/>
      <c r="K83" s="67"/>
      <c r="L83" s="67"/>
      <c r="M83" s="67"/>
      <c r="N83" s="67"/>
      <c r="O83" s="67"/>
      <c r="P83" s="67"/>
      <c r="Q83" s="67"/>
      <c r="R83" s="67"/>
      <c r="S83" s="67"/>
      <c r="T83" s="67"/>
      <c r="U83" s="67"/>
      <c r="V83" s="67"/>
      <c r="W83" s="67"/>
      <c r="X83" s="67"/>
      <c r="Y83" s="67"/>
      <c r="Z83" s="67"/>
    </row>
    <row r="84" spans="1:26" ht="14.25" hidden="1" customHeight="1" x14ac:dyDescent="0.2">
      <c r="A84" s="43">
        <v>83</v>
      </c>
      <c r="B84" s="43">
        <v>43747603</v>
      </c>
      <c r="C84" s="43" t="s">
        <v>1254</v>
      </c>
      <c r="D84" s="43" t="s">
        <v>3473</v>
      </c>
      <c r="E84" s="43" t="s">
        <v>35</v>
      </c>
      <c r="F84" s="43"/>
      <c r="G84" s="43"/>
      <c r="H84" s="43" t="s">
        <v>3479</v>
      </c>
      <c r="I84" s="43" t="s">
        <v>3480</v>
      </c>
      <c r="J84" s="67"/>
      <c r="K84" s="67"/>
      <c r="L84" s="67"/>
      <c r="M84" s="67"/>
      <c r="N84" s="67"/>
      <c r="O84" s="67"/>
      <c r="P84" s="67"/>
      <c r="Q84" s="67"/>
      <c r="R84" s="67"/>
      <c r="S84" s="67"/>
      <c r="T84" s="67"/>
      <c r="U84" s="67"/>
      <c r="V84" s="67"/>
      <c r="W84" s="67"/>
      <c r="X84" s="67"/>
      <c r="Y84" s="67"/>
      <c r="Z84" s="67"/>
    </row>
    <row r="85" spans="1:26" ht="14.25" hidden="1" customHeight="1" x14ac:dyDescent="0.2">
      <c r="A85" s="43">
        <v>84</v>
      </c>
      <c r="B85" s="43">
        <v>64792303</v>
      </c>
      <c r="C85" s="43" t="s">
        <v>980</v>
      </c>
      <c r="D85" s="43" t="s">
        <v>2062</v>
      </c>
      <c r="E85" s="43" t="s">
        <v>35</v>
      </c>
      <c r="F85" s="43"/>
      <c r="G85" s="43"/>
      <c r="H85" s="43" t="s">
        <v>3419</v>
      </c>
      <c r="I85" s="43" t="s">
        <v>3481</v>
      </c>
      <c r="J85" s="67"/>
      <c r="K85" s="67"/>
      <c r="L85" s="67"/>
      <c r="M85" s="67"/>
      <c r="N85" s="67"/>
      <c r="O85" s="67"/>
      <c r="P85" s="67"/>
      <c r="Q85" s="67"/>
      <c r="R85" s="67"/>
      <c r="S85" s="67"/>
      <c r="T85" s="67"/>
      <c r="U85" s="67"/>
      <c r="V85" s="67"/>
      <c r="W85" s="67"/>
      <c r="X85" s="67"/>
      <c r="Y85" s="67"/>
      <c r="Z85" s="67"/>
    </row>
    <row r="86" spans="1:26" ht="14.25" hidden="1" customHeight="1" x14ac:dyDescent="0.2">
      <c r="A86" s="64">
        <v>85</v>
      </c>
      <c r="B86" s="64">
        <v>42008902</v>
      </c>
      <c r="C86" s="64" t="s">
        <v>1012</v>
      </c>
      <c r="D86" s="64" t="s">
        <v>3482</v>
      </c>
      <c r="E86" s="64" t="s">
        <v>35</v>
      </c>
      <c r="F86" s="64"/>
      <c r="G86" s="64"/>
      <c r="H86" s="64" t="s">
        <v>3419</v>
      </c>
      <c r="I86" s="64" t="s">
        <v>3483</v>
      </c>
      <c r="J86" s="67"/>
      <c r="K86" s="67"/>
      <c r="L86" s="67"/>
      <c r="M86" s="67"/>
      <c r="N86" s="67"/>
      <c r="O86" s="67"/>
      <c r="P86" s="67"/>
      <c r="Q86" s="67"/>
      <c r="R86" s="67"/>
      <c r="S86" s="67"/>
      <c r="T86" s="67"/>
      <c r="U86" s="67"/>
      <c r="V86" s="67"/>
      <c r="W86" s="67"/>
      <c r="X86" s="67"/>
      <c r="Y86" s="67"/>
      <c r="Z86" s="67"/>
    </row>
    <row r="87" spans="1:26" ht="14.25" hidden="1" customHeight="1" x14ac:dyDescent="0.2">
      <c r="A87" s="43">
        <v>86</v>
      </c>
      <c r="B87" s="43">
        <v>52481402</v>
      </c>
      <c r="C87" s="43" t="s">
        <v>1163</v>
      </c>
      <c r="D87" s="43" t="s">
        <v>3484</v>
      </c>
      <c r="E87" s="43" t="s">
        <v>35</v>
      </c>
      <c r="F87" s="43"/>
      <c r="G87" s="43"/>
      <c r="H87" s="43" t="s">
        <v>3419</v>
      </c>
      <c r="I87" s="43" t="s">
        <v>3485</v>
      </c>
      <c r="J87" s="67"/>
      <c r="K87" s="67"/>
      <c r="L87" s="67"/>
      <c r="M87" s="67"/>
      <c r="N87" s="67"/>
      <c r="O87" s="67"/>
      <c r="P87" s="67"/>
      <c r="Q87" s="67"/>
      <c r="R87" s="67"/>
      <c r="S87" s="67"/>
      <c r="T87" s="67"/>
      <c r="U87" s="67"/>
      <c r="V87" s="67"/>
      <c r="W87" s="67"/>
      <c r="X87" s="67"/>
      <c r="Y87" s="67"/>
      <c r="Z87" s="67"/>
    </row>
    <row r="88" spans="1:26" ht="14.25" hidden="1" customHeight="1" x14ac:dyDescent="0.2">
      <c r="A88" s="64">
        <v>87</v>
      </c>
      <c r="B88" s="64">
        <v>34005603</v>
      </c>
      <c r="C88" s="64" t="s">
        <v>3448</v>
      </c>
      <c r="D88" s="64" t="s">
        <v>3484</v>
      </c>
      <c r="E88" s="64" t="s">
        <v>49</v>
      </c>
      <c r="F88" s="64"/>
      <c r="G88" s="64"/>
      <c r="H88" s="64" t="s">
        <v>3419</v>
      </c>
      <c r="I88" s="64" t="s">
        <v>3486</v>
      </c>
      <c r="J88" s="67"/>
      <c r="K88" s="67"/>
      <c r="L88" s="67"/>
      <c r="M88" s="67"/>
      <c r="N88" s="67"/>
      <c r="O88" s="67"/>
      <c r="P88" s="67"/>
      <c r="Q88" s="67"/>
      <c r="R88" s="67"/>
      <c r="S88" s="67"/>
      <c r="T88" s="67"/>
      <c r="U88" s="67"/>
      <c r="V88" s="67"/>
      <c r="W88" s="67"/>
      <c r="X88" s="67"/>
      <c r="Y88" s="67"/>
      <c r="Z88" s="67"/>
    </row>
    <row r="89" spans="1:26" ht="14.25" hidden="1" customHeight="1" x14ac:dyDescent="0.2">
      <c r="A89" s="43">
        <v>88</v>
      </c>
      <c r="B89" s="43">
        <v>12198203</v>
      </c>
      <c r="C89" s="43" t="s">
        <v>2112</v>
      </c>
      <c r="D89" s="43" t="s">
        <v>2073</v>
      </c>
      <c r="E89" s="43" t="s">
        <v>520</v>
      </c>
      <c r="F89" s="43"/>
      <c r="G89" s="43"/>
      <c r="H89" s="43" t="s">
        <v>3487</v>
      </c>
      <c r="I89" s="43" t="s">
        <v>3488</v>
      </c>
      <c r="J89" s="67"/>
      <c r="K89" s="67"/>
      <c r="L89" s="67"/>
      <c r="M89" s="67"/>
      <c r="N89" s="67"/>
      <c r="O89" s="67"/>
      <c r="P89" s="67"/>
      <c r="Q89" s="67"/>
      <c r="R89" s="67"/>
      <c r="S89" s="67"/>
      <c r="T89" s="67"/>
      <c r="U89" s="67"/>
      <c r="V89" s="67"/>
      <c r="W89" s="67"/>
      <c r="X89" s="67"/>
      <c r="Y89" s="67"/>
      <c r="Z89" s="67"/>
    </row>
    <row r="90" spans="1:26" ht="14.25" hidden="1" customHeight="1" x14ac:dyDescent="0.2">
      <c r="A90" s="43">
        <v>89</v>
      </c>
      <c r="B90" s="43">
        <v>64782302</v>
      </c>
      <c r="C90" s="43" t="s">
        <v>1905</v>
      </c>
      <c r="D90" s="43" t="s">
        <v>2078</v>
      </c>
      <c r="E90" s="43" t="s">
        <v>35</v>
      </c>
      <c r="F90" s="43"/>
      <c r="G90" s="43"/>
      <c r="H90" s="43" t="s">
        <v>3367</v>
      </c>
      <c r="I90" s="43" t="s">
        <v>3489</v>
      </c>
      <c r="J90" s="67"/>
      <c r="K90" s="67"/>
      <c r="L90" s="67"/>
      <c r="M90" s="67"/>
      <c r="N90" s="67"/>
      <c r="O90" s="67"/>
      <c r="P90" s="67"/>
      <c r="Q90" s="67"/>
      <c r="R90" s="67"/>
      <c r="S90" s="67"/>
      <c r="T90" s="67"/>
      <c r="U90" s="67"/>
      <c r="V90" s="67"/>
      <c r="W90" s="67"/>
      <c r="X90" s="67"/>
      <c r="Y90" s="67"/>
      <c r="Z90" s="67"/>
    </row>
    <row r="91" spans="1:26" ht="14.25" hidden="1" customHeight="1" x14ac:dyDescent="0.2">
      <c r="A91" s="43">
        <v>90</v>
      </c>
      <c r="B91" s="43">
        <v>67537803</v>
      </c>
      <c r="C91" s="43" t="s">
        <v>864</v>
      </c>
      <c r="D91" s="43" t="s">
        <v>3490</v>
      </c>
      <c r="E91" s="43" t="s">
        <v>49</v>
      </c>
      <c r="F91" s="43"/>
      <c r="G91" s="43"/>
      <c r="H91" s="43" t="s">
        <v>3367</v>
      </c>
      <c r="I91" s="43" t="s">
        <v>3449</v>
      </c>
      <c r="J91" s="67"/>
      <c r="K91" s="67"/>
      <c r="L91" s="67"/>
      <c r="M91" s="67"/>
      <c r="N91" s="67"/>
      <c r="O91" s="67"/>
      <c r="P91" s="67"/>
      <c r="Q91" s="67"/>
      <c r="R91" s="67"/>
      <c r="S91" s="67"/>
      <c r="T91" s="67"/>
      <c r="U91" s="67"/>
      <c r="V91" s="67"/>
      <c r="W91" s="67"/>
      <c r="X91" s="67"/>
      <c r="Y91" s="67"/>
      <c r="Z91" s="67"/>
    </row>
    <row r="92" spans="1:26" ht="14.25" hidden="1" customHeight="1" x14ac:dyDescent="0.2">
      <c r="A92" s="43">
        <v>91</v>
      </c>
      <c r="B92" s="43">
        <v>20036203</v>
      </c>
      <c r="C92" s="43" t="s">
        <v>2609</v>
      </c>
      <c r="D92" s="43" t="s">
        <v>2083</v>
      </c>
      <c r="E92" s="43" t="s">
        <v>49</v>
      </c>
      <c r="F92" s="43"/>
      <c r="G92" s="43"/>
      <c r="H92" s="43" t="s">
        <v>3419</v>
      </c>
      <c r="I92" s="43" t="s">
        <v>3491</v>
      </c>
      <c r="J92" s="67"/>
      <c r="K92" s="67"/>
      <c r="L92" s="67"/>
      <c r="M92" s="67"/>
      <c r="N92" s="67"/>
      <c r="O92" s="67"/>
      <c r="P92" s="67"/>
      <c r="Q92" s="67"/>
      <c r="R92" s="67"/>
      <c r="S92" s="67"/>
      <c r="T92" s="67"/>
      <c r="U92" s="67"/>
      <c r="V92" s="67"/>
      <c r="W92" s="67"/>
      <c r="X92" s="67"/>
      <c r="Y92" s="67"/>
      <c r="Z92" s="67"/>
    </row>
    <row r="93" spans="1:26" ht="14.25" hidden="1" customHeight="1" x14ac:dyDescent="0.2">
      <c r="A93" s="43">
        <v>92</v>
      </c>
      <c r="B93" s="43">
        <v>66735302</v>
      </c>
      <c r="C93" s="43" t="s">
        <v>1108</v>
      </c>
      <c r="D93" s="43" t="s">
        <v>3492</v>
      </c>
      <c r="E93" s="43" t="s">
        <v>35</v>
      </c>
      <c r="F93" s="43"/>
      <c r="G93" s="43"/>
      <c r="H93" s="43" t="s">
        <v>3419</v>
      </c>
      <c r="I93" s="43" t="s">
        <v>3493</v>
      </c>
      <c r="J93" s="67"/>
      <c r="K93" s="67"/>
      <c r="L93" s="67"/>
      <c r="M93" s="67"/>
      <c r="N93" s="67"/>
      <c r="O93" s="67"/>
      <c r="P93" s="67"/>
      <c r="Q93" s="67"/>
      <c r="R93" s="67"/>
      <c r="S93" s="67"/>
      <c r="T93" s="67"/>
      <c r="U93" s="67"/>
      <c r="V93" s="67"/>
      <c r="W93" s="67"/>
      <c r="X93" s="67"/>
      <c r="Y93" s="67"/>
      <c r="Z93" s="67"/>
    </row>
    <row r="94" spans="1:26" ht="14.25" hidden="1" customHeight="1" x14ac:dyDescent="0.2">
      <c r="A94" s="64">
        <v>93</v>
      </c>
      <c r="B94" s="64">
        <v>34002703</v>
      </c>
      <c r="C94" s="64" t="s">
        <v>589</v>
      </c>
      <c r="D94" s="64" t="s">
        <v>2096</v>
      </c>
      <c r="E94" s="64" t="s">
        <v>49</v>
      </c>
      <c r="F94" s="64"/>
      <c r="G94" s="64"/>
      <c r="H94" s="64" t="s">
        <v>3419</v>
      </c>
      <c r="I94" s="64" t="s">
        <v>3494</v>
      </c>
      <c r="J94" s="67"/>
      <c r="K94" s="67"/>
      <c r="L94" s="67"/>
      <c r="M94" s="67"/>
      <c r="N94" s="67"/>
      <c r="O94" s="67"/>
      <c r="P94" s="67"/>
      <c r="Q94" s="67"/>
      <c r="R94" s="67"/>
      <c r="S94" s="67"/>
      <c r="T94" s="67"/>
      <c r="U94" s="67"/>
      <c r="V94" s="67"/>
      <c r="W94" s="67"/>
      <c r="X94" s="67"/>
      <c r="Y94" s="67"/>
      <c r="Z94" s="67"/>
    </row>
    <row r="95" spans="1:26" ht="14.25" hidden="1" customHeight="1" x14ac:dyDescent="0.2">
      <c r="A95" s="43">
        <v>94</v>
      </c>
      <c r="B95" s="43">
        <v>83027002</v>
      </c>
      <c r="C95" s="43" t="s">
        <v>1657</v>
      </c>
      <c r="D95" s="43" t="s">
        <v>2107</v>
      </c>
      <c r="E95" s="43" t="s">
        <v>895</v>
      </c>
      <c r="F95" s="43"/>
      <c r="G95" s="43"/>
      <c r="H95" s="43" t="s">
        <v>3419</v>
      </c>
      <c r="I95" s="43" t="s">
        <v>3495</v>
      </c>
      <c r="J95" s="67"/>
      <c r="K95" s="67"/>
      <c r="L95" s="67"/>
      <c r="M95" s="67"/>
      <c r="N95" s="67"/>
      <c r="O95" s="67"/>
      <c r="P95" s="67"/>
      <c r="Q95" s="67"/>
      <c r="R95" s="67"/>
      <c r="S95" s="67"/>
      <c r="T95" s="67"/>
      <c r="U95" s="67"/>
      <c r="V95" s="67"/>
      <c r="W95" s="67"/>
      <c r="X95" s="67"/>
      <c r="Y95" s="67"/>
      <c r="Z95" s="67"/>
    </row>
    <row r="96" spans="1:26" ht="14.25" hidden="1" customHeight="1" x14ac:dyDescent="0.2">
      <c r="A96" s="43">
        <v>95</v>
      </c>
      <c r="B96" s="15">
        <v>52150302</v>
      </c>
      <c r="C96" s="43" t="s">
        <v>1406</v>
      </c>
      <c r="D96" s="43" t="s">
        <v>3496</v>
      </c>
      <c r="E96" s="43" t="s">
        <v>35</v>
      </c>
      <c r="F96" s="43"/>
      <c r="G96" s="43"/>
      <c r="H96" s="43" t="s">
        <v>3419</v>
      </c>
      <c r="I96" s="43" t="s">
        <v>3497</v>
      </c>
      <c r="J96" s="67"/>
      <c r="K96" s="67"/>
      <c r="L96" s="67"/>
      <c r="M96" s="67"/>
      <c r="N96" s="67"/>
      <c r="O96" s="67"/>
      <c r="P96" s="67"/>
      <c r="Q96" s="67"/>
      <c r="R96" s="67"/>
      <c r="S96" s="67"/>
      <c r="T96" s="67"/>
      <c r="U96" s="67"/>
      <c r="V96" s="67"/>
      <c r="W96" s="67"/>
      <c r="X96" s="67"/>
      <c r="Y96" s="67"/>
      <c r="Z96" s="67"/>
    </row>
    <row r="97" spans="1:26" ht="14.25" hidden="1" customHeight="1" x14ac:dyDescent="0.2">
      <c r="A97" s="43">
        <v>96</v>
      </c>
      <c r="B97" s="15">
        <v>75170102</v>
      </c>
      <c r="C97" s="43" t="s">
        <v>1307</v>
      </c>
      <c r="D97" s="43" t="s">
        <v>2117</v>
      </c>
      <c r="E97" s="43" t="s">
        <v>35</v>
      </c>
      <c r="F97" s="43"/>
      <c r="G97" s="43"/>
      <c r="H97" s="43" t="s">
        <v>3367</v>
      </c>
      <c r="I97" s="43" t="s">
        <v>3498</v>
      </c>
      <c r="J97" s="67"/>
      <c r="K97" s="67"/>
      <c r="L97" s="67"/>
      <c r="M97" s="67"/>
      <c r="N97" s="67"/>
      <c r="O97" s="67"/>
      <c r="P97" s="67"/>
      <c r="Q97" s="67"/>
      <c r="R97" s="67"/>
      <c r="S97" s="67"/>
      <c r="T97" s="67"/>
      <c r="U97" s="67"/>
      <c r="V97" s="67"/>
      <c r="W97" s="67"/>
      <c r="X97" s="67"/>
      <c r="Y97" s="67"/>
      <c r="Z97" s="67"/>
    </row>
    <row r="98" spans="1:26" ht="14.25" customHeight="1" x14ac:dyDescent="0.2">
      <c r="A98" s="43">
        <v>97</v>
      </c>
      <c r="B98" s="43">
        <v>17053103</v>
      </c>
      <c r="C98" s="43" t="s">
        <v>919</v>
      </c>
      <c r="D98" s="43" t="s">
        <v>2128</v>
      </c>
      <c r="E98" s="43" t="s">
        <v>35</v>
      </c>
      <c r="F98" s="43"/>
      <c r="G98" s="43"/>
      <c r="H98" s="43" t="s">
        <v>3419</v>
      </c>
      <c r="I98" s="43" t="s">
        <v>3499</v>
      </c>
      <c r="J98" s="67"/>
      <c r="K98" s="67"/>
      <c r="L98" s="67"/>
      <c r="M98" s="67"/>
      <c r="N98" s="67"/>
      <c r="O98" s="67"/>
      <c r="P98" s="67"/>
      <c r="Q98" s="67"/>
      <c r="R98" s="67"/>
      <c r="S98" s="67"/>
      <c r="T98" s="67"/>
      <c r="U98" s="67"/>
      <c r="V98" s="67"/>
      <c r="W98" s="67"/>
      <c r="X98" s="67"/>
      <c r="Y98" s="67"/>
      <c r="Z98" s="67"/>
    </row>
    <row r="99" spans="1:26" ht="14.25" hidden="1" customHeight="1" x14ac:dyDescent="0.2">
      <c r="A99" s="43">
        <v>98</v>
      </c>
      <c r="B99" s="43">
        <v>59032903</v>
      </c>
      <c r="C99" s="43" t="s">
        <v>539</v>
      </c>
      <c r="D99" s="43" t="s">
        <v>3500</v>
      </c>
      <c r="E99" s="43" t="s">
        <v>895</v>
      </c>
      <c r="F99" s="43"/>
      <c r="G99" s="43"/>
      <c r="H99" s="43" t="s">
        <v>3419</v>
      </c>
      <c r="I99" s="43" t="s">
        <v>3501</v>
      </c>
      <c r="J99" s="67"/>
      <c r="K99" s="67"/>
      <c r="L99" s="67"/>
      <c r="M99" s="67"/>
      <c r="N99" s="67"/>
      <c r="O99" s="67"/>
      <c r="P99" s="67"/>
      <c r="Q99" s="67"/>
      <c r="R99" s="67"/>
      <c r="S99" s="67"/>
      <c r="T99" s="67"/>
      <c r="U99" s="67"/>
      <c r="V99" s="67"/>
      <c r="W99" s="67"/>
      <c r="X99" s="67"/>
      <c r="Y99" s="67"/>
      <c r="Z99" s="67"/>
    </row>
    <row r="100" spans="1:26" ht="14.25" hidden="1" customHeight="1" x14ac:dyDescent="0.2">
      <c r="A100" s="64">
        <v>99</v>
      </c>
      <c r="B100" s="252">
        <v>34870403</v>
      </c>
      <c r="C100" s="64" t="s">
        <v>1071</v>
      </c>
      <c r="D100" s="64" t="s">
        <v>2127</v>
      </c>
      <c r="E100" s="64" t="s">
        <v>597</v>
      </c>
      <c r="F100" s="64"/>
      <c r="G100" s="64"/>
      <c r="H100" s="64" t="s">
        <v>3419</v>
      </c>
      <c r="I100" s="64" t="s">
        <v>3502</v>
      </c>
      <c r="J100" s="67"/>
      <c r="K100" s="67"/>
      <c r="L100" s="67"/>
      <c r="M100" s="67"/>
      <c r="N100" s="67"/>
      <c r="O100" s="67"/>
      <c r="P100" s="67"/>
      <c r="Q100" s="67"/>
      <c r="R100" s="67"/>
      <c r="S100" s="67"/>
      <c r="T100" s="67"/>
      <c r="U100" s="67"/>
      <c r="V100" s="67"/>
      <c r="W100" s="67"/>
      <c r="X100" s="67"/>
      <c r="Y100" s="67"/>
      <c r="Z100" s="67"/>
    </row>
    <row r="101" spans="1:26" ht="14.25" hidden="1" customHeight="1" x14ac:dyDescent="0.2">
      <c r="A101" s="43">
        <v>100</v>
      </c>
      <c r="B101" s="15">
        <v>42009002</v>
      </c>
      <c r="C101" s="43" t="s">
        <v>1610</v>
      </c>
      <c r="D101" s="43" t="s">
        <v>354</v>
      </c>
      <c r="E101" s="43" t="s">
        <v>35</v>
      </c>
      <c r="F101" s="43"/>
      <c r="G101" s="43"/>
      <c r="H101" s="43" t="s">
        <v>3503</v>
      </c>
      <c r="I101" s="43" t="s">
        <v>3504</v>
      </c>
      <c r="J101" s="67"/>
      <c r="K101" s="67"/>
      <c r="L101" s="67"/>
      <c r="M101" s="67"/>
      <c r="N101" s="67"/>
      <c r="O101" s="67"/>
      <c r="P101" s="67"/>
      <c r="Q101" s="67"/>
      <c r="R101" s="67"/>
      <c r="S101" s="67"/>
      <c r="T101" s="67"/>
      <c r="U101" s="67"/>
      <c r="V101" s="67"/>
      <c r="W101" s="67"/>
      <c r="X101" s="67"/>
      <c r="Y101" s="67"/>
      <c r="Z101" s="67"/>
    </row>
    <row r="102" spans="1:26" ht="14.25" hidden="1" customHeight="1" x14ac:dyDescent="0.2">
      <c r="A102" s="43">
        <v>101</v>
      </c>
      <c r="B102" s="43">
        <v>42948502</v>
      </c>
      <c r="C102" s="43" t="s">
        <v>552</v>
      </c>
      <c r="D102" s="43" t="s">
        <v>3505</v>
      </c>
      <c r="E102" s="43" t="s">
        <v>35</v>
      </c>
      <c r="F102" s="43"/>
      <c r="G102" s="43"/>
      <c r="H102" s="43" t="s">
        <v>3356</v>
      </c>
      <c r="I102" s="43" t="s">
        <v>3506</v>
      </c>
      <c r="J102" s="67"/>
      <c r="K102" s="67"/>
      <c r="L102" s="67"/>
      <c r="M102" s="67"/>
      <c r="N102" s="67"/>
      <c r="O102" s="67"/>
      <c r="P102" s="67"/>
      <c r="Q102" s="67"/>
      <c r="R102" s="67"/>
      <c r="S102" s="67"/>
      <c r="T102" s="67"/>
      <c r="U102" s="67"/>
      <c r="V102" s="67"/>
      <c r="W102" s="67"/>
      <c r="X102" s="67"/>
      <c r="Y102" s="67"/>
      <c r="Z102" s="67"/>
    </row>
    <row r="103" spans="1:26" ht="13.5" hidden="1" customHeight="1" x14ac:dyDescent="0.2">
      <c r="A103" s="43">
        <v>102</v>
      </c>
      <c r="B103" s="43">
        <v>65144703</v>
      </c>
      <c r="C103" s="43" t="s">
        <v>963</v>
      </c>
      <c r="D103" s="43" t="s">
        <v>2145</v>
      </c>
      <c r="E103" s="43" t="s">
        <v>35</v>
      </c>
      <c r="F103" s="43"/>
      <c r="G103" s="43"/>
      <c r="H103" s="43" t="s">
        <v>3367</v>
      </c>
      <c r="I103" s="43" t="s">
        <v>3507</v>
      </c>
      <c r="J103" s="67"/>
      <c r="K103" s="67"/>
      <c r="L103" s="67"/>
      <c r="M103" s="67"/>
      <c r="N103" s="67"/>
      <c r="O103" s="67"/>
      <c r="P103" s="67"/>
      <c r="Q103" s="67"/>
      <c r="R103" s="67"/>
      <c r="S103" s="67"/>
      <c r="T103" s="67"/>
      <c r="U103" s="67"/>
      <c r="V103" s="67"/>
      <c r="W103" s="67"/>
      <c r="X103" s="67"/>
      <c r="Y103" s="67"/>
      <c r="Z103" s="67"/>
    </row>
    <row r="104" spans="1:26" ht="14.25" hidden="1" customHeight="1" x14ac:dyDescent="0.2">
      <c r="A104" s="43">
        <v>103</v>
      </c>
      <c r="B104" s="15">
        <v>44373703</v>
      </c>
      <c r="C104" s="43" t="s">
        <v>766</v>
      </c>
      <c r="D104" s="43" t="s">
        <v>3508</v>
      </c>
      <c r="E104" s="43" t="s">
        <v>49</v>
      </c>
      <c r="F104" s="43"/>
      <c r="G104" s="43"/>
      <c r="H104" s="43" t="s">
        <v>3367</v>
      </c>
      <c r="I104" s="43" t="s">
        <v>3509</v>
      </c>
      <c r="J104" s="67"/>
      <c r="K104" s="67"/>
      <c r="L104" s="67"/>
      <c r="M104" s="67"/>
      <c r="N104" s="67"/>
      <c r="O104" s="67"/>
      <c r="P104" s="67"/>
      <c r="Q104" s="67"/>
      <c r="R104" s="67"/>
      <c r="S104" s="67"/>
      <c r="T104" s="67"/>
      <c r="U104" s="67"/>
      <c r="V104" s="67"/>
      <c r="W104" s="67"/>
      <c r="X104" s="67"/>
      <c r="Y104" s="67"/>
      <c r="Z104" s="67"/>
    </row>
    <row r="105" spans="1:26" ht="14.25" hidden="1" customHeight="1" x14ac:dyDescent="0.2">
      <c r="A105" s="43">
        <v>104</v>
      </c>
      <c r="B105" s="25">
        <v>43748203</v>
      </c>
      <c r="C105" s="43" t="s">
        <v>877</v>
      </c>
      <c r="D105" s="43" t="s">
        <v>2154</v>
      </c>
      <c r="E105" s="43" t="s">
        <v>35</v>
      </c>
      <c r="F105" s="43"/>
      <c r="G105" s="43"/>
      <c r="H105" s="43" t="s">
        <v>3510</v>
      </c>
      <c r="I105" s="43" t="s">
        <v>3511</v>
      </c>
      <c r="J105" s="67"/>
      <c r="K105" s="67"/>
      <c r="L105" s="67"/>
      <c r="M105" s="67"/>
      <c r="N105" s="67"/>
      <c r="O105" s="67"/>
      <c r="P105" s="67"/>
      <c r="Q105" s="67"/>
      <c r="R105" s="67"/>
      <c r="S105" s="67"/>
      <c r="T105" s="67"/>
      <c r="U105" s="67"/>
      <c r="V105" s="67"/>
      <c r="W105" s="67"/>
      <c r="X105" s="67"/>
      <c r="Y105" s="67"/>
      <c r="Z105" s="67"/>
    </row>
    <row r="106" spans="1:26" ht="14.25" hidden="1" customHeight="1" x14ac:dyDescent="0.2">
      <c r="A106" s="43">
        <v>105</v>
      </c>
      <c r="B106" s="43">
        <v>58987302</v>
      </c>
      <c r="C106" s="43" t="s">
        <v>1212</v>
      </c>
      <c r="D106" s="43" t="s">
        <v>2163</v>
      </c>
      <c r="E106" s="43" t="s">
        <v>49</v>
      </c>
      <c r="F106" s="43"/>
      <c r="G106" s="43"/>
      <c r="H106" s="43" t="s">
        <v>3419</v>
      </c>
      <c r="I106" s="43" t="s">
        <v>3512</v>
      </c>
      <c r="J106" s="67"/>
      <c r="K106" s="67"/>
      <c r="L106" s="67"/>
      <c r="M106" s="67"/>
      <c r="N106" s="67"/>
      <c r="O106" s="67"/>
      <c r="P106" s="67"/>
      <c r="Q106" s="67"/>
      <c r="R106" s="67"/>
      <c r="S106" s="67"/>
      <c r="T106" s="67"/>
      <c r="U106" s="67"/>
      <c r="V106" s="67"/>
      <c r="W106" s="67"/>
      <c r="X106" s="67"/>
      <c r="Y106" s="67"/>
      <c r="Z106" s="67"/>
    </row>
    <row r="107" spans="1:26" ht="14.25" hidden="1" customHeight="1" x14ac:dyDescent="0.2">
      <c r="A107" s="43">
        <v>106</v>
      </c>
      <c r="B107" s="15">
        <v>82754803</v>
      </c>
      <c r="C107" s="43" t="s">
        <v>1057</v>
      </c>
      <c r="D107" s="43" t="s">
        <v>2170</v>
      </c>
      <c r="E107" s="43" t="s">
        <v>35</v>
      </c>
      <c r="F107" s="43"/>
      <c r="G107" s="43"/>
      <c r="H107" s="43" t="s">
        <v>3419</v>
      </c>
      <c r="I107" s="43" t="s">
        <v>3513</v>
      </c>
      <c r="J107" s="67"/>
      <c r="K107" s="67"/>
      <c r="L107" s="67"/>
      <c r="M107" s="67"/>
      <c r="N107" s="67"/>
      <c r="O107" s="67"/>
      <c r="P107" s="67"/>
      <c r="Q107" s="67"/>
      <c r="R107" s="67"/>
      <c r="S107" s="67"/>
      <c r="T107" s="67"/>
      <c r="U107" s="67"/>
      <c r="V107" s="67"/>
      <c r="W107" s="67"/>
      <c r="X107" s="67"/>
      <c r="Y107" s="67"/>
      <c r="Z107" s="67"/>
    </row>
    <row r="108" spans="1:26" ht="14.25" hidden="1" customHeight="1" x14ac:dyDescent="0.2">
      <c r="A108" s="43">
        <v>107</v>
      </c>
      <c r="B108" s="15">
        <v>24889203</v>
      </c>
      <c r="C108" s="43" t="s">
        <v>852</v>
      </c>
      <c r="D108" s="43" t="s">
        <v>2170</v>
      </c>
      <c r="E108" s="43" t="s">
        <v>49</v>
      </c>
      <c r="F108" s="43"/>
      <c r="G108" s="43"/>
      <c r="H108" s="43" t="s">
        <v>3419</v>
      </c>
      <c r="I108" s="43" t="s">
        <v>3514</v>
      </c>
      <c r="J108" s="67"/>
      <c r="K108" s="67"/>
      <c r="L108" s="67"/>
      <c r="M108" s="67"/>
      <c r="N108" s="67"/>
      <c r="O108" s="67"/>
      <c r="P108" s="67"/>
      <c r="Q108" s="67"/>
      <c r="R108" s="67"/>
      <c r="S108" s="67"/>
      <c r="T108" s="67"/>
      <c r="U108" s="67"/>
      <c r="V108" s="67"/>
      <c r="W108" s="67"/>
      <c r="X108" s="67"/>
      <c r="Y108" s="67"/>
      <c r="Z108" s="67"/>
    </row>
    <row r="109" spans="1:26" ht="14.25" hidden="1" customHeight="1" x14ac:dyDescent="0.2">
      <c r="A109" s="22">
        <v>108</v>
      </c>
      <c r="B109" s="22">
        <v>72069702</v>
      </c>
      <c r="C109" s="22" t="s">
        <v>1261</v>
      </c>
      <c r="D109" s="22" t="s">
        <v>2175</v>
      </c>
      <c r="E109" s="22" t="s">
        <v>49</v>
      </c>
      <c r="F109" s="22"/>
      <c r="G109" s="22"/>
      <c r="H109" s="22" t="s">
        <v>3367</v>
      </c>
      <c r="I109" s="22" t="s">
        <v>3515</v>
      </c>
      <c r="J109" s="174"/>
      <c r="K109" s="174"/>
      <c r="L109" s="174"/>
      <c r="M109" s="174"/>
      <c r="N109" s="174"/>
      <c r="O109" s="174"/>
      <c r="P109" s="174"/>
      <c r="Q109" s="174"/>
      <c r="R109" s="174"/>
      <c r="S109" s="174"/>
      <c r="T109" s="174"/>
      <c r="U109" s="174"/>
      <c r="V109" s="174"/>
      <c r="W109" s="174"/>
      <c r="X109" s="174"/>
      <c r="Y109" s="174"/>
      <c r="Z109" s="174"/>
    </row>
    <row r="110" spans="1:26" ht="14.25" hidden="1" customHeight="1" x14ac:dyDescent="0.2">
      <c r="A110" s="43">
        <v>109</v>
      </c>
      <c r="B110" s="15">
        <v>66723902</v>
      </c>
      <c r="C110" s="43" t="s">
        <v>671</v>
      </c>
      <c r="D110" s="43" t="s">
        <v>3516</v>
      </c>
      <c r="E110" s="43" t="s">
        <v>35</v>
      </c>
      <c r="F110" s="43"/>
      <c r="G110" s="43"/>
      <c r="H110" s="43" t="s">
        <v>3367</v>
      </c>
      <c r="I110" s="43" t="s">
        <v>3517</v>
      </c>
      <c r="J110" s="67"/>
      <c r="K110" s="67"/>
      <c r="L110" s="67"/>
      <c r="M110" s="67"/>
      <c r="N110" s="67"/>
      <c r="O110" s="67"/>
      <c r="P110" s="67"/>
      <c r="Q110" s="67"/>
      <c r="R110" s="67"/>
      <c r="S110" s="67"/>
      <c r="T110" s="67"/>
      <c r="U110" s="67"/>
      <c r="V110" s="67"/>
      <c r="W110" s="67"/>
      <c r="X110" s="67"/>
      <c r="Y110" s="67"/>
      <c r="Z110" s="67"/>
    </row>
    <row r="111" spans="1:26" ht="14.25" hidden="1" customHeight="1" x14ac:dyDescent="0.2">
      <c r="A111" s="43">
        <v>110</v>
      </c>
      <c r="B111" s="15">
        <v>67537803</v>
      </c>
      <c r="C111" s="43" t="s">
        <v>864</v>
      </c>
      <c r="D111" s="43" t="s">
        <v>957</v>
      </c>
      <c r="E111" s="43" t="s">
        <v>49</v>
      </c>
      <c r="F111" s="43"/>
      <c r="G111" s="43"/>
      <c r="H111" s="43" t="s">
        <v>3518</v>
      </c>
      <c r="I111" s="43" t="s">
        <v>3356</v>
      </c>
      <c r="J111" s="67"/>
      <c r="K111" s="67"/>
      <c r="L111" s="67"/>
      <c r="M111" s="67"/>
      <c r="N111" s="67"/>
      <c r="O111" s="67"/>
      <c r="P111" s="67"/>
      <c r="Q111" s="67"/>
      <c r="R111" s="67"/>
      <c r="S111" s="67"/>
      <c r="T111" s="67"/>
      <c r="U111" s="67"/>
      <c r="V111" s="67"/>
      <c r="W111" s="67"/>
      <c r="X111" s="67"/>
      <c r="Y111" s="67"/>
      <c r="Z111" s="67"/>
    </row>
    <row r="112" spans="1:26" ht="14.25" hidden="1" customHeight="1" x14ac:dyDescent="0.2">
      <c r="A112" s="43">
        <v>111</v>
      </c>
      <c r="B112" s="15">
        <v>31404502</v>
      </c>
      <c r="C112" s="43" t="s">
        <v>1123</v>
      </c>
      <c r="D112" s="43" t="s">
        <v>3519</v>
      </c>
      <c r="E112" s="43" t="s">
        <v>35</v>
      </c>
      <c r="F112" s="43"/>
      <c r="G112" s="43"/>
      <c r="H112" s="43" t="s">
        <v>3520</v>
      </c>
      <c r="I112" s="43" t="s">
        <v>3521</v>
      </c>
      <c r="J112" s="67"/>
      <c r="K112" s="67"/>
      <c r="L112" s="67"/>
      <c r="M112" s="67"/>
      <c r="N112" s="67"/>
      <c r="O112" s="67"/>
      <c r="P112" s="67"/>
      <c r="Q112" s="67"/>
      <c r="R112" s="67"/>
      <c r="S112" s="67"/>
      <c r="T112" s="67"/>
      <c r="U112" s="67"/>
      <c r="V112" s="67"/>
      <c r="W112" s="67"/>
      <c r="X112" s="67"/>
      <c r="Y112" s="67"/>
      <c r="Z112" s="67"/>
    </row>
    <row r="113" spans="1:26" ht="14.25" hidden="1" customHeight="1" x14ac:dyDescent="0.2">
      <c r="A113" s="43">
        <v>112</v>
      </c>
      <c r="B113" s="15">
        <v>34002703</v>
      </c>
      <c r="C113" s="43" t="s">
        <v>589</v>
      </c>
      <c r="D113" s="43" t="s">
        <v>2194</v>
      </c>
      <c r="E113" s="43" t="s">
        <v>49</v>
      </c>
      <c r="F113" s="43"/>
      <c r="G113" s="43"/>
      <c r="H113" s="43" t="s">
        <v>3522</v>
      </c>
      <c r="I113" s="43" t="s">
        <v>3367</v>
      </c>
      <c r="J113" s="67"/>
      <c r="K113" s="67"/>
      <c r="L113" s="67"/>
      <c r="M113" s="67"/>
      <c r="N113" s="67"/>
      <c r="O113" s="67"/>
      <c r="P113" s="67"/>
      <c r="Q113" s="67"/>
      <c r="R113" s="67"/>
      <c r="S113" s="67"/>
      <c r="T113" s="67"/>
      <c r="U113" s="67"/>
      <c r="V113" s="67"/>
      <c r="W113" s="67"/>
      <c r="X113" s="67"/>
      <c r="Y113" s="67"/>
      <c r="Z113" s="67"/>
    </row>
    <row r="114" spans="1:26" ht="14.25" hidden="1" customHeight="1" x14ac:dyDescent="0.2">
      <c r="A114" s="64">
        <v>113</v>
      </c>
      <c r="B114" s="64">
        <v>68860703</v>
      </c>
      <c r="C114" s="64" t="s">
        <v>1123</v>
      </c>
      <c r="D114" s="64" t="s">
        <v>2144</v>
      </c>
      <c r="E114" s="64" t="s">
        <v>271</v>
      </c>
      <c r="F114" s="64">
        <v>5157280</v>
      </c>
      <c r="G114" s="64" t="s">
        <v>3523</v>
      </c>
      <c r="H114" s="64" t="s">
        <v>3524</v>
      </c>
      <c r="I114" s="64" t="s">
        <v>3525</v>
      </c>
      <c r="J114" s="67"/>
      <c r="K114" s="67"/>
      <c r="L114" s="67"/>
      <c r="M114" s="67"/>
      <c r="N114" s="67"/>
      <c r="O114" s="67"/>
      <c r="P114" s="67"/>
      <c r="Q114" s="67"/>
      <c r="R114" s="67"/>
      <c r="S114" s="67"/>
      <c r="T114" s="67"/>
      <c r="U114" s="67"/>
      <c r="V114" s="67"/>
      <c r="W114" s="67"/>
      <c r="X114" s="67"/>
      <c r="Y114" s="67"/>
      <c r="Z114" s="67"/>
    </row>
    <row r="115" spans="1:26" ht="14.25" hidden="1" customHeight="1" x14ac:dyDescent="0.2">
      <c r="A115" s="43">
        <v>114</v>
      </c>
      <c r="B115" s="43">
        <v>59124103</v>
      </c>
      <c r="C115" s="43" t="s">
        <v>774</v>
      </c>
      <c r="D115" s="43" t="s">
        <v>3526</v>
      </c>
      <c r="E115" s="43" t="s">
        <v>3527</v>
      </c>
      <c r="F115" s="43"/>
      <c r="G115" s="43">
        <v>250</v>
      </c>
      <c r="H115" s="43" t="s">
        <v>3528</v>
      </c>
      <c r="I115" s="43" t="s">
        <v>3529</v>
      </c>
      <c r="J115" s="67"/>
      <c r="K115" s="67"/>
      <c r="L115" s="67"/>
      <c r="M115" s="67"/>
      <c r="N115" s="67"/>
      <c r="O115" s="67"/>
      <c r="P115" s="67"/>
      <c r="Q115" s="67"/>
      <c r="R115" s="67"/>
      <c r="S115" s="67"/>
      <c r="T115" s="67"/>
      <c r="U115" s="67"/>
      <c r="V115" s="67"/>
      <c r="W115" s="67"/>
      <c r="X115" s="67"/>
      <c r="Y115" s="67"/>
      <c r="Z115" s="67"/>
    </row>
    <row r="116" spans="1:26" ht="14.25" hidden="1" customHeight="1" x14ac:dyDescent="0.2">
      <c r="A116" s="64">
        <v>115</v>
      </c>
      <c r="B116" s="252">
        <v>34002703</v>
      </c>
      <c r="C116" s="64" t="s">
        <v>589</v>
      </c>
      <c r="D116" s="64" t="s">
        <v>2207</v>
      </c>
      <c r="E116" s="64" t="s">
        <v>49</v>
      </c>
      <c r="F116" s="64"/>
      <c r="G116" s="64"/>
      <c r="H116" s="64" t="s">
        <v>3530</v>
      </c>
      <c r="I116" s="64" t="s">
        <v>3367</v>
      </c>
      <c r="J116" s="67"/>
      <c r="K116" s="67"/>
      <c r="L116" s="67"/>
      <c r="M116" s="67"/>
      <c r="N116" s="67"/>
      <c r="O116" s="67"/>
      <c r="P116" s="67"/>
      <c r="Q116" s="67"/>
      <c r="R116" s="67"/>
      <c r="S116" s="67"/>
      <c r="T116" s="67"/>
      <c r="U116" s="67"/>
      <c r="V116" s="67"/>
      <c r="W116" s="67"/>
      <c r="X116" s="67"/>
      <c r="Y116" s="67"/>
      <c r="Z116" s="67"/>
    </row>
    <row r="117" spans="1:26" ht="14.25" hidden="1" customHeight="1" x14ac:dyDescent="0.2">
      <c r="A117" s="64">
        <v>116</v>
      </c>
      <c r="B117" s="64">
        <v>59201203</v>
      </c>
      <c r="C117" s="64" t="s">
        <v>1017</v>
      </c>
      <c r="D117" s="64" t="s">
        <v>2213</v>
      </c>
      <c r="E117" s="64" t="s">
        <v>520</v>
      </c>
      <c r="F117" s="64"/>
      <c r="G117" s="64" t="s">
        <v>3531</v>
      </c>
      <c r="H117" s="64" t="s">
        <v>3532</v>
      </c>
      <c r="I117" s="64" t="s">
        <v>3533</v>
      </c>
      <c r="J117" s="67"/>
      <c r="K117" s="67"/>
      <c r="L117" s="67"/>
      <c r="M117" s="67"/>
      <c r="N117" s="67"/>
      <c r="O117" s="67"/>
      <c r="P117" s="67"/>
      <c r="Q117" s="67"/>
      <c r="R117" s="67"/>
      <c r="S117" s="67"/>
      <c r="T117" s="67"/>
      <c r="U117" s="67"/>
      <c r="V117" s="67"/>
      <c r="W117" s="67"/>
      <c r="X117" s="67"/>
      <c r="Y117" s="67"/>
      <c r="Z117" s="67"/>
    </row>
    <row r="118" spans="1:26" ht="14.25" hidden="1" customHeight="1" x14ac:dyDescent="0.2">
      <c r="A118" s="43">
        <v>117</v>
      </c>
      <c r="B118" s="43">
        <v>42008902</v>
      </c>
      <c r="C118" s="43" t="s">
        <v>1017</v>
      </c>
      <c r="D118" s="43" t="s">
        <v>2218</v>
      </c>
      <c r="E118" s="43" t="s">
        <v>35</v>
      </c>
      <c r="F118" s="43"/>
      <c r="G118" s="43"/>
      <c r="H118" s="43" t="s">
        <v>3534</v>
      </c>
      <c r="I118" s="43" t="s">
        <v>3535</v>
      </c>
      <c r="J118" s="67"/>
      <c r="K118" s="67"/>
      <c r="L118" s="67"/>
      <c r="M118" s="67"/>
      <c r="N118" s="67"/>
      <c r="O118" s="67"/>
      <c r="P118" s="67"/>
      <c r="Q118" s="67"/>
      <c r="R118" s="67"/>
      <c r="S118" s="67"/>
      <c r="T118" s="67"/>
      <c r="U118" s="67"/>
      <c r="V118" s="67"/>
      <c r="W118" s="67"/>
      <c r="X118" s="67"/>
      <c r="Y118" s="67"/>
      <c r="Z118" s="67"/>
    </row>
    <row r="119" spans="1:26" ht="14.25" hidden="1" customHeight="1" x14ac:dyDescent="0.2">
      <c r="A119" s="43">
        <v>118</v>
      </c>
      <c r="B119" s="64">
        <v>59347603</v>
      </c>
      <c r="C119" s="64" t="s">
        <v>1039</v>
      </c>
      <c r="D119" s="64" t="s">
        <v>3536</v>
      </c>
      <c r="E119" s="64" t="s">
        <v>35</v>
      </c>
      <c r="F119" s="64"/>
      <c r="G119" s="64"/>
      <c r="H119" s="64" t="s">
        <v>3537</v>
      </c>
      <c r="I119" s="64" t="s">
        <v>3538</v>
      </c>
      <c r="J119" s="67"/>
      <c r="K119" s="67"/>
      <c r="L119" s="67"/>
      <c r="M119" s="67"/>
      <c r="N119" s="67"/>
      <c r="O119" s="67"/>
      <c r="P119" s="67"/>
      <c r="Q119" s="67"/>
      <c r="R119" s="67"/>
      <c r="S119" s="67"/>
      <c r="T119" s="67"/>
      <c r="U119" s="67"/>
      <c r="V119" s="67"/>
      <c r="W119" s="67"/>
      <c r="X119" s="67"/>
      <c r="Y119" s="67"/>
      <c r="Z119" s="67"/>
    </row>
    <row r="120" spans="1:26" ht="14.25" hidden="1" customHeight="1" x14ac:dyDescent="0.2">
      <c r="A120" s="235">
        <v>119</v>
      </c>
      <c r="B120" s="43">
        <v>59124103</v>
      </c>
      <c r="C120" s="43" t="s">
        <v>774</v>
      </c>
      <c r="D120" s="43" t="s">
        <v>2229</v>
      </c>
      <c r="E120" s="43" t="s">
        <v>35</v>
      </c>
      <c r="F120" s="43"/>
      <c r="G120" s="43"/>
      <c r="H120" s="43" t="s">
        <v>3539</v>
      </c>
      <c r="I120" s="43" t="s">
        <v>3540</v>
      </c>
      <c r="J120" s="67"/>
      <c r="K120" s="67"/>
      <c r="L120" s="67"/>
      <c r="M120" s="67"/>
      <c r="N120" s="67"/>
      <c r="O120" s="67"/>
      <c r="P120" s="67"/>
      <c r="Q120" s="67"/>
      <c r="R120" s="67"/>
      <c r="S120" s="67"/>
      <c r="T120" s="67"/>
      <c r="U120" s="67"/>
      <c r="V120" s="67"/>
      <c r="W120" s="67"/>
      <c r="X120" s="67"/>
      <c r="Y120" s="67"/>
      <c r="Z120" s="67"/>
    </row>
    <row r="121" spans="1:26" ht="14.25" hidden="1" customHeight="1" x14ac:dyDescent="0.2">
      <c r="A121" s="194">
        <v>120</v>
      </c>
      <c r="B121" s="253">
        <v>83945403</v>
      </c>
      <c r="C121" s="22" t="s">
        <v>1033</v>
      </c>
      <c r="D121" s="22" t="s">
        <v>81</v>
      </c>
      <c r="E121" s="22" t="s">
        <v>35</v>
      </c>
      <c r="F121" s="22"/>
      <c r="G121" s="22" t="s">
        <v>3531</v>
      </c>
      <c r="H121" s="22" t="s">
        <v>3541</v>
      </c>
      <c r="I121" s="22">
        <v>1900</v>
      </c>
      <c r="J121" s="174"/>
      <c r="K121" s="174"/>
      <c r="L121" s="174"/>
      <c r="M121" s="174"/>
      <c r="N121" s="174"/>
      <c r="O121" s="174"/>
      <c r="P121" s="174"/>
      <c r="Q121" s="174"/>
      <c r="R121" s="174"/>
      <c r="S121" s="174"/>
      <c r="T121" s="174"/>
      <c r="U121" s="174"/>
      <c r="V121" s="174"/>
      <c r="W121" s="174"/>
      <c r="X121" s="174"/>
      <c r="Y121" s="174"/>
      <c r="Z121" s="174"/>
    </row>
    <row r="122" spans="1:26" ht="14.25" hidden="1" customHeight="1" x14ac:dyDescent="0.2">
      <c r="A122" s="235">
        <v>121</v>
      </c>
      <c r="B122" s="252">
        <v>45366502</v>
      </c>
      <c r="C122" s="64" t="s">
        <v>1066</v>
      </c>
      <c r="D122" s="64" t="s">
        <v>81</v>
      </c>
      <c r="E122" s="64" t="s">
        <v>520</v>
      </c>
      <c r="F122" s="64"/>
      <c r="G122" s="64"/>
      <c r="H122" s="64" t="s">
        <v>3542</v>
      </c>
      <c r="I122" s="64" t="s">
        <v>3543</v>
      </c>
      <c r="J122" s="67"/>
      <c r="K122" s="67"/>
      <c r="L122" s="67"/>
      <c r="M122" s="67"/>
      <c r="N122" s="67"/>
      <c r="O122" s="67"/>
      <c r="P122" s="67"/>
      <c r="Q122" s="67"/>
      <c r="R122" s="67"/>
      <c r="S122" s="67"/>
      <c r="T122" s="67"/>
      <c r="U122" s="67"/>
      <c r="V122" s="67"/>
      <c r="W122" s="67"/>
      <c r="X122" s="67"/>
      <c r="Y122" s="67"/>
      <c r="Z122" s="67"/>
    </row>
    <row r="123" spans="1:26" ht="14.25" hidden="1" customHeight="1" x14ac:dyDescent="0.2">
      <c r="A123" s="22">
        <v>122</v>
      </c>
      <c r="B123" s="22">
        <v>31404802</v>
      </c>
      <c r="C123" s="22" t="s">
        <v>697</v>
      </c>
      <c r="D123" s="22" t="s">
        <v>2234</v>
      </c>
      <c r="E123" s="22" t="s">
        <v>35</v>
      </c>
      <c r="F123" s="22"/>
      <c r="G123" s="22"/>
      <c r="H123" s="22" t="s">
        <v>3544</v>
      </c>
      <c r="I123" s="22" t="s">
        <v>3545</v>
      </c>
      <c r="J123" s="174"/>
      <c r="K123" s="174"/>
      <c r="L123" s="174"/>
      <c r="M123" s="174"/>
      <c r="N123" s="174"/>
      <c r="O123" s="174"/>
      <c r="P123" s="174"/>
      <c r="Q123" s="174"/>
      <c r="R123" s="174"/>
      <c r="S123" s="174"/>
      <c r="T123" s="174"/>
      <c r="U123" s="174"/>
      <c r="V123" s="174"/>
      <c r="W123" s="174"/>
      <c r="X123" s="174"/>
      <c r="Y123" s="174"/>
      <c r="Z123" s="174"/>
    </row>
    <row r="124" spans="1:26" ht="14.25" hidden="1" customHeight="1" x14ac:dyDescent="0.2">
      <c r="A124" s="43">
        <v>123</v>
      </c>
      <c r="B124" s="43">
        <v>64782302</v>
      </c>
      <c r="C124" s="43" t="s">
        <v>1905</v>
      </c>
      <c r="D124" s="43" t="s">
        <v>2248</v>
      </c>
      <c r="E124" s="43" t="s">
        <v>35</v>
      </c>
      <c r="F124" s="43"/>
      <c r="G124" s="43" t="s">
        <v>3546</v>
      </c>
      <c r="H124" s="43" t="s">
        <v>3433</v>
      </c>
      <c r="I124" s="43" t="s">
        <v>3547</v>
      </c>
      <c r="J124" s="67"/>
      <c r="K124" s="67"/>
      <c r="L124" s="67"/>
      <c r="M124" s="67"/>
      <c r="N124" s="67"/>
      <c r="O124" s="67"/>
      <c r="P124" s="67"/>
      <c r="Q124" s="67"/>
      <c r="R124" s="67"/>
      <c r="S124" s="67"/>
      <c r="T124" s="67"/>
      <c r="U124" s="67"/>
      <c r="V124" s="67"/>
      <c r="W124" s="67"/>
      <c r="X124" s="67"/>
      <c r="Y124" s="67"/>
      <c r="Z124" s="67"/>
    </row>
    <row r="125" spans="1:26" ht="14.25" hidden="1" customHeight="1" x14ac:dyDescent="0.2">
      <c r="A125" s="43">
        <v>124</v>
      </c>
      <c r="B125" s="43">
        <v>12198203</v>
      </c>
      <c r="C125" s="43" t="s">
        <v>1563</v>
      </c>
      <c r="D125" s="43" t="s">
        <v>2250</v>
      </c>
      <c r="E125" s="43" t="s">
        <v>520</v>
      </c>
      <c r="F125" s="43"/>
      <c r="G125" s="43" t="s">
        <v>3548</v>
      </c>
      <c r="H125" s="43" t="s">
        <v>3527</v>
      </c>
      <c r="I125" s="43" t="s">
        <v>3549</v>
      </c>
      <c r="J125" s="67"/>
      <c r="K125" s="67"/>
      <c r="L125" s="67"/>
      <c r="M125" s="67"/>
      <c r="N125" s="67"/>
      <c r="O125" s="67"/>
      <c r="P125" s="67"/>
      <c r="Q125" s="67"/>
      <c r="R125" s="67"/>
      <c r="S125" s="67"/>
      <c r="T125" s="67"/>
      <c r="U125" s="67"/>
      <c r="V125" s="67"/>
      <c r="W125" s="67"/>
      <c r="X125" s="67"/>
      <c r="Y125" s="67"/>
      <c r="Z125" s="67"/>
    </row>
    <row r="126" spans="1:26" ht="14.25" hidden="1" customHeight="1" x14ac:dyDescent="0.2">
      <c r="A126" s="64">
        <v>125</v>
      </c>
      <c r="B126" s="252">
        <v>43688603</v>
      </c>
      <c r="C126" s="64" t="s">
        <v>1045</v>
      </c>
      <c r="D126" s="64" t="s">
        <v>3550</v>
      </c>
      <c r="E126" s="64" t="s">
        <v>49</v>
      </c>
      <c r="F126" s="64"/>
      <c r="G126" s="64"/>
      <c r="H126" s="64" t="s">
        <v>3551</v>
      </c>
      <c r="I126" s="64" t="s">
        <v>3552</v>
      </c>
      <c r="J126" s="67"/>
      <c r="K126" s="67"/>
      <c r="L126" s="67"/>
      <c r="M126" s="67"/>
      <c r="N126" s="67"/>
      <c r="O126" s="67"/>
      <c r="P126" s="67"/>
      <c r="Q126" s="67"/>
      <c r="R126" s="67"/>
      <c r="S126" s="67"/>
      <c r="T126" s="67"/>
      <c r="U126" s="67"/>
      <c r="V126" s="67"/>
      <c r="W126" s="67"/>
      <c r="X126" s="67"/>
      <c r="Y126" s="67"/>
      <c r="Z126" s="67"/>
    </row>
    <row r="127" spans="1:26" ht="14.25" hidden="1" customHeight="1" x14ac:dyDescent="0.2">
      <c r="A127" s="64">
        <v>126</v>
      </c>
      <c r="B127" s="64">
        <v>42008902</v>
      </c>
      <c r="C127" s="64" t="s">
        <v>1017</v>
      </c>
      <c r="D127" s="64" t="s">
        <v>3553</v>
      </c>
      <c r="E127" s="64" t="s">
        <v>35</v>
      </c>
      <c r="F127" s="64"/>
      <c r="G127" s="64"/>
      <c r="H127" s="64" t="s">
        <v>3527</v>
      </c>
      <c r="I127" s="64" t="s">
        <v>3554</v>
      </c>
      <c r="J127" s="67"/>
      <c r="K127" s="67"/>
      <c r="L127" s="67"/>
      <c r="M127" s="67"/>
      <c r="N127" s="67"/>
      <c r="O127" s="67"/>
      <c r="P127" s="67"/>
      <c r="Q127" s="67"/>
      <c r="R127" s="67"/>
      <c r="S127" s="67"/>
      <c r="T127" s="67"/>
      <c r="U127" s="67"/>
      <c r="V127" s="67"/>
      <c r="W127" s="67"/>
      <c r="X127" s="67"/>
      <c r="Y127" s="67"/>
      <c r="Z127" s="67"/>
    </row>
    <row r="128" spans="1:26" ht="14.25" hidden="1" customHeight="1" x14ac:dyDescent="0.2">
      <c r="A128" s="43">
        <v>127</v>
      </c>
      <c r="B128" s="15">
        <v>65144703</v>
      </c>
      <c r="C128" s="43" t="s">
        <v>963</v>
      </c>
      <c r="D128" s="43" t="s">
        <v>2259</v>
      </c>
      <c r="E128" s="43" t="s">
        <v>35</v>
      </c>
      <c r="F128" s="43"/>
      <c r="G128" s="43"/>
      <c r="H128" s="43" t="s">
        <v>3527</v>
      </c>
      <c r="I128" s="43" t="s">
        <v>3555</v>
      </c>
      <c r="J128" s="67"/>
      <c r="K128" s="67"/>
      <c r="L128" s="67"/>
      <c r="M128" s="67"/>
      <c r="N128" s="67"/>
      <c r="O128" s="67"/>
      <c r="P128" s="67"/>
      <c r="Q128" s="67"/>
      <c r="R128" s="67"/>
      <c r="S128" s="67"/>
      <c r="T128" s="67"/>
      <c r="U128" s="67"/>
      <c r="V128" s="67"/>
      <c r="W128" s="67"/>
      <c r="X128" s="67"/>
      <c r="Y128" s="67"/>
      <c r="Z128" s="67"/>
    </row>
    <row r="129" spans="1:26" ht="14.25" hidden="1" customHeight="1" x14ac:dyDescent="0.2">
      <c r="A129" s="64">
        <v>128</v>
      </c>
      <c r="B129" s="252">
        <v>64792303</v>
      </c>
      <c r="C129" s="64" t="s">
        <v>980</v>
      </c>
      <c r="D129" s="64" t="s">
        <v>3556</v>
      </c>
      <c r="E129" s="64" t="s">
        <v>35</v>
      </c>
      <c r="F129" s="64"/>
      <c r="G129" s="64"/>
      <c r="H129" s="64" t="s">
        <v>3557</v>
      </c>
      <c r="I129" s="64" t="s">
        <v>3558</v>
      </c>
      <c r="J129" s="67"/>
      <c r="K129" s="67"/>
      <c r="L129" s="67"/>
      <c r="M129" s="67"/>
      <c r="N129" s="67"/>
      <c r="O129" s="67"/>
      <c r="P129" s="67"/>
      <c r="Q129" s="67"/>
      <c r="R129" s="67"/>
      <c r="S129" s="67"/>
      <c r="T129" s="67"/>
      <c r="U129" s="67"/>
      <c r="V129" s="67"/>
      <c r="W129" s="67"/>
      <c r="X129" s="67"/>
      <c r="Y129" s="67"/>
      <c r="Z129" s="67"/>
    </row>
    <row r="130" spans="1:26" ht="14.25" hidden="1" customHeight="1" x14ac:dyDescent="0.2">
      <c r="A130" s="43">
        <v>129</v>
      </c>
      <c r="B130" s="15">
        <v>59317903</v>
      </c>
      <c r="C130" s="43" t="s">
        <v>994</v>
      </c>
      <c r="D130" s="43" t="s">
        <v>3559</v>
      </c>
      <c r="E130" s="43" t="s">
        <v>35</v>
      </c>
      <c r="F130" s="43"/>
      <c r="G130" s="43"/>
      <c r="H130" s="43" t="s">
        <v>3557</v>
      </c>
      <c r="I130" s="43" t="s">
        <v>3560</v>
      </c>
      <c r="J130" s="67"/>
      <c r="K130" s="67"/>
      <c r="L130" s="67"/>
      <c r="M130" s="67"/>
      <c r="N130" s="67"/>
      <c r="O130" s="67"/>
      <c r="P130" s="67"/>
      <c r="Q130" s="67"/>
      <c r="R130" s="67"/>
      <c r="S130" s="67"/>
      <c r="T130" s="67"/>
      <c r="U130" s="67"/>
      <c r="V130" s="67"/>
      <c r="W130" s="67"/>
      <c r="X130" s="67"/>
      <c r="Y130" s="67"/>
      <c r="Z130" s="67"/>
    </row>
    <row r="131" spans="1:26" ht="14.25" hidden="1" customHeight="1" x14ac:dyDescent="0.2">
      <c r="A131" s="43">
        <v>130</v>
      </c>
      <c r="B131" s="43">
        <v>59124103</v>
      </c>
      <c r="C131" s="43" t="s">
        <v>2353</v>
      </c>
      <c r="D131" s="43" t="s">
        <v>3559</v>
      </c>
      <c r="E131" s="43" t="s">
        <v>511</v>
      </c>
      <c r="F131" s="43"/>
      <c r="G131" s="43"/>
      <c r="H131" s="43" t="s">
        <v>3544</v>
      </c>
      <c r="I131" s="43" t="s">
        <v>3561</v>
      </c>
      <c r="J131" s="67"/>
      <c r="K131" s="67"/>
      <c r="L131" s="67"/>
      <c r="M131" s="67"/>
      <c r="N131" s="67"/>
      <c r="O131" s="67"/>
      <c r="P131" s="67"/>
      <c r="Q131" s="67"/>
      <c r="R131" s="67"/>
      <c r="S131" s="67"/>
      <c r="T131" s="67"/>
      <c r="U131" s="67"/>
      <c r="V131" s="67"/>
      <c r="W131" s="67"/>
      <c r="X131" s="67"/>
      <c r="Y131" s="67"/>
      <c r="Z131" s="67"/>
    </row>
    <row r="132" spans="1:26" ht="14.25" hidden="1" customHeight="1" x14ac:dyDescent="0.2">
      <c r="A132" s="43">
        <v>131</v>
      </c>
      <c r="B132" s="43">
        <v>34633402</v>
      </c>
      <c r="C132" s="43" t="s">
        <v>813</v>
      </c>
      <c r="D132" s="43" t="s">
        <v>2251</v>
      </c>
      <c r="E132" s="43" t="s">
        <v>271</v>
      </c>
      <c r="F132" s="43"/>
      <c r="G132" s="43"/>
      <c r="H132" s="43" t="s">
        <v>3562</v>
      </c>
      <c r="I132" s="43" t="s">
        <v>3563</v>
      </c>
      <c r="J132" s="67"/>
      <c r="K132" s="67"/>
      <c r="L132" s="67"/>
      <c r="M132" s="67"/>
      <c r="N132" s="67"/>
      <c r="O132" s="67"/>
      <c r="P132" s="67"/>
      <c r="Q132" s="67"/>
      <c r="R132" s="67"/>
      <c r="S132" s="67"/>
      <c r="T132" s="67"/>
      <c r="U132" s="67"/>
      <c r="V132" s="67"/>
      <c r="W132" s="67"/>
      <c r="X132" s="67"/>
      <c r="Y132" s="67"/>
      <c r="Z132" s="67"/>
    </row>
    <row r="133" spans="1:26" ht="14.25" hidden="1" customHeight="1" x14ac:dyDescent="0.2">
      <c r="A133" s="43">
        <v>132</v>
      </c>
      <c r="B133" s="43">
        <v>23244204</v>
      </c>
      <c r="C133" s="43" t="s">
        <v>1089</v>
      </c>
      <c r="D133" s="43" t="s">
        <v>3564</v>
      </c>
      <c r="E133" s="43" t="s">
        <v>49</v>
      </c>
      <c r="F133" s="43"/>
      <c r="G133" s="43"/>
      <c r="H133" s="43" t="s">
        <v>3367</v>
      </c>
      <c r="I133" s="43" t="s">
        <v>3565</v>
      </c>
      <c r="J133" s="67"/>
      <c r="K133" s="67"/>
      <c r="L133" s="67"/>
      <c r="M133" s="67"/>
      <c r="N133" s="67"/>
      <c r="O133" s="67"/>
      <c r="P133" s="67"/>
      <c r="Q133" s="67"/>
      <c r="R133" s="67"/>
      <c r="S133" s="67"/>
      <c r="T133" s="67"/>
      <c r="U133" s="67"/>
      <c r="V133" s="67"/>
      <c r="W133" s="67"/>
      <c r="X133" s="67"/>
      <c r="Y133" s="67"/>
      <c r="Z133" s="67"/>
    </row>
    <row r="134" spans="1:26" ht="14.25" hidden="1" customHeight="1" x14ac:dyDescent="0.2">
      <c r="A134" s="64">
        <v>133</v>
      </c>
      <c r="B134" s="252">
        <v>45366702</v>
      </c>
      <c r="C134" s="64" t="s">
        <v>1569</v>
      </c>
      <c r="D134" s="64" t="s">
        <v>3564</v>
      </c>
      <c r="E134" s="64" t="s">
        <v>3566</v>
      </c>
      <c r="F134" s="254">
        <v>250044407641</v>
      </c>
      <c r="G134" s="254"/>
      <c r="H134" s="64" t="s">
        <v>3455</v>
      </c>
      <c r="I134" s="64" t="s">
        <v>3567</v>
      </c>
      <c r="J134" s="67"/>
      <c r="K134" s="67"/>
      <c r="L134" s="67"/>
      <c r="M134" s="67"/>
      <c r="N134" s="67"/>
      <c r="O134" s="67"/>
      <c r="P134" s="67"/>
      <c r="Q134" s="67"/>
      <c r="R134" s="67"/>
      <c r="S134" s="67"/>
      <c r="T134" s="67"/>
      <c r="U134" s="67"/>
      <c r="V134" s="67"/>
      <c r="W134" s="67"/>
      <c r="X134" s="67"/>
      <c r="Y134" s="67"/>
      <c r="Z134" s="67"/>
    </row>
    <row r="135" spans="1:26" ht="14.25" hidden="1" customHeight="1" x14ac:dyDescent="0.2">
      <c r="A135" s="64">
        <v>134</v>
      </c>
      <c r="B135" s="252">
        <v>75019402</v>
      </c>
      <c r="C135" s="64" t="s">
        <v>813</v>
      </c>
      <c r="D135" s="64" t="s">
        <v>2285</v>
      </c>
      <c r="E135" s="64" t="s">
        <v>35</v>
      </c>
      <c r="F135" s="64"/>
      <c r="G135" s="64"/>
      <c r="H135" s="64" t="s">
        <v>3367</v>
      </c>
      <c r="I135" s="64" t="s">
        <v>3568</v>
      </c>
      <c r="J135" s="67"/>
      <c r="K135" s="67"/>
      <c r="L135" s="67"/>
      <c r="M135" s="67"/>
      <c r="N135" s="67"/>
      <c r="O135" s="67"/>
      <c r="P135" s="67"/>
      <c r="Q135" s="67"/>
      <c r="R135" s="67"/>
      <c r="S135" s="67"/>
      <c r="T135" s="67"/>
      <c r="U135" s="67"/>
      <c r="V135" s="67"/>
      <c r="W135" s="67"/>
      <c r="X135" s="67"/>
      <c r="Y135" s="67"/>
      <c r="Z135" s="67"/>
    </row>
    <row r="136" spans="1:26" ht="14.25" hidden="1" customHeight="1" x14ac:dyDescent="0.2">
      <c r="A136" s="43">
        <v>135</v>
      </c>
      <c r="B136" s="43">
        <v>21705703</v>
      </c>
      <c r="C136" s="43" t="s">
        <v>2341</v>
      </c>
      <c r="D136" s="43" t="s">
        <v>3569</v>
      </c>
      <c r="E136" s="43" t="s">
        <v>35</v>
      </c>
      <c r="F136" s="43"/>
      <c r="G136" s="43"/>
      <c r="H136" s="43" t="s">
        <v>3455</v>
      </c>
      <c r="I136" s="43" t="s">
        <v>3570</v>
      </c>
      <c r="J136" s="67"/>
      <c r="K136" s="67"/>
      <c r="L136" s="67"/>
      <c r="M136" s="67"/>
      <c r="N136" s="67"/>
      <c r="O136" s="67"/>
      <c r="P136" s="67"/>
      <c r="Q136" s="67"/>
      <c r="R136" s="67"/>
      <c r="S136" s="67"/>
      <c r="T136" s="67"/>
      <c r="U136" s="67"/>
      <c r="V136" s="67"/>
      <c r="W136" s="67"/>
      <c r="X136" s="67"/>
      <c r="Y136" s="67"/>
      <c r="Z136" s="67"/>
    </row>
    <row r="137" spans="1:26" ht="14.25" hidden="1" customHeight="1" x14ac:dyDescent="0.2">
      <c r="A137" s="64">
        <v>136</v>
      </c>
      <c r="B137" s="252">
        <v>15539804</v>
      </c>
      <c r="C137" s="64" t="s">
        <v>2304</v>
      </c>
      <c r="D137" s="64" t="s">
        <v>3571</v>
      </c>
      <c r="E137" s="64" t="s">
        <v>35</v>
      </c>
      <c r="F137" s="64"/>
      <c r="G137" s="64"/>
      <c r="H137" s="64" t="s">
        <v>3356</v>
      </c>
      <c r="I137" s="64" t="s">
        <v>3572</v>
      </c>
      <c r="J137" s="67"/>
      <c r="K137" s="67"/>
      <c r="L137" s="67"/>
      <c r="M137" s="67"/>
      <c r="N137" s="67"/>
      <c r="O137" s="67"/>
      <c r="P137" s="67"/>
      <c r="Q137" s="67"/>
      <c r="R137" s="67"/>
      <c r="S137" s="67"/>
      <c r="T137" s="67"/>
      <c r="U137" s="67"/>
      <c r="V137" s="67"/>
      <c r="W137" s="67"/>
      <c r="X137" s="67"/>
      <c r="Y137" s="67"/>
      <c r="Z137" s="67"/>
    </row>
    <row r="138" spans="1:26" ht="14.25" hidden="1" customHeight="1" x14ac:dyDescent="0.2">
      <c r="A138" s="43">
        <v>137</v>
      </c>
      <c r="B138" s="15">
        <v>77419503</v>
      </c>
      <c r="C138" s="43" t="s">
        <v>1064</v>
      </c>
      <c r="D138" s="43" t="s">
        <v>3573</v>
      </c>
      <c r="E138" s="43" t="s">
        <v>271</v>
      </c>
      <c r="F138" s="43"/>
      <c r="G138" s="43"/>
      <c r="H138" s="43" t="s">
        <v>3356</v>
      </c>
      <c r="I138" s="43" t="s">
        <v>3574</v>
      </c>
      <c r="J138" s="67"/>
      <c r="K138" s="67"/>
      <c r="L138" s="67"/>
      <c r="M138" s="67"/>
      <c r="N138" s="67"/>
      <c r="O138" s="67"/>
      <c r="P138" s="67"/>
      <c r="Q138" s="67"/>
      <c r="R138" s="67"/>
      <c r="S138" s="67"/>
      <c r="T138" s="67"/>
      <c r="U138" s="67"/>
      <c r="V138" s="67"/>
      <c r="W138" s="67"/>
      <c r="X138" s="67"/>
      <c r="Y138" s="67"/>
      <c r="Z138" s="67"/>
    </row>
    <row r="139" spans="1:26" ht="14.25" hidden="1" customHeight="1" x14ac:dyDescent="0.2">
      <c r="A139" s="43">
        <v>138</v>
      </c>
      <c r="B139" s="15">
        <v>15539804</v>
      </c>
      <c r="C139" s="43" t="s">
        <v>2304</v>
      </c>
      <c r="D139" s="43" t="s">
        <v>2306</v>
      </c>
      <c r="E139" s="43" t="s">
        <v>35</v>
      </c>
      <c r="F139" s="43"/>
      <c r="G139" s="43"/>
      <c r="H139" s="43" t="s">
        <v>3575</v>
      </c>
      <c r="I139" s="43" t="s">
        <v>3576</v>
      </c>
      <c r="J139" s="67"/>
      <c r="K139" s="67"/>
      <c r="L139" s="67"/>
      <c r="M139" s="67"/>
      <c r="N139" s="67"/>
      <c r="O139" s="67"/>
      <c r="P139" s="67"/>
      <c r="Q139" s="67"/>
      <c r="R139" s="67"/>
      <c r="S139" s="67"/>
      <c r="T139" s="67"/>
      <c r="U139" s="67"/>
      <c r="V139" s="67"/>
      <c r="W139" s="67"/>
      <c r="X139" s="67"/>
      <c r="Y139" s="67"/>
      <c r="Z139" s="67"/>
    </row>
    <row r="140" spans="1:26" ht="14.25" hidden="1" customHeight="1" x14ac:dyDescent="0.2">
      <c r="A140" s="43">
        <v>139</v>
      </c>
      <c r="B140" s="15">
        <v>65388703</v>
      </c>
      <c r="C140" s="43" t="s">
        <v>1027</v>
      </c>
      <c r="D140" s="43" t="s">
        <v>2317</v>
      </c>
      <c r="E140" s="43" t="s">
        <v>35</v>
      </c>
      <c r="F140" s="43"/>
      <c r="G140" s="43"/>
      <c r="H140" s="43" t="s">
        <v>3419</v>
      </c>
      <c r="I140" s="43" t="s">
        <v>3577</v>
      </c>
      <c r="J140" s="67"/>
      <c r="K140" s="67"/>
      <c r="L140" s="67"/>
      <c r="M140" s="67"/>
      <c r="N140" s="67"/>
      <c r="O140" s="67"/>
      <c r="P140" s="67"/>
      <c r="Q140" s="67"/>
      <c r="R140" s="67"/>
      <c r="S140" s="67"/>
      <c r="T140" s="67"/>
      <c r="U140" s="67"/>
      <c r="V140" s="67"/>
      <c r="W140" s="67"/>
      <c r="X140" s="67"/>
      <c r="Y140" s="67"/>
      <c r="Z140" s="67"/>
    </row>
    <row r="141" spans="1:26" ht="14.25" hidden="1" customHeight="1" x14ac:dyDescent="0.2">
      <c r="A141" s="43">
        <v>140</v>
      </c>
      <c r="B141" s="43">
        <v>45366502</v>
      </c>
      <c r="C141" s="43" t="s">
        <v>1066</v>
      </c>
      <c r="D141" s="43" t="s">
        <v>2318</v>
      </c>
      <c r="E141" s="43" t="s">
        <v>1197</v>
      </c>
      <c r="F141" s="43"/>
      <c r="G141" s="43"/>
      <c r="H141" s="43" t="s">
        <v>3575</v>
      </c>
      <c r="I141" s="43" t="s">
        <v>3578</v>
      </c>
      <c r="J141" s="67"/>
      <c r="K141" s="67"/>
      <c r="L141" s="67"/>
      <c r="M141" s="67"/>
      <c r="N141" s="67"/>
      <c r="O141" s="67"/>
      <c r="P141" s="67"/>
      <c r="Q141" s="67"/>
      <c r="R141" s="67"/>
      <c r="S141" s="67"/>
      <c r="T141" s="67"/>
      <c r="U141" s="67"/>
      <c r="V141" s="67"/>
      <c r="W141" s="67"/>
      <c r="X141" s="67"/>
      <c r="Y141" s="67"/>
      <c r="Z141" s="67"/>
    </row>
    <row r="142" spans="1:26" ht="14.25" hidden="1" customHeight="1" x14ac:dyDescent="0.2">
      <c r="A142" s="43">
        <v>141</v>
      </c>
      <c r="B142" s="43">
        <v>43748303</v>
      </c>
      <c r="C142" s="43" t="s">
        <v>835</v>
      </c>
      <c r="D142" s="43" t="s">
        <v>2327</v>
      </c>
      <c r="E142" s="43" t="s">
        <v>35</v>
      </c>
      <c r="F142" s="43"/>
      <c r="G142" s="43"/>
      <c r="H142" s="43" t="s">
        <v>3367</v>
      </c>
      <c r="I142" s="43" t="s">
        <v>3579</v>
      </c>
      <c r="J142" s="67"/>
      <c r="K142" s="67"/>
      <c r="L142" s="67"/>
      <c r="M142" s="67"/>
      <c r="N142" s="67"/>
      <c r="O142" s="67"/>
      <c r="P142" s="67"/>
      <c r="Q142" s="67"/>
      <c r="R142" s="67"/>
      <c r="S142" s="67"/>
      <c r="T142" s="67"/>
      <c r="U142" s="67"/>
      <c r="V142" s="67"/>
      <c r="W142" s="67"/>
      <c r="X142" s="67"/>
      <c r="Y142" s="67"/>
      <c r="Z142" s="67"/>
    </row>
    <row r="143" spans="1:26" ht="14.25" hidden="1" customHeight="1" x14ac:dyDescent="0.2">
      <c r="A143" s="43">
        <v>142</v>
      </c>
      <c r="B143" s="43">
        <v>30327902</v>
      </c>
      <c r="C143" s="43" t="s">
        <v>1588</v>
      </c>
      <c r="D143" s="43" t="s">
        <v>199</v>
      </c>
      <c r="E143" s="43" t="s">
        <v>35</v>
      </c>
      <c r="F143" s="43"/>
      <c r="G143" s="43"/>
      <c r="H143" s="43" t="s">
        <v>3580</v>
      </c>
      <c r="I143" s="43" t="s">
        <v>3581</v>
      </c>
      <c r="J143" s="67"/>
      <c r="K143" s="67"/>
      <c r="L143" s="67"/>
      <c r="M143" s="67"/>
      <c r="N143" s="67"/>
      <c r="O143" s="67"/>
      <c r="P143" s="67"/>
      <c r="Q143" s="67"/>
      <c r="R143" s="67"/>
      <c r="S143" s="67"/>
      <c r="T143" s="67"/>
      <c r="U143" s="67"/>
      <c r="V143" s="67"/>
      <c r="W143" s="67"/>
      <c r="X143" s="67"/>
      <c r="Y143" s="67"/>
      <c r="Z143" s="67"/>
    </row>
    <row r="144" spans="1:26" ht="14.25" hidden="1" customHeight="1" x14ac:dyDescent="0.2">
      <c r="A144" s="64">
        <v>143</v>
      </c>
      <c r="B144" s="64">
        <v>67537803</v>
      </c>
      <c r="C144" s="64" t="s">
        <v>1312</v>
      </c>
      <c r="D144" s="64" t="s">
        <v>98</v>
      </c>
      <c r="E144" s="64" t="s">
        <v>49</v>
      </c>
      <c r="F144" s="64"/>
      <c r="G144" s="64"/>
      <c r="H144" s="64" t="s">
        <v>3582</v>
      </c>
      <c r="I144" s="64" t="s">
        <v>3583</v>
      </c>
      <c r="J144" s="67"/>
      <c r="K144" s="67"/>
      <c r="L144" s="67"/>
      <c r="M144" s="67"/>
      <c r="N144" s="67"/>
      <c r="O144" s="67"/>
      <c r="P144" s="67"/>
      <c r="Q144" s="67"/>
      <c r="R144" s="67"/>
      <c r="S144" s="67"/>
      <c r="T144" s="67"/>
      <c r="U144" s="67"/>
      <c r="V144" s="67"/>
      <c r="W144" s="67"/>
      <c r="X144" s="67"/>
      <c r="Y144" s="67"/>
      <c r="Z144" s="67"/>
    </row>
    <row r="145" spans="1:26" ht="14.25" hidden="1" customHeight="1" x14ac:dyDescent="0.2">
      <c r="A145" s="64">
        <v>144</v>
      </c>
      <c r="B145" s="64">
        <v>42009002</v>
      </c>
      <c r="C145" s="64" t="s">
        <v>813</v>
      </c>
      <c r="D145" s="64" t="s">
        <v>2343</v>
      </c>
      <c r="E145" s="64" t="s">
        <v>35</v>
      </c>
      <c r="F145" s="64"/>
      <c r="G145" s="64"/>
      <c r="H145" s="64" t="s">
        <v>3474</v>
      </c>
      <c r="I145" s="64" t="s">
        <v>3584</v>
      </c>
      <c r="J145" s="67"/>
      <c r="K145" s="67"/>
      <c r="L145" s="67"/>
      <c r="M145" s="67"/>
      <c r="N145" s="67"/>
      <c r="O145" s="67"/>
      <c r="P145" s="67"/>
      <c r="Q145" s="67"/>
      <c r="R145" s="67"/>
      <c r="S145" s="67"/>
      <c r="T145" s="67"/>
      <c r="U145" s="67"/>
      <c r="V145" s="67"/>
      <c r="W145" s="67"/>
      <c r="X145" s="67"/>
      <c r="Y145" s="67"/>
      <c r="Z145" s="67"/>
    </row>
    <row r="146" spans="1:26" ht="14.25" hidden="1" customHeight="1" x14ac:dyDescent="0.2">
      <c r="A146" s="43">
        <v>145</v>
      </c>
      <c r="B146" s="43">
        <v>40399103</v>
      </c>
      <c r="C146" s="43" t="s">
        <v>1626</v>
      </c>
      <c r="D146" s="43" t="s">
        <v>3585</v>
      </c>
      <c r="E146" s="43" t="s">
        <v>35</v>
      </c>
      <c r="F146" s="43"/>
      <c r="G146" s="43"/>
      <c r="H146" s="43" t="s">
        <v>3586</v>
      </c>
      <c r="I146" s="43" t="s">
        <v>3587</v>
      </c>
      <c r="J146" s="67"/>
      <c r="K146" s="67"/>
      <c r="L146" s="67"/>
      <c r="M146" s="67"/>
      <c r="N146" s="67"/>
      <c r="O146" s="67"/>
      <c r="P146" s="67"/>
      <c r="Q146" s="67"/>
      <c r="R146" s="67"/>
      <c r="S146" s="67"/>
      <c r="T146" s="67"/>
      <c r="U146" s="67"/>
      <c r="V146" s="67"/>
      <c r="W146" s="67"/>
      <c r="X146" s="67"/>
      <c r="Y146" s="67"/>
      <c r="Z146" s="67"/>
    </row>
    <row r="147" spans="1:26" ht="14.25" hidden="1" customHeight="1" x14ac:dyDescent="0.2">
      <c r="A147" s="43">
        <v>146</v>
      </c>
      <c r="B147" s="43">
        <v>43748303</v>
      </c>
      <c r="C147" s="43" t="s">
        <v>835</v>
      </c>
      <c r="D147" s="43" t="s">
        <v>2788</v>
      </c>
      <c r="E147" s="43" t="s">
        <v>35</v>
      </c>
      <c r="F147" s="43"/>
      <c r="G147" s="43"/>
      <c r="H147" s="43" t="s">
        <v>3535</v>
      </c>
      <c r="I147" s="43" t="s">
        <v>3588</v>
      </c>
      <c r="J147" s="67"/>
      <c r="K147" s="67"/>
      <c r="L147" s="67"/>
      <c r="M147" s="67"/>
      <c r="N147" s="67"/>
      <c r="O147" s="67"/>
      <c r="P147" s="67"/>
      <c r="Q147" s="67"/>
      <c r="R147" s="67"/>
      <c r="S147" s="67"/>
      <c r="T147" s="67"/>
      <c r="U147" s="67"/>
      <c r="V147" s="67"/>
      <c r="W147" s="67"/>
      <c r="X147" s="67"/>
      <c r="Y147" s="67"/>
      <c r="Z147" s="67"/>
    </row>
    <row r="148" spans="1:26" ht="14.25" hidden="1" customHeight="1" x14ac:dyDescent="0.2">
      <c r="A148" s="22">
        <v>147</v>
      </c>
      <c r="B148" s="22">
        <v>34005503</v>
      </c>
      <c r="C148" s="22" t="s">
        <v>3589</v>
      </c>
      <c r="D148" s="22" t="s">
        <v>3590</v>
      </c>
      <c r="E148" s="22" t="s">
        <v>49</v>
      </c>
      <c r="F148" s="22"/>
      <c r="G148" s="22"/>
      <c r="H148" s="22" t="s">
        <v>3557</v>
      </c>
      <c r="I148" s="22" t="s">
        <v>3591</v>
      </c>
      <c r="J148" s="174"/>
      <c r="K148" s="174"/>
      <c r="L148" s="174"/>
      <c r="M148" s="174"/>
      <c r="N148" s="174"/>
      <c r="O148" s="174"/>
      <c r="P148" s="174"/>
      <c r="Q148" s="174"/>
      <c r="R148" s="174"/>
      <c r="S148" s="174"/>
      <c r="T148" s="174"/>
      <c r="U148" s="174"/>
      <c r="V148" s="174"/>
      <c r="W148" s="174"/>
      <c r="X148" s="174"/>
      <c r="Y148" s="174"/>
      <c r="Z148" s="174"/>
    </row>
    <row r="149" spans="1:26" ht="14.25" hidden="1" customHeight="1" x14ac:dyDescent="0.2">
      <c r="A149" s="43">
        <v>148</v>
      </c>
      <c r="B149" s="43">
        <v>34005603</v>
      </c>
      <c r="C149" s="43" t="s">
        <v>3448</v>
      </c>
      <c r="D149" s="43" t="s">
        <v>2356</v>
      </c>
      <c r="E149" s="43" t="s">
        <v>49</v>
      </c>
      <c r="F149" s="43"/>
      <c r="G149" s="43"/>
      <c r="H149" s="43" t="s">
        <v>3551</v>
      </c>
      <c r="I149" s="43" t="s">
        <v>3592</v>
      </c>
      <c r="J149" s="67"/>
      <c r="K149" s="67"/>
      <c r="L149" s="67"/>
      <c r="M149" s="67"/>
      <c r="N149" s="67"/>
      <c r="O149" s="67"/>
      <c r="P149" s="67"/>
      <c r="Q149" s="67"/>
      <c r="R149" s="67"/>
      <c r="S149" s="67"/>
      <c r="T149" s="67"/>
      <c r="U149" s="67"/>
      <c r="V149" s="67"/>
      <c r="W149" s="67"/>
      <c r="X149" s="67"/>
      <c r="Y149" s="67"/>
      <c r="Z149" s="67"/>
    </row>
    <row r="150" spans="1:26" ht="14.25" hidden="1" customHeight="1" x14ac:dyDescent="0.2">
      <c r="A150" s="43">
        <v>149</v>
      </c>
      <c r="B150" s="15">
        <v>22187603</v>
      </c>
      <c r="C150" s="43" t="s">
        <v>1598</v>
      </c>
      <c r="D150" s="43" t="s">
        <v>2359</v>
      </c>
      <c r="E150" s="43" t="s">
        <v>35</v>
      </c>
      <c r="F150" s="43"/>
      <c r="G150" s="43"/>
      <c r="H150" s="43" t="s">
        <v>3544</v>
      </c>
      <c r="I150" s="43" t="s">
        <v>3593</v>
      </c>
      <c r="J150" s="67"/>
      <c r="K150" s="67"/>
      <c r="L150" s="67"/>
      <c r="M150" s="67"/>
      <c r="N150" s="67"/>
      <c r="O150" s="67"/>
      <c r="P150" s="67"/>
      <c r="Q150" s="67"/>
      <c r="R150" s="67"/>
      <c r="S150" s="67"/>
      <c r="T150" s="67"/>
      <c r="U150" s="67"/>
      <c r="V150" s="67"/>
      <c r="W150" s="67"/>
      <c r="X150" s="67"/>
      <c r="Y150" s="67"/>
      <c r="Z150" s="67"/>
    </row>
    <row r="151" spans="1:26" ht="14.25" hidden="1" customHeight="1" x14ac:dyDescent="0.2">
      <c r="A151" s="43">
        <v>150</v>
      </c>
      <c r="B151" s="15">
        <v>59347603</v>
      </c>
      <c r="C151" s="43" t="s">
        <v>305</v>
      </c>
      <c r="D151" s="43" t="s">
        <v>2359</v>
      </c>
      <c r="E151" s="43" t="s">
        <v>35</v>
      </c>
      <c r="F151" s="43"/>
      <c r="G151" s="43"/>
      <c r="H151" s="43" t="s">
        <v>3551</v>
      </c>
      <c r="I151" s="43" t="s">
        <v>3594</v>
      </c>
      <c r="J151" s="67"/>
      <c r="K151" s="67"/>
      <c r="L151" s="67"/>
      <c r="M151" s="67"/>
      <c r="N151" s="67"/>
      <c r="O151" s="67"/>
      <c r="P151" s="67"/>
      <c r="Q151" s="67"/>
      <c r="R151" s="67"/>
      <c r="S151" s="67"/>
      <c r="T151" s="67"/>
      <c r="U151" s="67"/>
      <c r="V151" s="67"/>
      <c r="W151" s="67"/>
      <c r="X151" s="67"/>
      <c r="Y151" s="67"/>
      <c r="Z151" s="67"/>
    </row>
    <row r="152" spans="1:26" ht="14.25" hidden="1" customHeight="1" x14ac:dyDescent="0.2">
      <c r="A152" s="43">
        <v>151</v>
      </c>
      <c r="B152" s="15">
        <v>21897903</v>
      </c>
      <c r="C152" s="43" t="s">
        <v>552</v>
      </c>
      <c r="D152" s="43"/>
      <c r="E152" s="43" t="s">
        <v>35</v>
      </c>
      <c r="F152" s="43"/>
      <c r="G152" s="43"/>
      <c r="H152" s="43" t="s">
        <v>3551</v>
      </c>
      <c r="I152" s="43" t="s">
        <v>3595</v>
      </c>
      <c r="J152" s="67"/>
      <c r="K152" s="67"/>
      <c r="L152" s="67"/>
      <c r="M152" s="67"/>
      <c r="N152" s="67"/>
      <c r="O152" s="67"/>
      <c r="P152" s="67"/>
      <c r="Q152" s="67"/>
      <c r="R152" s="67"/>
      <c r="S152" s="67"/>
      <c r="T152" s="67"/>
      <c r="U152" s="67"/>
      <c r="V152" s="67"/>
      <c r="W152" s="67"/>
      <c r="X152" s="67"/>
      <c r="Y152" s="67"/>
      <c r="Z152" s="67"/>
    </row>
    <row r="153" spans="1:26" ht="14.25" hidden="1" customHeight="1" x14ac:dyDescent="0.2">
      <c r="A153" s="60">
        <v>152</v>
      </c>
      <c r="B153" s="60">
        <v>42009002</v>
      </c>
      <c r="C153" s="60" t="s">
        <v>1141</v>
      </c>
      <c r="D153" s="60" t="s">
        <v>33</v>
      </c>
      <c r="E153" s="60" t="s">
        <v>35</v>
      </c>
      <c r="F153" s="60"/>
      <c r="G153" s="60" t="s">
        <v>3596</v>
      </c>
      <c r="H153" s="60" t="s">
        <v>3527</v>
      </c>
      <c r="I153" s="60" t="s">
        <v>3597</v>
      </c>
      <c r="J153" s="174"/>
      <c r="K153" s="174"/>
      <c r="L153" s="174"/>
      <c r="M153" s="174"/>
      <c r="N153" s="174"/>
      <c r="O153" s="174"/>
      <c r="P153" s="174"/>
      <c r="Q153" s="174"/>
      <c r="R153" s="174"/>
      <c r="S153" s="174"/>
      <c r="T153" s="174"/>
      <c r="U153" s="174"/>
      <c r="V153" s="174"/>
      <c r="W153" s="174"/>
      <c r="X153" s="174"/>
      <c r="Y153" s="174"/>
      <c r="Z153" s="174"/>
    </row>
    <row r="154" spans="1:26" ht="14.25" hidden="1" customHeight="1" x14ac:dyDescent="0.2">
      <c r="A154" s="64">
        <v>153</v>
      </c>
      <c r="B154" s="252">
        <v>75019402</v>
      </c>
      <c r="C154" s="64" t="s">
        <v>813</v>
      </c>
      <c r="D154" s="64" t="s">
        <v>3598</v>
      </c>
      <c r="E154" s="64" t="s">
        <v>35</v>
      </c>
      <c r="F154" s="64"/>
      <c r="G154" s="64"/>
      <c r="H154" s="64" t="s">
        <v>3599</v>
      </c>
      <c r="I154" s="64" t="s">
        <v>3600</v>
      </c>
      <c r="J154" s="67"/>
      <c r="K154" s="67"/>
      <c r="L154" s="67"/>
      <c r="M154" s="67"/>
      <c r="N154" s="67"/>
      <c r="O154" s="67"/>
      <c r="P154" s="67"/>
      <c r="Q154" s="67"/>
      <c r="R154" s="67"/>
      <c r="S154" s="67"/>
      <c r="T154" s="67"/>
      <c r="U154" s="67"/>
      <c r="V154" s="67"/>
      <c r="W154" s="67"/>
      <c r="X154" s="67"/>
      <c r="Y154" s="67"/>
      <c r="Z154" s="67"/>
    </row>
    <row r="155" spans="1:26" ht="14.25" hidden="1" customHeight="1" x14ac:dyDescent="0.2">
      <c r="A155" s="22">
        <v>154</v>
      </c>
      <c r="B155" s="13">
        <v>34005503</v>
      </c>
      <c r="C155" s="22" t="s">
        <v>3589</v>
      </c>
      <c r="D155" s="22" t="s">
        <v>3601</v>
      </c>
      <c r="E155" s="22" t="s">
        <v>49</v>
      </c>
      <c r="F155" s="22"/>
      <c r="G155" s="22" t="s">
        <v>3602</v>
      </c>
      <c r="H155" s="22" t="s">
        <v>3551</v>
      </c>
      <c r="I155" s="22" t="s">
        <v>3603</v>
      </c>
      <c r="J155" s="174"/>
      <c r="K155" s="174"/>
      <c r="L155" s="174"/>
      <c r="M155" s="174"/>
      <c r="N155" s="174"/>
      <c r="O155" s="174"/>
      <c r="P155" s="174"/>
      <c r="Q155" s="174"/>
      <c r="R155" s="174"/>
      <c r="S155" s="174"/>
      <c r="T155" s="174"/>
      <c r="U155" s="174"/>
      <c r="V155" s="174"/>
      <c r="W155" s="174"/>
      <c r="X155" s="174"/>
      <c r="Y155" s="174"/>
      <c r="Z155" s="174"/>
    </row>
    <row r="156" spans="1:26" ht="14.25" hidden="1" customHeight="1" x14ac:dyDescent="0.2">
      <c r="A156" s="64">
        <v>155</v>
      </c>
      <c r="B156" s="252">
        <v>89072103</v>
      </c>
      <c r="C156" s="64" t="s">
        <v>1180</v>
      </c>
      <c r="D156" s="64"/>
      <c r="E156" s="64" t="s">
        <v>823</v>
      </c>
      <c r="F156" s="64"/>
      <c r="G156" s="64" t="s">
        <v>3604</v>
      </c>
      <c r="H156" s="64" t="s">
        <v>3527</v>
      </c>
      <c r="I156" s="64" t="s">
        <v>3605</v>
      </c>
      <c r="J156" s="67"/>
      <c r="K156" s="67"/>
      <c r="L156" s="67"/>
      <c r="M156" s="67"/>
      <c r="N156" s="67"/>
      <c r="O156" s="67"/>
      <c r="P156" s="67"/>
      <c r="Q156" s="67"/>
      <c r="R156" s="67"/>
      <c r="S156" s="67"/>
      <c r="T156" s="67"/>
      <c r="U156" s="67"/>
      <c r="V156" s="67"/>
      <c r="W156" s="67"/>
      <c r="X156" s="67"/>
      <c r="Y156" s="67"/>
      <c r="Z156" s="67"/>
    </row>
    <row r="157" spans="1:26" ht="14.25" hidden="1" customHeight="1" x14ac:dyDescent="0.2">
      <c r="A157" s="22">
        <v>156</v>
      </c>
      <c r="B157" s="13">
        <v>59124103</v>
      </c>
      <c r="C157" s="22" t="s">
        <v>2353</v>
      </c>
      <c r="D157" s="22" t="s">
        <v>2378</v>
      </c>
      <c r="E157" s="22" t="s">
        <v>35</v>
      </c>
      <c r="F157" s="22"/>
      <c r="G157" s="22" t="s">
        <v>3606</v>
      </c>
      <c r="H157" s="22" t="s">
        <v>3527</v>
      </c>
      <c r="I157" s="22" t="s">
        <v>3607</v>
      </c>
      <c r="J157" s="174"/>
      <c r="K157" s="174"/>
      <c r="L157" s="174"/>
      <c r="M157" s="174"/>
      <c r="N157" s="174"/>
      <c r="O157" s="174"/>
      <c r="P157" s="174"/>
      <c r="Q157" s="174"/>
      <c r="R157" s="174"/>
      <c r="S157" s="174"/>
      <c r="T157" s="174"/>
      <c r="U157" s="174"/>
      <c r="V157" s="174"/>
      <c r="W157" s="174"/>
      <c r="X157" s="174"/>
      <c r="Y157" s="174"/>
      <c r="Z157" s="174"/>
    </row>
    <row r="158" spans="1:26" ht="14.25" hidden="1" customHeight="1" x14ac:dyDescent="0.2">
      <c r="A158" s="43">
        <v>157</v>
      </c>
      <c r="B158" s="43">
        <v>57691303</v>
      </c>
      <c r="C158" s="43" t="s">
        <v>1610</v>
      </c>
      <c r="D158" s="43" t="s">
        <v>2378</v>
      </c>
      <c r="E158" s="43" t="s">
        <v>49</v>
      </c>
      <c r="F158" s="43"/>
      <c r="G158" s="43"/>
      <c r="H158" s="43" t="s">
        <v>3527</v>
      </c>
      <c r="I158" s="43" t="s">
        <v>3608</v>
      </c>
      <c r="J158" s="67"/>
      <c r="K158" s="67"/>
      <c r="L158" s="67"/>
      <c r="M158" s="67"/>
      <c r="N158" s="67"/>
      <c r="O158" s="67"/>
      <c r="P158" s="67"/>
      <c r="Q158" s="67"/>
      <c r="R158" s="67"/>
      <c r="S158" s="67"/>
      <c r="T158" s="67"/>
      <c r="U158" s="67"/>
      <c r="V158" s="67"/>
      <c r="W158" s="67"/>
      <c r="X158" s="67"/>
      <c r="Y158" s="67"/>
      <c r="Z158" s="67"/>
    </row>
    <row r="159" spans="1:26" ht="14.25" hidden="1" customHeight="1" x14ac:dyDescent="0.2">
      <c r="A159" s="43">
        <v>158</v>
      </c>
      <c r="B159" s="15">
        <v>34005503</v>
      </c>
      <c r="C159" s="22" t="s">
        <v>3589</v>
      </c>
      <c r="D159" s="43" t="s">
        <v>3609</v>
      </c>
      <c r="E159" s="43" t="s">
        <v>49</v>
      </c>
      <c r="F159" s="43"/>
      <c r="G159" s="43"/>
      <c r="H159" s="43" t="s">
        <v>3551</v>
      </c>
      <c r="I159" s="43" t="s">
        <v>3610</v>
      </c>
      <c r="J159" s="67"/>
      <c r="K159" s="67"/>
      <c r="L159" s="67"/>
      <c r="M159" s="67"/>
      <c r="N159" s="67"/>
      <c r="O159" s="67"/>
      <c r="P159" s="67"/>
      <c r="Q159" s="67"/>
      <c r="R159" s="67"/>
      <c r="S159" s="67"/>
      <c r="T159" s="67"/>
      <c r="U159" s="67"/>
      <c r="V159" s="67"/>
      <c r="W159" s="67"/>
      <c r="X159" s="67"/>
      <c r="Y159" s="67"/>
      <c r="Z159" s="67"/>
    </row>
    <row r="160" spans="1:26" ht="14.25" hidden="1" customHeight="1" x14ac:dyDescent="0.2">
      <c r="A160" s="22">
        <v>159</v>
      </c>
      <c r="B160" s="13">
        <v>58185503</v>
      </c>
      <c r="C160" s="22" t="s">
        <v>2244</v>
      </c>
      <c r="D160" s="22" t="s">
        <v>393</v>
      </c>
      <c r="E160" s="22" t="s">
        <v>19</v>
      </c>
      <c r="F160" s="22"/>
      <c r="G160" s="22">
        <v>2100</v>
      </c>
      <c r="H160" s="22" t="s">
        <v>3544</v>
      </c>
      <c r="I160" s="22" t="s">
        <v>3611</v>
      </c>
      <c r="J160" s="174"/>
      <c r="K160" s="174"/>
      <c r="L160" s="174"/>
      <c r="M160" s="174"/>
      <c r="N160" s="174"/>
      <c r="O160" s="174"/>
      <c r="P160" s="174"/>
      <c r="Q160" s="174"/>
      <c r="R160" s="174"/>
      <c r="S160" s="174"/>
      <c r="T160" s="174"/>
      <c r="U160" s="174"/>
      <c r="V160" s="174"/>
      <c r="W160" s="174"/>
      <c r="X160" s="174"/>
      <c r="Y160" s="174"/>
      <c r="Z160" s="174"/>
    </row>
    <row r="161" spans="1:26" ht="14.25" hidden="1" customHeight="1" x14ac:dyDescent="0.2">
      <c r="A161" s="22">
        <v>160</v>
      </c>
      <c r="B161" s="13">
        <v>50574503</v>
      </c>
      <c r="C161" s="22" t="s">
        <v>937</v>
      </c>
      <c r="D161" s="22" t="s">
        <v>3612</v>
      </c>
      <c r="E161" s="22" t="s">
        <v>520</v>
      </c>
      <c r="F161" s="22"/>
      <c r="G161" s="22" t="s">
        <v>3613</v>
      </c>
      <c r="H161" s="22" t="s">
        <v>3527</v>
      </c>
      <c r="I161" s="22" t="s">
        <v>3614</v>
      </c>
      <c r="J161" s="174"/>
      <c r="K161" s="174"/>
      <c r="L161" s="174"/>
      <c r="M161" s="174"/>
      <c r="N161" s="174"/>
      <c r="O161" s="174"/>
      <c r="P161" s="174"/>
      <c r="Q161" s="174"/>
      <c r="R161" s="174"/>
      <c r="S161" s="174"/>
      <c r="T161" s="174"/>
      <c r="U161" s="174"/>
      <c r="V161" s="174"/>
      <c r="W161" s="174"/>
      <c r="X161" s="174"/>
      <c r="Y161" s="174"/>
      <c r="Z161" s="174"/>
    </row>
    <row r="162" spans="1:26" ht="14.25" hidden="1" customHeight="1" x14ac:dyDescent="0.2">
      <c r="A162" s="43">
        <v>161</v>
      </c>
      <c r="B162" s="43">
        <v>12198203</v>
      </c>
      <c r="C162" s="43" t="s">
        <v>1588</v>
      </c>
      <c r="D162" s="43" t="s">
        <v>3615</v>
      </c>
      <c r="E162" s="43" t="s">
        <v>823</v>
      </c>
      <c r="F162" s="43"/>
      <c r="G162" s="43" t="s">
        <v>3616</v>
      </c>
      <c r="H162" s="43" t="s">
        <v>3527</v>
      </c>
      <c r="I162" s="43" t="s">
        <v>3617</v>
      </c>
      <c r="J162" s="67"/>
      <c r="K162" s="67"/>
      <c r="L162" s="67"/>
      <c r="M162" s="67"/>
      <c r="N162" s="67"/>
      <c r="O162" s="67"/>
      <c r="P162" s="67"/>
      <c r="Q162" s="67"/>
      <c r="R162" s="67"/>
      <c r="S162" s="67"/>
      <c r="T162" s="67"/>
      <c r="U162" s="67"/>
      <c r="V162" s="67"/>
      <c r="W162" s="67"/>
      <c r="X162" s="67"/>
      <c r="Y162" s="67"/>
      <c r="Z162" s="67"/>
    </row>
    <row r="163" spans="1:26" ht="14.25" hidden="1" customHeight="1" x14ac:dyDescent="0.2">
      <c r="A163" s="43">
        <v>162</v>
      </c>
      <c r="B163" s="43">
        <v>24889203</v>
      </c>
      <c r="C163" s="43" t="s">
        <v>3618</v>
      </c>
      <c r="D163" s="43" t="s">
        <v>2410</v>
      </c>
      <c r="E163" s="43" t="s">
        <v>49</v>
      </c>
      <c r="F163" s="43"/>
      <c r="G163" s="43"/>
      <c r="H163" s="43" t="s">
        <v>3619</v>
      </c>
      <c r="I163" s="43" t="s">
        <v>3620</v>
      </c>
      <c r="J163" s="67"/>
      <c r="K163" s="67"/>
      <c r="L163" s="67"/>
      <c r="M163" s="67"/>
      <c r="N163" s="67"/>
      <c r="O163" s="67"/>
      <c r="P163" s="67"/>
      <c r="Q163" s="67"/>
      <c r="R163" s="67"/>
      <c r="S163" s="67"/>
      <c r="T163" s="67"/>
      <c r="U163" s="67"/>
      <c r="V163" s="67"/>
      <c r="W163" s="67"/>
      <c r="X163" s="67"/>
      <c r="Y163" s="67"/>
      <c r="Z163" s="67"/>
    </row>
    <row r="164" spans="1:26" ht="14.25" hidden="1" customHeight="1" x14ac:dyDescent="0.2">
      <c r="A164" s="22">
        <v>163</v>
      </c>
      <c r="B164" s="22">
        <v>59032903</v>
      </c>
      <c r="C164" s="22" t="s">
        <v>501</v>
      </c>
      <c r="D164" s="22" t="s">
        <v>2405</v>
      </c>
      <c r="E164" s="22" t="s">
        <v>520</v>
      </c>
      <c r="F164" s="22">
        <v>1575</v>
      </c>
      <c r="G164" s="22" t="s">
        <v>3621</v>
      </c>
      <c r="H164" s="22" t="s">
        <v>3527</v>
      </c>
      <c r="I164" s="22" t="s">
        <v>3622</v>
      </c>
      <c r="J164" s="174"/>
      <c r="K164" s="174"/>
      <c r="L164" s="174"/>
      <c r="M164" s="174"/>
      <c r="N164" s="174"/>
      <c r="O164" s="174"/>
      <c r="P164" s="174"/>
      <c r="Q164" s="174"/>
      <c r="R164" s="174"/>
      <c r="S164" s="174"/>
      <c r="T164" s="174"/>
      <c r="U164" s="174"/>
      <c r="V164" s="174"/>
      <c r="W164" s="174"/>
      <c r="X164" s="174"/>
      <c r="Y164" s="174"/>
      <c r="Z164" s="174"/>
    </row>
    <row r="165" spans="1:26" ht="14.25" hidden="1" customHeight="1" x14ac:dyDescent="0.2">
      <c r="A165" s="22">
        <v>164</v>
      </c>
      <c r="B165" s="13">
        <v>24164804</v>
      </c>
      <c r="C165" s="22" t="s">
        <v>2456</v>
      </c>
      <c r="D165" s="22" t="s">
        <v>1200</v>
      </c>
      <c r="E165" s="22" t="s">
        <v>520</v>
      </c>
      <c r="F165" s="22"/>
      <c r="G165" s="22"/>
      <c r="H165" s="22" t="s">
        <v>3623</v>
      </c>
      <c r="I165" s="22" t="s">
        <v>3624</v>
      </c>
      <c r="J165" s="174"/>
      <c r="K165" s="174"/>
      <c r="L165" s="174"/>
      <c r="M165" s="174"/>
      <c r="N165" s="174"/>
      <c r="O165" s="174"/>
      <c r="P165" s="174"/>
      <c r="Q165" s="174"/>
      <c r="R165" s="174"/>
      <c r="S165" s="174"/>
      <c r="T165" s="174"/>
      <c r="U165" s="174"/>
      <c r="V165" s="174"/>
      <c r="W165" s="174"/>
      <c r="X165" s="174"/>
      <c r="Y165" s="174"/>
      <c r="Z165" s="174"/>
    </row>
    <row r="166" spans="1:26" ht="14.25" hidden="1" customHeight="1" x14ac:dyDescent="0.2">
      <c r="A166" s="64">
        <v>165</v>
      </c>
      <c r="B166" s="64">
        <v>29317703</v>
      </c>
      <c r="C166" s="64" t="s">
        <v>1187</v>
      </c>
      <c r="D166" s="64" t="s">
        <v>2388</v>
      </c>
      <c r="E166" s="64"/>
      <c r="F166" s="64"/>
      <c r="G166" s="64" t="s">
        <v>3625</v>
      </c>
      <c r="H166" s="64" t="s">
        <v>2157</v>
      </c>
      <c r="I166" s="64" t="s">
        <v>3544</v>
      </c>
      <c r="J166" s="67"/>
      <c r="K166" s="67"/>
      <c r="L166" s="67"/>
      <c r="M166" s="67"/>
      <c r="N166" s="67"/>
      <c r="O166" s="67"/>
      <c r="P166" s="67"/>
      <c r="Q166" s="67"/>
      <c r="R166" s="67"/>
      <c r="S166" s="67"/>
      <c r="T166" s="67"/>
      <c r="U166" s="67"/>
      <c r="V166" s="67"/>
      <c r="W166" s="67"/>
      <c r="X166" s="67"/>
      <c r="Y166" s="67"/>
      <c r="Z166" s="67"/>
    </row>
    <row r="167" spans="1:26" ht="14.25" hidden="1" customHeight="1" x14ac:dyDescent="0.2">
      <c r="A167" s="22">
        <v>166</v>
      </c>
      <c r="B167" s="13">
        <v>63109602</v>
      </c>
      <c r="C167" s="22" t="s">
        <v>1430</v>
      </c>
      <c r="D167" s="22" t="s">
        <v>2413</v>
      </c>
      <c r="E167" s="22" t="s">
        <v>511</v>
      </c>
      <c r="F167" s="22"/>
      <c r="G167" s="22">
        <v>2829</v>
      </c>
      <c r="H167" s="22" t="s">
        <v>3626</v>
      </c>
      <c r="I167" s="22" t="s">
        <v>3627</v>
      </c>
      <c r="J167" s="174"/>
      <c r="K167" s="174"/>
      <c r="L167" s="174"/>
      <c r="M167" s="174"/>
      <c r="N167" s="174"/>
      <c r="O167" s="174"/>
      <c r="P167" s="174"/>
      <c r="Q167" s="174"/>
      <c r="R167" s="174"/>
      <c r="S167" s="174"/>
      <c r="T167" s="174"/>
      <c r="U167" s="174"/>
      <c r="V167" s="174"/>
      <c r="W167" s="174"/>
      <c r="X167" s="174"/>
      <c r="Y167" s="174"/>
      <c r="Z167" s="174"/>
    </row>
    <row r="168" spans="1:26" ht="14.25" hidden="1" customHeight="1" x14ac:dyDescent="0.2">
      <c r="A168" s="64">
        <v>167</v>
      </c>
      <c r="B168" s="64">
        <v>83143703</v>
      </c>
      <c r="C168" s="64" t="s">
        <v>2806</v>
      </c>
      <c r="D168" s="64" t="s">
        <v>3628</v>
      </c>
      <c r="E168" s="64" t="s">
        <v>511</v>
      </c>
      <c r="F168" s="64"/>
      <c r="G168" s="64"/>
      <c r="H168" s="64" t="s">
        <v>3629</v>
      </c>
      <c r="I168" s="64" t="s">
        <v>3630</v>
      </c>
      <c r="J168" s="67"/>
      <c r="K168" s="67"/>
      <c r="L168" s="67"/>
      <c r="M168" s="67"/>
      <c r="N168" s="67"/>
      <c r="O168" s="67"/>
      <c r="P168" s="67"/>
      <c r="Q168" s="67"/>
      <c r="R168" s="67"/>
      <c r="S168" s="67"/>
      <c r="T168" s="67"/>
      <c r="U168" s="67"/>
      <c r="V168" s="67"/>
      <c r="W168" s="67"/>
      <c r="X168" s="67"/>
      <c r="Y168" s="67"/>
      <c r="Z168" s="67"/>
    </row>
    <row r="169" spans="1:26" ht="14.25" hidden="1" customHeight="1" x14ac:dyDescent="0.2">
      <c r="A169" s="43">
        <v>168</v>
      </c>
      <c r="B169" s="13">
        <v>49136604</v>
      </c>
      <c r="C169" s="43" t="s">
        <v>3631</v>
      </c>
      <c r="D169" s="43" t="s">
        <v>2423</v>
      </c>
      <c r="E169" s="43" t="s">
        <v>49</v>
      </c>
      <c r="F169" s="43"/>
      <c r="G169" s="43"/>
      <c r="H169" s="43" t="s">
        <v>3527</v>
      </c>
      <c r="I169" s="43" t="s">
        <v>3632</v>
      </c>
      <c r="J169" s="67"/>
      <c r="K169" s="67"/>
      <c r="L169" s="67"/>
      <c r="M169" s="67"/>
      <c r="N169" s="67"/>
      <c r="O169" s="67"/>
      <c r="P169" s="67"/>
      <c r="Q169" s="67"/>
      <c r="R169" s="67"/>
      <c r="S169" s="67"/>
      <c r="T169" s="67"/>
      <c r="U169" s="67"/>
      <c r="V169" s="67"/>
      <c r="W169" s="67"/>
      <c r="X169" s="67"/>
      <c r="Y169" s="67"/>
      <c r="Z169" s="67"/>
    </row>
    <row r="170" spans="1:26" ht="14.25" hidden="1" customHeight="1" x14ac:dyDescent="0.2">
      <c r="A170" s="43">
        <v>169</v>
      </c>
      <c r="B170" s="15">
        <v>75169702</v>
      </c>
      <c r="C170" s="43" t="s">
        <v>1039</v>
      </c>
      <c r="D170" s="43" t="s">
        <v>2423</v>
      </c>
      <c r="E170" s="43" t="s">
        <v>511</v>
      </c>
      <c r="F170" s="43"/>
      <c r="G170" s="43"/>
      <c r="H170" s="43" t="s">
        <v>3562</v>
      </c>
      <c r="I170" s="43" t="s">
        <v>3630</v>
      </c>
      <c r="J170" s="67"/>
      <c r="K170" s="67"/>
      <c r="L170" s="67"/>
      <c r="M170" s="67"/>
      <c r="N170" s="67"/>
      <c r="O170" s="67"/>
      <c r="P170" s="67"/>
      <c r="Q170" s="67"/>
      <c r="R170" s="67"/>
      <c r="S170" s="67"/>
      <c r="T170" s="67"/>
      <c r="U170" s="67"/>
      <c r="V170" s="67"/>
      <c r="W170" s="67"/>
      <c r="X170" s="67"/>
      <c r="Y170" s="67"/>
      <c r="Z170" s="67"/>
    </row>
    <row r="171" spans="1:26" ht="14.25" hidden="1" customHeight="1" x14ac:dyDescent="0.2">
      <c r="A171" s="22">
        <v>170</v>
      </c>
      <c r="B171" s="22">
        <v>21898003</v>
      </c>
      <c r="C171" s="22" t="s">
        <v>3399</v>
      </c>
      <c r="D171" s="22" t="s">
        <v>2425</v>
      </c>
      <c r="E171" s="22" t="s">
        <v>35</v>
      </c>
      <c r="F171" s="22"/>
      <c r="G171" s="22">
        <v>1810</v>
      </c>
      <c r="H171" s="22" t="s">
        <v>3527</v>
      </c>
      <c r="I171" s="22" t="s">
        <v>3633</v>
      </c>
      <c r="J171" s="174"/>
      <c r="K171" s="174"/>
      <c r="L171" s="174"/>
      <c r="M171" s="174"/>
      <c r="N171" s="174"/>
      <c r="O171" s="174"/>
      <c r="P171" s="174"/>
      <c r="Q171" s="174"/>
      <c r="R171" s="174"/>
      <c r="S171" s="174"/>
      <c r="T171" s="174"/>
      <c r="U171" s="174"/>
      <c r="V171" s="174"/>
      <c r="W171" s="174"/>
      <c r="X171" s="174"/>
      <c r="Y171" s="174"/>
      <c r="Z171" s="174"/>
    </row>
    <row r="172" spans="1:26" ht="14.25" hidden="1" customHeight="1" x14ac:dyDescent="0.2">
      <c r="A172" s="43">
        <v>171</v>
      </c>
      <c r="B172" s="43">
        <v>29460304</v>
      </c>
      <c r="C172" s="43" t="s">
        <v>1287</v>
      </c>
      <c r="D172" s="43" t="s">
        <v>75</v>
      </c>
      <c r="E172" s="43" t="s">
        <v>49</v>
      </c>
      <c r="F172" s="43"/>
      <c r="G172" s="43"/>
      <c r="H172" s="43" t="s">
        <v>3527</v>
      </c>
      <c r="I172" s="43" t="s">
        <v>3634</v>
      </c>
      <c r="J172" s="67"/>
      <c r="K172" s="67"/>
      <c r="L172" s="67"/>
      <c r="M172" s="67"/>
      <c r="N172" s="67"/>
      <c r="O172" s="67"/>
      <c r="P172" s="67"/>
      <c r="Q172" s="67"/>
      <c r="R172" s="67"/>
      <c r="S172" s="67"/>
      <c r="T172" s="67"/>
      <c r="U172" s="67"/>
      <c r="V172" s="67"/>
      <c r="W172" s="67"/>
      <c r="X172" s="67"/>
      <c r="Y172" s="67"/>
      <c r="Z172" s="67"/>
    </row>
    <row r="173" spans="1:26" ht="14.25" hidden="1" customHeight="1" x14ac:dyDescent="0.2">
      <c r="A173" s="43">
        <v>172</v>
      </c>
      <c r="B173" s="43">
        <v>12198203</v>
      </c>
      <c r="C173" s="43" t="s">
        <v>1588</v>
      </c>
      <c r="D173" s="43" t="s">
        <v>2385</v>
      </c>
      <c r="E173" s="43" t="s">
        <v>823</v>
      </c>
      <c r="F173" s="29"/>
      <c r="G173" s="43" t="s">
        <v>3635</v>
      </c>
      <c r="H173" s="43" t="s">
        <v>3636</v>
      </c>
      <c r="I173" s="43" t="s">
        <v>3637</v>
      </c>
      <c r="J173" s="67"/>
      <c r="K173" s="67"/>
      <c r="L173" s="67"/>
      <c r="M173" s="67"/>
      <c r="N173" s="67"/>
      <c r="O173" s="67"/>
      <c r="P173" s="67"/>
      <c r="Q173" s="67"/>
      <c r="R173" s="67"/>
      <c r="S173" s="67"/>
      <c r="T173" s="67"/>
      <c r="U173" s="67"/>
      <c r="V173" s="67"/>
      <c r="W173" s="67"/>
      <c r="X173" s="67"/>
      <c r="Y173" s="67"/>
      <c r="Z173" s="67"/>
    </row>
    <row r="174" spans="1:26" ht="14.25" hidden="1" customHeight="1" x14ac:dyDescent="0.2">
      <c r="A174" s="43">
        <v>173</v>
      </c>
      <c r="B174" s="43">
        <v>28491903</v>
      </c>
      <c r="C174" s="43" t="s">
        <v>501</v>
      </c>
      <c r="D174" s="43" t="s">
        <v>2279</v>
      </c>
      <c r="E174" s="43" t="s">
        <v>823</v>
      </c>
      <c r="F174" s="29"/>
      <c r="G174" s="43" t="s">
        <v>3638</v>
      </c>
      <c r="H174" s="43" t="s">
        <v>3639</v>
      </c>
      <c r="I174" s="43" t="s">
        <v>3640</v>
      </c>
      <c r="J174" s="67"/>
      <c r="K174" s="67"/>
      <c r="L174" s="67"/>
      <c r="M174" s="67"/>
      <c r="N174" s="67"/>
      <c r="O174" s="67"/>
      <c r="P174" s="67"/>
      <c r="Q174" s="67"/>
      <c r="R174" s="67"/>
      <c r="S174" s="67"/>
      <c r="T174" s="67"/>
      <c r="U174" s="67"/>
      <c r="V174" s="67"/>
      <c r="W174" s="67"/>
      <c r="X174" s="67"/>
      <c r="Y174" s="67"/>
      <c r="Z174" s="67"/>
    </row>
    <row r="175" spans="1:26" ht="14.25" hidden="1" customHeight="1" x14ac:dyDescent="0.2">
      <c r="A175" s="22">
        <v>174</v>
      </c>
      <c r="B175" s="22">
        <v>12198203</v>
      </c>
      <c r="C175" s="22" t="s">
        <v>1588</v>
      </c>
      <c r="D175" s="22" t="s">
        <v>3641</v>
      </c>
      <c r="E175" s="22" t="s">
        <v>823</v>
      </c>
      <c r="F175" s="22"/>
      <c r="G175" s="22">
        <v>3150</v>
      </c>
      <c r="H175" s="22" t="s">
        <v>3642</v>
      </c>
      <c r="I175" s="22" t="s">
        <v>3643</v>
      </c>
      <c r="J175" s="174"/>
      <c r="K175" s="174"/>
      <c r="L175" s="174"/>
      <c r="M175" s="174"/>
      <c r="N175" s="174"/>
      <c r="O175" s="174"/>
      <c r="P175" s="174"/>
      <c r="Q175" s="174"/>
      <c r="R175" s="174"/>
      <c r="S175" s="174"/>
      <c r="T175" s="174"/>
      <c r="U175" s="174"/>
      <c r="V175" s="174"/>
      <c r="W175" s="174"/>
      <c r="X175" s="174"/>
      <c r="Y175" s="174"/>
      <c r="Z175" s="174"/>
    </row>
    <row r="176" spans="1:26" ht="14.25" hidden="1" customHeight="1" x14ac:dyDescent="0.2">
      <c r="A176" s="43">
        <v>175</v>
      </c>
      <c r="B176" s="43">
        <v>44480903</v>
      </c>
      <c r="C176" s="43" t="s">
        <v>618</v>
      </c>
      <c r="D176" s="43"/>
      <c r="E176" s="43" t="s">
        <v>35</v>
      </c>
      <c r="F176" s="43"/>
      <c r="G176" s="43" t="s">
        <v>3644</v>
      </c>
      <c r="H176" s="43" t="s">
        <v>3645</v>
      </c>
      <c r="I176" s="43" t="s">
        <v>3646</v>
      </c>
      <c r="J176" s="67"/>
      <c r="K176" s="67"/>
      <c r="L176" s="67"/>
      <c r="M176" s="67"/>
      <c r="N176" s="67"/>
      <c r="O176" s="67"/>
      <c r="P176" s="67"/>
      <c r="Q176" s="67"/>
      <c r="R176" s="67"/>
      <c r="S176" s="67"/>
      <c r="T176" s="67"/>
      <c r="U176" s="67"/>
      <c r="V176" s="67"/>
      <c r="W176" s="67"/>
      <c r="X176" s="67"/>
      <c r="Y176" s="67"/>
      <c r="Z176" s="67"/>
    </row>
    <row r="177" spans="1:26" ht="14.25" hidden="1" customHeight="1" x14ac:dyDescent="0.2">
      <c r="A177" s="43">
        <v>176</v>
      </c>
      <c r="B177" s="43">
        <v>42009002</v>
      </c>
      <c r="C177" s="43" t="s">
        <v>1141</v>
      </c>
      <c r="D177" s="43" t="s">
        <v>200</v>
      </c>
      <c r="E177" s="43" t="s">
        <v>35</v>
      </c>
      <c r="F177" s="43"/>
      <c r="G177" s="43" t="s">
        <v>3647</v>
      </c>
      <c r="H177" s="43" t="s">
        <v>3527</v>
      </c>
      <c r="I177" s="43" t="s">
        <v>3648</v>
      </c>
      <c r="J177" s="67"/>
      <c r="K177" s="67"/>
      <c r="L177" s="67"/>
      <c r="M177" s="67"/>
      <c r="N177" s="67"/>
      <c r="O177" s="67"/>
      <c r="P177" s="67"/>
      <c r="Q177" s="67"/>
      <c r="R177" s="67"/>
      <c r="S177" s="67"/>
      <c r="T177" s="67"/>
      <c r="U177" s="67"/>
      <c r="V177" s="67"/>
      <c r="W177" s="67"/>
      <c r="X177" s="67"/>
      <c r="Y177" s="67"/>
      <c r="Z177" s="67"/>
    </row>
    <row r="178" spans="1:26" ht="14.25" hidden="1" customHeight="1" x14ac:dyDescent="0.2">
      <c r="A178" s="43">
        <v>177</v>
      </c>
      <c r="B178" s="43">
        <v>12198203</v>
      </c>
      <c r="C178" s="43" t="s">
        <v>1588</v>
      </c>
      <c r="D178" s="43" t="s">
        <v>200</v>
      </c>
      <c r="E178" s="43" t="s">
        <v>520</v>
      </c>
      <c r="F178" s="43"/>
      <c r="G178" s="43"/>
      <c r="H178" s="43" t="s">
        <v>3367</v>
      </c>
      <c r="I178" s="43" t="s">
        <v>3649</v>
      </c>
      <c r="J178" s="67"/>
      <c r="K178" s="67"/>
      <c r="L178" s="67"/>
      <c r="M178" s="67"/>
      <c r="N178" s="67"/>
      <c r="O178" s="67"/>
      <c r="P178" s="67"/>
      <c r="Q178" s="67"/>
      <c r="R178" s="67"/>
      <c r="S178" s="67"/>
      <c r="T178" s="67"/>
      <c r="U178" s="67"/>
      <c r="V178" s="67"/>
      <c r="W178" s="67"/>
      <c r="X178" s="67"/>
      <c r="Y178" s="67"/>
      <c r="Z178" s="67"/>
    </row>
    <row r="179" spans="1:26" ht="14.25" hidden="1" customHeight="1" x14ac:dyDescent="0.2">
      <c r="A179" s="43">
        <v>178</v>
      </c>
      <c r="B179" s="13">
        <v>20036203</v>
      </c>
      <c r="C179" s="43" t="s">
        <v>2609</v>
      </c>
      <c r="D179" s="43" t="s">
        <v>2448</v>
      </c>
      <c r="E179" s="43" t="s">
        <v>49</v>
      </c>
      <c r="F179" s="43"/>
      <c r="G179" s="43"/>
      <c r="H179" s="43" t="s">
        <v>3544</v>
      </c>
      <c r="I179" s="43" t="s">
        <v>3650</v>
      </c>
      <c r="J179" s="67"/>
      <c r="K179" s="67"/>
      <c r="L179" s="67"/>
      <c r="M179" s="67"/>
      <c r="N179" s="67"/>
      <c r="O179" s="67"/>
      <c r="P179" s="67"/>
      <c r="Q179" s="67"/>
      <c r="R179" s="67"/>
      <c r="S179" s="67"/>
      <c r="T179" s="67"/>
      <c r="U179" s="67"/>
      <c r="V179" s="67"/>
      <c r="W179" s="67"/>
      <c r="X179" s="67"/>
      <c r="Y179" s="67"/>
      <c r="Z179" s="67"/>
    </row>
    <row r="180" spans="1:26" ht="14.25" hidden="1" customHeight="1" x14ac:dyDescent="0.2">
      <c r="A180" s="43">
        <v>179</v>
      </c>
      <c r="B180" s="13">
        <v>73445703</v>
      </c>
      <c r="C180" s="43" t="s">
        <v>2453</v>
      </c>
      <c r="D180" s="43" t="s">
        <v>3651</v>
      </c>
      <c r="E180" s="43" t="s">
        <v>511</v>
      </c>
      <c r="F180" s="43"/>
      <c r="G180" s="43"/>
      <c r="H180" s="43" t="s">
        <v>3623</v>
      </c>
      <c r="I180" s="43" t="s">
        <v>3652</v>
      </c>
      <c r="J180" s="67"/>
      <c r="K180" s="67"/>
      <c r="L180" s="67"/>
      <c r="M180" s="67"/>
      <c r="N180" s="67"/>
      <c r="O180" s="67"/>
      <c r="P180" s="67"/>
      <c r="Q180" s="67"/>
      <c r="R180" s="67"/>
      <c r="S180" s="67"/>
      <c r="T180" s="67"/>
      <c r="U180" s="67"/>
      <c r="V180" s="67"/>
      <c r="W180" s="67"/>
      <c r="X180" s="67"/>
      <c r="Y180" s="67"/>
      <c r="Z180" s="67"/>
    </row>
    <row r="181" spans="1:26" ht="14.25" hidden="1" customHeight="1" x14ac:dyDescent="0.2">
      <c r="A181" s="43">
        <v>180</v>
      </c>
      <c r="B181" s="13">
        <v>15539804</v>
      </c>
      <c r="C181" s="43" t="s">
        <v>2444</v>
      </c>
      <c r="D181" s="43" t="s">
        <v>3651</v>
      </c>
      <c r="E181" s="43" t="s">
        <v>35</v>
      </c>
      <c r="F181" s="43"/>
      <c r="G181" s="43" t="s">
        <v>3653</v>
      </c>
      <c r="H181" s="43" t="s">
        <v>3527</v>
      </c>
      <c r="I181" s="43" t="s">
        <v>3654</v>
      </c>
      <c r="J181" s="67"/>
      <c r="K181" s="67"/>
      <c r="L181" s="67"/>
      <c r="M181" s="67"/>
      <c r="N181" s="67"/>
      <c r="O181" s="67"/>
      <c r="P181" s="67"/>
      <c r="Q181" s="67"/>
      <c r="R181" s="67"/>
      <c r="S181" s="67"/>
      <c r="T181" s="67"/>
      <c r="U181" s="67"/>
      <c r="V181" s="67"/>
      <c r="W181" s="67"/>
      <c r="X181" s="67"/>
      <c r="Y181" s="67"/>
      <c r="Z181" s="67"/>
    </row>
    <row r="182" spans="1:26" ht="14.25" hidden="1" customHeight="1" x14ac:dyDescent="0.2">
      <c r="A182" s="64">
        <v>181</v>
      </c>
      <c r="B182" s="54">
        <v>24889303</v>
      </c>
      <c r="C182" s="64" t="s">
        <v>709</v>
      </c>
      <c r="D182" s="64" t="s">
        <v>2809</v>
      </c>
      <c r="E182" s="64" t="s">
        <v>49</v>
      </c>
      <c r="F182" s="64"/>
      <c r="G182" s="64"/>
      <c r="H182" s="64"/>
      <c r="I182" s="64" t="s">
        <v>3655</v>
      </c>
      <c r="J182" s="67"/>
      <c r="K182" s="67"/>
      <c r="L182" s="67"/>
      <c r="M182" s="67"/>
      <c r="N182" s="67"/>
      <c r="O182" s="67"/>
      <c r="P182" s="67"/>
      <c r="Q182" s="67"/>
      <c r="R182" s="67"/>
      <c r="S182" s="67"/>
      <c r="T182" s="67"/>
      <c r="U182" s="67"/>
      <c r="V182" s="67"/>
      <c r="W182" s="67"/>
      <c r="X182" s="67"/>
      <c r="Y182" s="67"/>
      <c r="Z182" s="67"/>
    </row>
    <row r="183" spans="1:26" ht="14.25" hidden="1" customHeight="1" x14ac:dyDescent="0.2">
      <c r="A183" s="43">
        <v>182</v>
      </c>
      <c r="B183" s="15">
        <v>13738004</v>
      </c>
      <c r="C183" s="43" t="s">
        <v>590</v>
      </c>
      <c r="D183" s="43"/>
      <c r="E183" s="43" t="s">
        <v>823</v>
      </c>
      <c r="F183" s="43"/>
      <c r="G183" s="43" t="s">
        <v>3656</v>
      </c>
      <c r="H183" s="43" t="s">
        <v>3544</v>
      </c>
      <c r="I183" s="43" t="s">
        <v>3657</v>
      </c>
      <c r="J183" s="67"/>
      <c r="K183" s="67"/>
      <c r="L183" s="67"/>
      <c r="M183" s="67"/>
      <c r="N183" s="67"/>
      <c r="O183" s="67"/>
      <c r="P183" s="67"/>
      <c r="Q183" s="67"/>
      <c r="R183" s="67"/>
      <c r="S183" s="67"/>
      <c r="T183" s="67"/>
      <c r="U183" s="67"/>
      <c r="V183" s="67"/>
      <c r="W183" s="67"/>
      <c r="X183" s="67"/>
      <c r="Y183" s="67"/>
      <c r="Z183" s="67"/>
    </row>
    <row r="184" spans="1:26" ht="14.25" hidden="1" customHeight="1" x14ac:dyDescent="0.2">
      <c r="A184" s="43">
        <v>183</v>
      </c>
      <c r="B184" s="43">
        <v>43747603</v>
      </c>
      <c r="C184" s="43" t="s">
        <v>1275</v>
      </c>
      <c r="D184" s="43" t="s">
        <v>3658</v>
      </c>
      <c r="E184" s="43" t="s">
        <v>35</v>
      </c>
      <c r="F184" s="43"/>
      <c r="G184" s="43" t="s">
        <v>3613</v>
      </c>
      <c r="H184" s="43"/>
      <c r="I184" s="43" t="s">
        <v>3659</v>
      </c>
      <c r="J184" s="67"/>
      <c r="K184" s="67"/>
      <c r="L184" s="67"/>
      <c r="M184" s="67"/>
      <c r="N184" s="67"/>
      <c r="O184" s="67"/>
      <c r="P184" s="67"/>
      <c r="Q184" s="67"/>
      <c r="R184" s="67"/>
      <c r="S184" s="67"/>
      <c r="T184" s="67"/>
      <c r="U184" s="67"/>
      <c r="V184" s="67"/>
      <c r="W184" s="67"/>
      <c r="X184" s="67"/>
      <c r="Y184" s="67"/>
      <c r="Z184" s="67"/>
    </row>
    <row r="185" spans="1:26" ht="14.25" hidden="1" customHeight="1" x14ac:dyDescent="0.2">
      <c r="A185" s="43">
        <v>184</v>
      </c>
      <c r="B185" s="43">
        <v>46656103</v>
      </c>
      <c r="C185" s="43" t="s">
        <v>1271</v>
      </c>
      <c r="D185" s="43" t="s">
        <v>2409</v>
      </c>
      <c r="E185" s="43" t="s">
        <v>49</v>
      </c>
      <c r="F185" s="43"/>
      <c r="G185" s="43" t="s">
        <v>3660</v>
      </c>
      <c r="H185" s="43" t="s">
        <v>3527</v>
      </c>
      <c r="I185" s="43" t="s">
        <v>3661</v>
      </c>
      <c r="J185" s="67"/>
      <c r="K185" s="67"/>
      <c r="L185" s="67"/>
      <c r="M185" s="67"/>
      <c r="N185" s="67"/>
      <c r="O185" s="67"/>
      <c r="P185" s="67"/>
      <c r="Q185" s="67"/>
      <c r="R185" s="67"/>
      <c r="S185" s="67"/>
      <c r="T185" s="67"/>
      <c r="U185" s="67"/>
      <c r="V185" s="67"/>
      <c r="W185" s="67"/>
      <c r="X185" s="67"/>
      <c r="Y185" s="67"/>
      <c r="Z185" s="67"/>
    </row>
    <row r="186" spans="1:26" ht="14.25" hidden="1" customHeight="1" x14ac:dyDescent="0.2">
      <c r="A186" s="43">
        <v>185</v>
      </c>
      <c r="B186" s="43">
        <v>77419503</v>
      </c>
      <c r="C186" s="43" t="s">
        <v>1064</v>
      </c>
      <c r="D186" s="43" t="s">
        <v>47</v>
      </c>
      <c r="E186" s="43" t="s">
        <v>271</v>
      </c>
      <c r="F186" s="43">
        <v>8103094</v>
      </c>
      <c r="G186" s="43"/>
      <c r="H186" s="43" t="s">
        <v>3562</v>
      </c>
      <c r="I186" s="43" t="s">
        <v>3662</v>
      </c>
      <c r="J186" s="67"/>
      <c r="K186" s="67"/>
      <c r="L186" s="67"/>
      <c r="M186" s="67"/>
      <c r="N186" s="67"/>
      <c r="O186" s="67"/>
      <c r="P186" s="67"/>
      <c r="Q186" s="67"/>
      <c r="R186" s="67"/>
      <c r="S186" s="67"/>
      <c r="T186" s="67"/>
      <c r="U186" s="67"/>
      <c r="V186" s="67"/>
      <c r="W186" s="67"/>
      <c r="X186" s="67"/>
      <c r="Y186" s="67"/>
      <c r="Z186" s="67"/>
    </row>
    <row r="187" spans="1:26" ht="14.25" hidden="1" customHeight="1" x14ac:dyDescent="0.2">
      <c r="A187" s="64">
        <v>186</v>
      </c>
      <c r="B187" s="54">
        <v>79918603</v>
      </c>
      <c r="C187" s="64" t="s">
        <v>3663</v>
      </c>
      <c r="D187" s="64"/>
      <c r="E187" s="64"/>
      <c r="F187" s="64"/>
      <c r="G187" s="64" t="s">
        <v>3664</v>
      </c>
      <c r="H187" s="64" t="s">
        <v>3665</v>
      </c>
      <c r="I187" s="64" t="s">
        <v>3666</v>
      </c>
      <c r="J187" s="67"/>
      <c r="K187" s="67"/>
      <c r="L187" s="67"/>
      <c r="M187" s="67"/>
      <c r="N187" s="67"/>
      <c r="O187" s="67"/>
      <c r="P187" s="67"/>
      <c r="Q187" s="67"/>
      <c r="R187" s="67"/>
      <c r="S187" s="67"/>
      <c r="T187" s="67"/>
      <c r="U187" s="67"/>
      <c r="V187" s="67"/>
      <c r="W187" s="67"/>
      <c r="X187" s="67"/>
      <c r="Y187" s="67"/>
      <c r="Z187" s="67"/>
    </row>
    <row r="188" spans="1:26" ht="14.25" hidden="1" customHeight="1" x14ac:dyDescent="0.2">
      <c r="A188" s="43">
        <v>187</v>
      </c>
      <c r="B188" s="13">
        <v>24889303</v>
      </c>
      <c r="C188" s="43" t="s">
        <v>3667</v>
      </c>
      <c r="D188" s="43" t="s">
        <v>112</v>
      </c>
      <c r="E188" s="43" t="s">
        <v>49</v>
      </c>
      <c r="F188" s="43"/>
      <c r="G188" s="43"/>
      <c r="H188" s="43" t="s">
        <v>3668</v>
      </c>
      <c r="I188" s="43" t="s">
        <v>3669</v>
      </c>
      <c r="J188" s="67"/>
      <c r="K188" s="67"/>
      <c r="L188" s="67"/>
      <c r="M188" s="67"/>
      <c r="N188" s="67"/>
      <c r="O188" s="67"/>
      <c r="P188" s="67"/>
      <c r="Q188" s="67"/>
      <c r="R188" s="67"/>
      <c r="S188" s="67"/>
      <c r="T188" s="67"/>
      <c r="U188" s="67"/>
      <c r="V188" s="67"/>
      <c r="W188" s="67"/>
      <c r="X188" s="67"/>
      <c r="Y188" s="67"/>
      <c r="Z188" s="67"/>
    </row>
    <row r="189" spans="1:26" ht="14.25" hidden="1" customHeight="1" x14ac:dyDescent="0.2">
      <c r="A189" s="43">
        <v>188</v>
      </c>
      <c r="B189" s="43">
        <v>77418303</v>
      </c>
      <c r="C189" s="43" t="s">
        <v>1344</v>
      </c>
      <c r="D189" s="43" t="s">
        <v>2476</v>
      </c>
      <c r="E189" s="43" t="s">
        <v>271</v>
      </c>
      <c r="F189" s="43"/>
      <c r="G189" s="43" t="s">
        <v>3664</v>
      </c>
      <c r="H189" s="43" t="s">
        <v>3623</v>
      </c>
      <c r="I189" s="43" t="s">
        <v>3670</v>
      </c>
      <c r="J189" s="67"/>
      <c r="K189" s="67"/>
      <c r="L189" s="67"/>
      <c r="M189" s="67"/>
      <c r="N189" s="67"/>
      <c r="O189" s="67"/>
      <c r="P189" s="67"/>
      <c r="Q189" s="67"/>
      <c r="R189" s="67"/>
      <c r="S189" s="67"/>
      <c r="T189" s="67"/>
      <c r="U189" s="67"/>
      <c r="V189" s="67"/>
      <c r="W189" s="67"/>
      <c r="X189" s="67"/>
      <c r="Y189" s="67"/>
      <c r="Z189" s="67"/>
    </row>
    <row r="190" spans="1:26" ht="14.25" hidden="1" customHeight="1" x14ac:dyDescent="0.2">
      <c r="A190" s="43">
        <v>189</v>
      </c>
      <c r="B190" s="43">
        <v>59124103</v>
      </c>
      <c r="C190" s="43" t="s">
        <v>2353</v>
      </c>
      <c r="D190" s="43" t="s">
        <v>2502</v>
      </c>
      <c r="E190" s="43" t="s">
        <v>520</v>
      </c>
      <c r="F190" s="43"/>
      <c r="G190" s="43"/>
      <c r="H190" s="43" t="s">
        <v>3623</v>
      </c>
      <c r="I190" s="43" t="s">
        <v>3671</v>
      </c>
      <c r="J190" s="67"/>
      <c r="K190" s="67"/>
      <c r="L190" s="67"/>
      <c r="M190" s="67"/>
      <c r="N190" s="67"/>
      <c r="O190" s="67"/>
      <c r="P190" s="67"/>
      <c r="Q190" s="67"/>
      <c r="R190" s="67"/>
      <c r="S190" s="67"/>
      <c r="T190" s="67"/>
      <c r="U190" s="67"/>
      <c r="V190" s="67"/>
      <c r="W190" s="67"/>
      <c r="X190" s="67"/>
      <c r="Y190" s="67"/>
      <c r="Z190" s="67"/>
    </row>
    <row r="191" spans="1:26" ht="14.25" hidden="1" customHeight="1" x14ac:dyDescent="0.2">
      <c r="A191" s="22">
        <v>190</v>
      </c>
      <c r="B191" s="22">
        <v>18745504</v>
      </c>
      <c r="C191" s="22" t="s">
        <v>1064</v>
      </c>
      <c r="D191" s="22" t="s">
        <v>3672</v>
      </c>
      <c r="E191" s="22" t="s">
        <v>271</v>
      </c>
      <c r="F191" s="22"/>
      <c r="G191" s="22"/>
      <c r="H191" s="22" t="s">
        <v>3673</v>
      </c>
      <c r="I191" s="22" t="s">
        <v>3674</v>
      </c>
      <c r="J191" s="174"/>
      <c r="K191" s="174"/>
      <c r="L191" s="174"/>
      <c r="M191" s="174"/>
      <c r="N191" s="174"/>
      <c r="O191" s="174"/>
      <c r="P191" s="174"/>
      <c r="Q191" s="174"/>
      <c r="R191" s="174"/>
      <c r="S191" s="174"/>
      <c r="T191" s="174"/>
      <c r="U191" s="174"/>
      <c r="V191" s="174"/>
      <c r="W191" s="174"/>
      <c r="X191" s="174"/>
      <c r="Y191" s="174"/>
      <c r="Z191" s="174"/>
    </row>
    <row r="192" spans="1:26" ht="14.25" hidden="1" customHeight="1" x14ac:dyDescent="0.2">
      <c r="A192" s="43">
        <v>191</v>
      </c>
      <c r="B192" s="13">
        <v>50258603</v>
      </c>
      <c r="C192" s="43" t="s">
        <v>1450</v>
      </c>
      <c r="D192" s="43" t="s">
        <v>3675</v>
      </c>
      <c r="E192" s="43" t="s">
        <v>895</v>
      </c>
      <c r="F192" s="43"/>
      <c r="G192" s="43"/>
      <c r="H192" s="43"/>
      <c r="I192" s="43" t="s">
        <v>3676</v>
      </c>
      <c r="J192" s="67"/>
      <c r="K192" s="67"/>
      <c r="L192" s="67"/>
      <c r="M192" s="67"/>
      <c r="N192" s="67"/>
      <c r="O192" s="67"/>
      <c r="P192" s="67"/>
      <c r="Q192" s="67"/>
      <c r="R192" s="67"/>
      <c r="S192" s="67"/>
      <c r="T192" s="67"/>
      <c r="U192" s="67"/>
      <c r="V192" s="67"/>
      <c r="W192" s="67"/>
      <c r="X192" s="67"/>
      <c r="Y192" s="67"/>
      <c r="Z192" s="67"/>
    </row>
    <row r="193" spans="1:26" ht="14.25" hidden="1" customHeight="1" x14ac:dyDescent="0.2">
      <c r="A193" s="43">
        <v>192</v>
      </c>
      <c r="B193" s="13">
        <v>44480903</v>
      </c>
      <c r="C193" s="43" t="s">
        <v>2316</v>
      </c>
      <c r="D193" s="43" t="s">
        <v>437</v>
      </c>
      <c r="E193" s="43" t="s">
        <v>35</v>
      </c>
      <c r="F193" s="43"/>
      <c r="G193" s="43"/>
      <c r="H193" s="43" t="s">
        <v>3419</v>
      </c>
      <c r="I193" s="43" t="s">
        <v>3677</v>
      </c>
      <c r="J193" s="67"/>
      <c r="K193" s="67"/>
      <c r="L193" s="67"/>
      <c r="M193" s="67"/>
      <c r="N193" s="67"/>
      <c r="O193" s="67"/>
      <c r="P193" s="67"/>
      <c r="Q193" s="67"/>
      <c r="R193" s="67"/>
      <c r="S193" s="67"/>
      <c r="T193" s="67"/>
      <c r="U193" s="67"/>
      <c r="V193" s="67"/>
      <c r="W193" s="67"/>
      <c r="X193" s="67"/>
      <c r="Y193" s="67"/>
      <c r="Z193" s="67"/>
    </row>
    <row r="194" spans="1:26" ht="14.25" hidden="1" customHeight="1" x14ac:dyDescent="0.2">
      <c r="A194" s="64">
        <v>193</v>
      </c>
      <c r="B194" s="54">
        <v>20036203</v>
      </c>
      <c r="C194" s="64" t="s">
        <v>3678</v>
      </c>
      <c r="D194" s="64" t="s">
        <v>3679</v>
      </c>
      <c r="E194" s="64" t="s">
        <v>49</v>
      </c>
      <c r="F194" s="64"/>
      <c r="G194" s="64"/>
      <c r="H194" s="64" t="s">
        <v>3680</v>
      </c>
      <c r="I194" s="64" t="s">
        <v>3681</v>
      </c>
      <c r="J194" s="67"/>
      <c r="K194" s="67"/>
      <c r="L194" s="67"/>
      <c r="M194" s="67"/>
      <c r="N194" s="67"/>
      <c r="O194" s="67"/>
      <c r="P194" s="67"/>
      <c r="Q194" s="67"/>
      <c r="R194" s="67"/>
      <c r="S194" s="67"/>
      <c r="T194" s="67"/>
      <c r="U194" s="67"/>
      <c r="V194" s="67"/>
      <c r="W194" s="67"/>
      <c r="X194" s="67"/>
      <c r="Y194" s="67"/>
      <c r="Z194" s="67"/>
    </row>
    <row r="195" spans="1:26" ht="15.75" hidden="1" x14ac:dyDescent="0.25">
      <c r="A195" s="255">
        <v>194</v>
      </c>
      <c r="B195" s="256">
        <v>42934404</v>
      </c>
      <c r="C195" s="255" t="s">
        <v>743</v>
      </c>
      <c r="D195" s="257" t="s">
        <v>2511</v>
      </c>
      <c r="E195" s="255" t="s">
        <v>166</v>
      </c>
      <c r="F195" s="235"/>
      <c r="G195" s="235"/>
      <c r="H195" s="255" t="s">
        <v>3551</v>
      </c>
      <c r="I195" s="258" t="s">
        <v>3682</v>
      </c>
      <c r="J195" s="67"/>
      <c r="K195" s="67"/>
      <c r="L195" s="67"/>
      <c r="M195" s="67"/>
      <c r="N195" s="67"/>
      <c r="O195" s="67"/>
      <c r="P195" s="67"/>
      <c r="Q195" s="67"/>
      <c r="R195" s="67"/>
      <c r="S195" s="67"/>
      <c r="T195" s="67"/>
      <c r="U195" s="67"/>
      <c r="V195" s="67"/>
      <c r="W195" s="67"/>
      <c r="X195" s="67"/>
      <c r="Y195" s="67"/>
      <c r="Z195" s="67"/>
    </row>
    <row r="196" spans="1:26" ht="14.25" hidden="1" customHeight="1" x14ac:dyDescent="0.2">
      <c r="A196" s="64">
        <v>195</v>
      </c>
      <c r="B196" s="64">
        <v>31898004</v>
      </c>
      <c r="C196" s="64" t="s">
        <v>1212</v>
      </c>
      <c r="D196" s="64" t="s">
        <v>74</v>
      </c>
      <c r="E196" s="64" t="s">
        <v>1297</v>
      </c>
      <c r="F196" s="64"/>
      <c r="G196" s="64" t="s">
        <v>3647</v>
      </c>
      <c r="H196" s="64" t="s">
        <v>3544</v>
      </c>
      <c r="I196" s="64" t="s">
        <v>3683</v>
      </c>
      <c r="J196" s="67"/>
      <c r="K196" s="67"/>
      <c r="L196" s="67"/>
      <c r="M196" s="67"/>
      <c r="N196" s="67"/>
      <c r="O196" s="67"/>
      <c r="P196" s="67"/>
      <c r="Q196" s="67"/>
      <c r="R196" s="67"/>
      <c r="S196" s="67"/>
      <c r="T196" s="67"/>
      <c r="U196" s="67"/>
      <c r="V196" s="67"/>
      <c r="W196" s="67"/>
      <c r="X196" s="67"/>
      <c r="Y196" s="67"/>
      <c r="Z196" s="67"/>
    </row>
    <row r="197" spans="1:26" ht="14.25" hidden="1" customHeight="1" x14ac:dyDescent="0.2">
      <c r="A197" s="64">
        <v>196</v>
      </c>
      <c r="B197" s="55">
        <v>41608004</v>
      </c>
      <c r="C197" s="64" t="s">
        <v>1373</v>
      </c>
      <c r="D197" s="64" t="s">
        <v>2513</v>
      </c>
      <c r="E197" s="64" t="s">
        <v>750</v>
      </c>
      <c r="F197" s="64"/>
      <c r="G197" s="64"/>
      <c r="H197" s="64" t="s">
        <v>3544</v>
      </c>
      <c r="I197" s="64" t="s">
        <v>3684</v>
      </c>
      <c r="J197" s="67"/>
      <c r="K197" s="67"/>
      <c r="L197" s="67"/>
      <c r="M197" s="67"/>
      <c r="N197" s="67"/>
      <c r="O197" s="67"/>
      <c r="P197" s="67"/>
      <c r="Q197" s="67"/>
      <c r="R197" s="67"/>
      <c r="S197" s="67"/>
      <c r="T197" s="67"/>
      <c r="U197" s="67"/>
      <c r="V197" s="67"/>
      <c r="W197" s="67"/>
      <c r="X197" s="67"/>
      <c r="Y197" s="67"/>
      <c r="Z197" s="67"/>
    </row>
    <row r="198" spans="1:26" ht="14.25" hidden="1" customHeight="1" x14ac:dyDescent="0.2">
      <c r="A198" s="43">
        <v>197</v>
      </c>
      <c r="B198" s="14">
        <v>42934404</v>
      </c>
      <c r="C198" s="43" t="s">
        <v>1427</v>
      </c>
      <c r="D198" s="43" t="s">
        <v>317</v>
      </c>
      <c r="E198" s="43" t="s">
        <v>750</v>
      </c>
      <c r="F198" s="43"/>
      <c r="G198" s="43"/>
      <c r="H198" s="43" t="s">
        <v>3562</v>
      </c>
      <c r="I198" s="43" t="s">
        <v>3685</v>
      </c>
      <c r="J198" s="67"/>
      <c r="K198" s="67"/>
      <c r="L198" s="67"/>
      <c r="M198" s="67"/>
      <c r="N198" s="67"/>
      <c r="O198" s="67"/>
      <c r="P198" s="67"/>
      <c r="Q198" s="67"/>
      <c r="R198" s="67"/>
      <c r="S198" s="67"/>
      <c r="T198" s="67"/>
      <c r="U198" s="67"/>
      <c r="V198" s="67"/>
      <c r="W198" s="67"/>
      <c r="X198" s="67"/>
      <c r="Y198" s="67"/>
      <c r="Z198" s="67"/>
    </row>
    <row r="199" spans="1:26" ht="14.25" hidden="1" customHeight="1" x14ac:dyDescent="0.2">
      <c r="A199" s="64">
        <v>198</v>
      </c>
      <c r="B199" s="64">
        <v>56863904</v>
      </c>
      <c r="C199" s="64" t="s">
        <v>3686</v>
      </c>
      <c r="D199" s="64" t="s">
        <v>3687</v>
      </c>
      <c r="E199" s="64" t="s">
        <v>587</v>
      </c>
      <c r="F199" s="64"/>
      <c r="G199" s="64" t="s">
        <v>3688</v>
      </c>
      <c r="H199" s="64" t="s">
        <v>3527</v>
      </c>
      <c r="I199" s="64" t="s">
        <v>3689</v>
      </c>
      <c r="J199" s="67"/>
      <c r="K199" s="67"/>
      <c r="L199" s="67"/>
      <c r="M199" s="67"/>
      <c r="N199" s="67"/>
      <c r="O199" s="67"/>
      <c r="P199" s="67"/>
      <c r="Q199" s="67"/>
      <c r="R199" s="67"/>
      <c r="S199" s="67"/>
      <c r="T199" s="67"/>
      <c r="U199" s="67"/>
      <c r="V199" s="67"/>
      <c r="W199" s="67"/>
      <c r="X199" s="67"/>
      <c r="Y199" s="67"/>
      <c r="Z199" s="67"/>
    </row>
    <row r="200" spans="1:26" ht="14.25" hidden="1" customHeight="1" x14ac:dyDescent="0.2">
      <c r="A200" s="43">
        <v>199</v>
      </c>
      <c r="B200" s="43">
        <v>65144703</v>
      </c>
      <c r="C200" s="43" t="s">
        <v>963</v>
      </c>
      <c r="D200" s="43" t="s">
        <v>238</v>
      </c>
      <c r="E200" s="43" t="s">
        <v>35</v>
      </c>
      <c r="F200" s="43"/>
      <c r="G200" s="43" t="s">
        <v>3690</v>
      </c>
      <c r="H200" s="43" t="s">
        <v>3691</v>
      </c>
      <c r="I200" s="43" t="s">
        <v>3692</v>
      </c>
      <c r="J200" s="67"/>
      <c r="K200" s="67"/>
      <c r="L200" s="67"/>
      <c r="M200" s="67"/>
      <c r="N200" s="67"/>
      <c r="O200" s="67"/>
      <c r="P200" s="67"/>
      <c r="Q200" s="67"/>
      <c r="R200" s="67"/>
      <c r="S200" s="67"/>
      <c r="T200" s="67"/>
      <c r="U200" s="67"/>
      <c r="V200" s="67"/>
      <c r="W200" s="67"/>
      <c r="X200" s="67"/>
      <c r="Y200" s="67"/>
      <c r="Z200" s="67"/>
    </row>
    <row r="201" spans="1:26" ht="14.25" hidden="1" customHeight="1" x14ac:dyDescent="0.2">
      <c r="A201" s="22">
        <v>200</v>
      </c>
      <c r="B201" s="22">
        <v>59032903</v>
      </c>
      <c r="C201" s="22" t="s">
        <v>2449</v>
      </c>
      <c r="D201" s="22" t="s">
        <v>258</v>
      </c>
      <c r="E201" s="22" t="s">
        <v>520</v>
      </c>
      <c r="F201" s="22"/>
      <c r="G201" s="22">
        <v>1575</v>
      </c>
      <c r="H201" s="22" t="s">
        <v>3693</v>
      </c>
      <c r="I201" s="22" t="s">
        <v>3694</v>
      </c>
      <c r="J201" s="174"/>
      <c r="K201" s="174"/>
      <c r="L201" s="174"/>
      <c r="M201" s="174"/>
      <c r="N201" s="174"/>
      <c r="O201" s="174"/>
      <c r="P201" s="174"/>
      <c r="Q201" s="174"/>
      <c r="R201" s="174"/>
      <c r="S201" s="174"/>
      <c r="T201" s="174"/>
      <c r="U201" s="174"/>
      <c r="V201" s="174"/>
      <c r="W201" s="174"/>
      <c r="X201" s="174"/>
      <c r="Y201" s="174"/>
      <c r="Z201" s="174"/>
    </row>
    <row r="202" spans="1:26" ht="14.25" hidden="1" customHeight="1" x14ac:dyDescent="0.2">
      <c r="A202" s="43">
        <v>201</v>
      </c>
      <c r="B202" s="43">
        <v>34002703</v>
      </c>
      <c r="C202" s="43" t="s">
        <v>589</v>
      </c>
      <c r="D202" s="43" t="s">
        <v>3695</v>
      </c>
      <c r="E202" s="43" t="s">
        <v>49</v>
      </c>
      <c r="F202" s="43"/>
      <c r="G202" s="43"/>
      <c r="H202" s="43" t="s">
        <v>3562</v>
      </c>
      <c r="I202" s="43" t="s">
        <v>3696</v>
      </c>
      <c r="J202" s="67"/>
      <c r="K202" s="67"/>
      <c r="L202" s="67"/>
      <c r="M202" s="67"/>
      <c r="N202" s="67"/>
      <c r="O202" s="67"/>
      <c r="P202" s="67"/>
      <c r="Q202" s="67"/>
      <c r="R202" s="67"/>
      <c r="S202" s="67"/>
      <c r="T202" s="67"/>
      <c r="U202" s="67"/>
      <c r="V202" s="67"/>
      <c r="W202" s="67"/>
      <c r="X202" s="67"/>
      <c r="Y202" s="67"/>
      <c r="Z202" s="67"/>
    </row>
    <row r="203" spans="1:26" ht="14.25" hidden="1" customHeight="1" x14ac:dyDescent="0.2">
      <c r="A203" s="43">
        <v>202</v>
      </c>
      <c r="B203" s="43">
        <v>34002803</v>
      </c>
      <c r="C203" s="43" t="s">
        <v>1172</v>
      </c>
      <c r="D203" s="43" t="s">
        <v>3695</v>
      </c>
      <c r="E203" s="43" t="s">
        <v>49</v>
      </c>
      <c r="F203" s="43"/>
      <c r="G203" s="43"/>
      <c r="H203" s="43" t="s">
        <v>3562</v>
      </c>
      <c r="I203" s="43" t="s">
        <v>3630</v>
      </c>
      <c r="J203" s="67"/>
      <c r="K203" s="67"/>
      <c r="L203" s="67"/>
      <c r="M203" s="67"/>
      <c r="N203" s="67"/>
      <c r="O203" s="67"/>
      <c r="P203" s="67"/>
      <c r="Q203" s="67"/>
      <c r="R203" s="67"/>
      <c r="S203" s="67"/>
      <c r="T203" s="67"/>
      <c r="U203" s="67"/>
      <c r="V203" s="67"/>
      <c r="W203" s="67"/>
      <c r="X203" s="67"/>
      <c r="Y203" s="67"/>
      <c r="Z203" s="67"/>
    </row>
    <row r="204" spans="1:26" ht="14.25" hidden="1" customHeight="1" x14ac:dyDescent="0.2">
      <c r="A204" s="43">
        <v>203</v>
      </c>
      <c r="B204" s="43">
        <v>24889403</v>
      </c>
      <c r="C204" s="43" t="s">
        <v>1108</v>
      </c>
      <c r="D204" s="43" t="s">
        <v>171</v>
      </c>
      <c r="E204" s="43" t="s">
        <v>166</v>
      </c>
      <c r="F204" s="43"/>
      <c r="G204" s="43" t="s">
        <v>3697</v>
      </c>
      <c r="H204" s="43" t="s">
        <v>3698</v>
      </c>
      <c r="I204" s="43" t="s">
        <v>3699</v>
      </c>
      <c r="J204" s="67"/>
      <c r="K204" s="67"/>
      <c r="L204" s="67"/>
      <c r="M204" s="67"/>
      <c r="N204" s="67"/>
      <c r="O204" s="67"/>
      <c r="P204" s="67"/>
      <c r="Q204" s="67"/>
      <c r="R204" s="67"/>
      <c r="S204" s="67"/>
      <c r="T204" s="67"/>
      <c r="U204" s="67"/>
      <c r="V204" s="67"/>
      <c r="W204" s="67"/>
      <c r="X204" s="67"/>
      <c r="Y204" s="67"/>
      <c r="Z204" s="67"/>
    </row>
    <row r="205" spans="1:26" ht="14.25" hidden="1" customHeight="1" x14ac:dyDescent="0.2">
      <c r="A205" s="43">
        <v>204</v>
      </c>
      <c r="B205" s="43">
        <v>41919404</v>
      </c>
      <c r="C205" s="43" t="s">
        <v>1344</v>
      </c>
      <c r="D205" s="43" t="s">
        <v>455</v>
      </c>
      <c r="E205" s="43" t="s">
        <v>49</v>
      </c>
      <c r="F205" s="43"/>
      <c r="G205" s="43"/>
      <c r="H205" s="43" t="s">
        <v>3700</v>
      </c>
      <c r="I205" s="43" t="s">
        <v>3701</v>
      </c>
      <c r="J205" s="67"/>
      <c r="K205" s="67"/>
      <c r="L205" s="67"/>
      <c r="M205" s="67"/>
      <c r="N205" s="67"/>
      <c r="O205" s="67"/>
      <c r="P205" s="67"/>
      <c r="Q205" s="67"/>
      <c r="R205" s="67"/>
      <c r="S205" s="67"/>
      <c r="T205" s="67"/>
      <c r="U205" s="67"/>
      <c r="V205" s="67"/>
      <c r="W205" s="67"/>
      <c r="X205" s="67"/>
      <c r="Y205" s="67"/>
      <c r="Z205" s="67"/>
    </row>
    <row r="206" spans="1:26" ht="14.25" hidden="1" customHeight="1" x14ac:dyDescent="0.2">
      <c r="A206" s="64">
        <v>205</v>
      </c>
      <c r="B206" s="55">
        <v>65178203</v>
      </c>
      <c r="C206" s="64" t="s">
        <v>1125</v>
      </c>
      <c r="D206" s="64" t="s">
        <v>432</v>
      </c>
      <c r="E206" s="64" t="s">
        <v>35</v>
      </c>
      <c r="F206" s="64"/>
      <c r="G206" s="64"/>
      <c r="H206" s="64" t="s">
        <v>3700</v>
      </c>
      <c r="I206" s="64" t="s">
        <v>3702</v>
      </c>
      <c r="J206" s="67"/>
      <c r="K206" s="67"/>
      <c r="L206" s="67"/>
      <c r="M206" s="67"/>
      <c r="N206" s="67"/>
      <c r="O206" s="67"/>
      <c r="P206" s="67"/>
      <c r="Q206" s="67"/>
      <c r="R206" s="67"/>
      <c r="S206" s="67"/>
      <c r="T206" s="67"/>
      <c r="U206" s="67"/>
      <c r="V206" s="67"/>
      <c r="W206" s="67"/>
      <c r="X206" s="67"/>
      <c r="Y206" s="67"/>
      <c r="Z206" s="67"/>
    </row>
    <row r="207" spans="1:26" ht="14.25" hidden="1" customHeight="1" x14ac:dyDescent="0.2">
      <c r="A207" s="43">
        <v>206</v>
      </c>
      <c r="B207" s="43">
        <v>69152104</v>
      </c>
      <c r="C207" s="43" t="s">
        <v>1467</v>
      </c>
      <c r="D207" s="43" t="s">
        <v>2525</v>
      </c>
      <c r="E207" s="43" t="s">
        <v>587</v>
      </c>
      <c r="F207" s="43"/>
      <c r="G207" s="43"/>
      <c r="H207" s="43" t="s">
        <v>3703</v>
      </c>
      <c r="I207" s="43" t="s">
        <v>3704</v>
      </c>
      <c r="J207" s="67"/>
      <c r="K207" s="67"/>
      <c r="L207" s="67"/>
      <c r="M207" s="67"/>
      <c r="N207" s="67"/>
      <c r="O207" s="67"/>
      <c r="P207" s="67"/>
      <c r="Q207" s="67"/>
      <c r="R207" s="67"/>
      <c r="S207" s="67"/>
      <c r="T207" s="67"/>
      <c r="U207" s="67"/>
      <c r="V207" s="67"/>
      <c r="W207" s="67"/>
      <c r="X207" s="67"/>
      <c r="Y207" s="67"/>
      <c r="Z207" s="67"/>
    </row>
    <row r="208" spans="1:26" ht="14.25" hidden="1" customHeight="1" x14ac:dyDescent="0.2">
      <c r="A208" s="64">
        <v>207</v>
      </c>
      <c r="B208" s="64">
        <v>34002703</v>
      </c>
      <c r="C208" s="64" t="s">
        <v>589</v>
      </c>
      <c r="D208" s="64" t="s">
        <v>277</v>
      </c>
      <c r="E208" s="64" t="s">
        <v>587</v>
      </c>
      <c r="F208" s="64"/>
      <c r="G208" s="64"/>
      <c r="H208" s="64" t="s">
        <v>3575</v>
      </c>
      <c r="I208" s="64" t="s">
        <v>3662</v>
      </c>
      <c r="J208" s="67"/>
      <c r="K208" s="67"/>
      <c r="L208" s="67"/>
      <c r="M208" s="67"/>
      <c r="N208" s="67"/>
      <c r="O208" s="67"/>
      <c r="P208" s="67"/>
      <c r="Q208" s="67"/>
      <c r="R208" s="67"/>
      <c r="S208" s="67"/>
      <c r="T208" s="67"/>
      <c r="U208" s="67"/>
      <c r="V208" s="67"/>
      <c r="W208" s="67"/>
      <c r="X208" s="67"/>
      <c r="Y208" s="67"/>
      <c r="Z208" s="67"/>
    </row>
    <row r="209" spans="1:26" ht="14.25" hidden="1" customHeight="1" x14ac:dyDescent="0.2">
      <c r="A209" s="64">
        <v>208</v>
      </c>
      <c r="B209" s="64">
        <v>34002703</v>
      </c>
      <c r="C209" s="64" t="s">
        <v>589</v>
      </c>
      <c r="D209" s="64" t="s">
        <v>3705</v>
      </c>
      <c r="E209" s="64" t="s">
        <v>750</v>
      </c>
      <c r="F209" s="64"/>
      <c r="G209" s="64"/>
      <c r="H209" s="64" t="s">
        <v>3706</v>
      </c>
      <c r="I209" s="64" t="s">
        <v>3707</v>
      </c>
      <c r="J209" s="67"/>
      <c r="K209" s="67"/>
      <c r="L209" s="67"/>
      <c r="M209" s="67"/>
      <c r="N209" s="67"/>
      <c r="O209" s="67"/>
      <c r="P209" s="67"/>
      <c r="Q209" s="67"/>
      <c r="R209" s="67"/>
      <c r="S209" s="67"/>
      <c r="T209" s="67"/>
      <c r="U209" s="67"/>
      <c r="V209" s="67"/>
      <c r="W209" s="67"/>
      <c r="X209" s="67"/>
      <c r="Y209" s="67"/>
      <c r="Z209" s="67"/>
    </row>
    <row r="210" spans="1:26" ht="14.25" hidden="1" customHeight="1" x14ac:dyDescent="0.2">
      <c r="A210" s="328">
        <v>209</v>
      </c>
      <c r="B210" s="328">
        <v>56863904</v>
      </c>
      <c r="C210" s="328" t="s">
        <v>3686</v>
      </c>
      <c r="D210" s="328" t="s">
        <v>361</v>
      </c>
      <c r="E210" s="328" t="s">
        <v>587</v>
      </c>
      <c r="F210" s="328"/>
      <c r="G210" s="328"/>
      <c r="H210" s="328" t="s">
        <v>3708</v>
      </c>
      <c r="I210" s="328" t="s">
        <v>3709</v>
      </c>
      <c r="J210" s="67"/>
      <c r="K210" s="67"/>
      <c r="L210" s="67"/>
      <c r="M210" s="67"/>
      <c r="N210" s="67"/>
      <c r="O210" s="67"/>
      <c r="P210" s="67"/>
      <c r="Q210" s="67"/>
      <c r="R210" s="67"/>
      <c r="S210" s="67"/>
      <c r="T210" s="67"/>
      <c r="U210" s="67"/>
      <c r="V210" s="67"/>
      <c r="W210" s="67"/>
      <c r="X210" s="67"/>
      <c r="Y210" s="67"/>
      <c r="Z210" s="67"/>
    </row>
    <row r="211" spans="1:26" ht="14.25" hidden="1" customHeight="1" x14ac:dyDescent="0.2">
      <c r="A211" s="328">
        <v>210</v>
      </c>
      <c r="B211" s="325">
        <v>67537803</v>
      </c>
      <c r="C211" s="329" t="s">
        <v>4105</v>
      </c>
      <c r="D211" s="329" t="s">
        <v>4088</v>
      </c>
      <c r="E211" s="329" t="s">
        <v>587</v>
      </c>
      <c r="F211" s="328"/>
      <c r="G211" s="328"/>
      <c r="H211" s="329" t="s">
        <v>3562</v>
      </c>
      <c r="I211" s="329" t="s">
        <v>4106</v>
      </c>
      <c r="J211" s="67"/>
      <c r="K211" s="67"/>
      <c r="L211" s="67"/>
      <c r="M211" s="67"/>
      <c r="N211" s="67"/>
      <c r="O211" s="67"/>
      <c r="P211" s="67"/>
      <c r="Q211" s="67"/>
      <c r="R211" s="67"/>
      <c r="S211" s="67"/>
      <c r="T211" s="67"/>
      <c r="U211" s="67"/>
      <c r="V211" s="67"/>
      <c r="W211" s="67"/>
      <c r="X211" s="67"/>
      <c r="Y211" s="67"/>
      <c r="Z211" s="67"/>
    </row>
    <row r="212" spans="1:26" ht="14.25" hidden="1" customHeight="1" x14ac:dyDescent="0.2">
      <c r="A212" s="328">
        <v>211</v>
      </c>
      <c r="B212" s="328">
        <v>39230904</v>
      </c>
      <c r="C212" s="329" t="s">
        <v>4107</v>
      </c>
      <c r="D212" s="329" t="s">
        <v>4095</v>
      </c>
      <c r="E212" s="329" t="s">
        <v>587</v>
      </c>
      <c r="F212" s="328"/>
      <c r="G212" s="328"/>
      <c r="H212" s="329" t="s">
        <v>3527</v>
      </c>
      <c r="I212" s="329" t="s">
        <v>4108</v>
      </c>
      <c r="J212" s="67"/>
      <c r="K212" s="67"/>
      <c r="L212" s="67"/>
      <c r="M212" s="67"/>
      <c r="N212" s="67"/>
      <c r="O212" s="67"/>
      <c r="P212" s="67"/>
      <c r="Q212" s="67"/>
      <c r="R212" s="67"/>
      <c r="S212" s="67"/>
      <c r="T212" s="67"/>
      <c r="U212" s="67"/>
      <c r="V212" s="67"/>
      <c r="W212" s="67"/>
      <c r="X212" s="67"/>
      <c r="Y212" s="67"/>
      <c r="Z212" s="67"/>
    </row>
    <row r="213" spans="1:26" ht="14.25" hidden="1" customHeight="1" x14ac:dyDescent="0.2">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spans="1:26" ht="14.25" hidden="1" customHeight="1" x14ac:dyDescent="0.2">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spans="1:26" ht="14.25" hidden="1" customHeight="1" x14ac:dyDescent="0.2">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spans="1:26" ht="14.25" hidden="1" customHeight="1" x14ac:dyDescent="0.2">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spans="1:26" ht="14.25" hidden="1" customHeight="1" x14ac:dyDescent="0.2">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spans="1:26" ht="14.25" hidden="1" customHeight="1" x14ac:dyDescent="0.2">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spans="1:26" ht="14.25" hidden="1" customHeight="1" x14ac:dyDescent="0.2">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spans="1:26" ht="14.25" hidden="1" customHeight="1" x14ac:dyDescent="0.2">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spans="1:26" ht="14.25" hidden="1" customHeight="1" x14ac:dyDescent="0.2">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spans="1:26" ht="14.25" hidden="1" customHeight="1" x14ac:dyDescent="0.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spans="1:26" ht="14.25" hidden="1" customHeight="1" x14ac:dyDescent="0.2">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spans="1:26" ht="14.25" hidden="1" customHeight="1" x14ac:dyDescent="0.2">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spans="1:26" ht="14.25" hidden="1" customHeight="1" x14ac:dyDescent="0.2">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spans="1:26" ht="14.25" hidden="1" customHeight="1" x14ac:dyDescent="0.2">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spans="1:26" ht="14.25" hidden="1" customHeight="1" x14ac:dyDescent="0.2">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spans="1:26" ht="14.25" hidden="1" customHeight="1" x14ac:dyDescent="0.2">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spans="1:26" ht="14.25" hidden="1" customHeight="1" x14ac:dyDescent="0.2">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spans="1:26" ht="14.25" hidden="1" customHeight="1" x14ac:dyDescent="0.2">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ht="14.25" hidden="1" customHeight="1" x14ac:dyDescent="0.2">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spans="1:26" ht="14.25" hidden="1" customHeight="1" x14ac:dyDescent="0.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spans="1:26" ht="14.25" hidden="1" customHeight="1" x14ac:dyDescent="0.2">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spans="1:26" ht="14.25" hidden="1" customHeight="1" x14ac:dyDescent="0.2">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spans="1:26" ht="14.25" hidden="1" customHeight="1" x14ac:dyDescent="0.2">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spans="1:26" ht="14.25" hidden="1" customHeight="1" x14ac:dyDescent="0.2">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ht="14.25" hidden="1" customHeight="1" x14ac:dyDescent="0.2">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ht="14.25" hidden="1" customHeight="1" x14ac:dyDescent="0.2">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ht="14.25" hidden="1" customHeight="1" x14ac:dyDescent="0.2">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ht="14.25" hidden="1" customHeight="1" x14ac:dyDescent="0.2">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ht="14.25" hidden="1" customHeight="1" x14ac:dyDescent="0.2">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ht="14.25" hidden="1" customHeight="1" x14ac:dyDescent="0.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ht="14.25" hidden="1" customHeight="1" x14ac:dyDescent="0.2">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ht="14.25" hidden="1" customHeight="1" x14ac:dyDescent="0.2">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14.25" hidden="1" customHeight="1" x14ac:dyDescent="0.2">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14.25" hidden="1" customHeight="1" x14ac:dyDescent="0.2">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ht="14.25" hidden="1" customHeight="1" x14ac:dyDescent="0.2">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ht="14.25" hidden="1" customHeight="1" x14ac:dyDescent="0.2">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ht="14.25" hidden="1" customHeight="1" x14ac:dyDescent="0.2">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ht="14.25" hidden="1" customHeight="1" x14ac:dyDescent="0.2">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ht="14.25" hidden="1" customHeight="1" x14ac:dyDescent="0.2">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ht="14.25" hidden="1" customHeight="1" x14ac:dyDescent="0.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ht="14.25" hidden="1" customHeight="1" x14ac:dyDescent="0.2">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ht="14.25" hidden="1" customHeight="1" x14ac:dyDescent="0.2">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4.25" hidden="1" customHeight="1" x14ac:dyDescent="0.2">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4.25" hidden="1" customHeight="1" x14ac:dyDescent="0.2">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4.25" hidden="1" customHeight="1" x14ac:dyDescent="0.2">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4.25" hidden="1" customHeight="1" x14ac:dyDescent="0.2">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4.25" hidden="1" customHeight="1" x14ac:dyDescent="0.2">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4.25" hidden="1" customHeight="1" x14ac:dyDescent="0.2">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4.25" hidden="1" customHeight="1" x14ac:dyDescent="0.2">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4.25" hidden="1" customHeight="1" x14ac:dyDescent="0.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4.25" hidden="1" customHeight="1" x14ac:dyDescent="0.2">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4.25" hidden="1" customHeight="1" x14ac:dyDescent="0.2">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4.25" hidden="1" customHeight="1" x14ac:dyDescent="0.2">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4.25" hidden="1" customHeight="1" x14ac:dyDescent="0.2">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4.25" hidden="1" customHeight="1" x14ac:dyDescent="0.2">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4.25" hidden="1" customHeight="1" x14ac:dyDescent="0.2">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4.25" hidden="1" customHeight="1" x14ac:dyDescent="0.2">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4.25" hidden="1" customHeight="1" x14ac:dyDescent="0.2">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4.25" hidden="1" customHeight="1" x14ac:dyDescent="0.2">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4.25" hidden="1" customHeight="1" x14ac:dyDescent="0.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4.25" hidden="1" customHeight="1" x14ac:dyDescent="0.2">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4.25" hidden="1" customHeight="1" x14ac:dyDescent="0.2">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4.25" hidden="1" customHeight="1" x14ac:dyDescent="0.2">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hidden="1" customHeight="1" x14ac:dyDescent="0.2">
      <c r="B276" s="67"/>
    </row>
    <row r="277" spans="1:26" ht="15.75" hidden="1" customHeight="1" x14ac:dyDescent="0.2">
      <c r="B277" s="67"/>
    </row>
    <row r="278" spans="1:26" ht="15.75" hidden="1" customHeight="1" x14ac:dyDescent="0.2">
      <c r="B278" s="67"/>
    </row>
    <row r="279" spans="1:26" ht="15.75" hidden="1" customHeight="1" x14ac:dyDescent="0.2">
      <c r="B279" s="67"/>
    </row>
    <row r="280" spans="1:26" ht="15.75" hidden="1" customHeight="1" x14ac:dyDescent="0.2">
      <c r="B280" s="67"/>
    </row>
    <row r="281" spans="1:26" ht="15.75" hidden="1" customHeight="1" x14ac:dyDescent="0.2">
      <c r="B281" s="67"/>
    </row>
    <row r="282" spans="1:26" ht="15.75" hidden="1" customHeight="1" x14ac:dyDescent="0.2">
      <c r="B282" s="67"/>
    </row>
    <row r="283" spans="1:26" ht="15.75" hidden="1" customHeight="1" x14ac:dyDescent="0.2">
      <c r="B283" s="67"/>
    </row>
    <row r="284" spans="1:26" ht="15.75" hidden="1" customHeight="1" x14ac:dyDescent="0.2">
      <c r="B284" s="67"/>
    </row>
    <row r="285" spans="1:26" ht="15.75" hidden="1" customHeight="1" x14ac:dyDescent="0.2">
      <c r="B285" s="67"/>
    </row>
    <row r="286" spans="1:26" ht="15.75" hidden="1" customHeight="1" x14ac:dyDescent="0.2">
      <c r="B286" s="67"/>
    </row>
    <row r="287" spans="1:26" ht="15.75" hidden="1" customHeight="1" x14ac:dyDescent="0.2">
      <c r="B287" s="67"/>
    </row>
    <row r="288" spans="1:26" ht="15.75" hidden="1" customHeight="1" x14ac:dyDescent="0.2">
      <c r="B288" s="67"/>
    </row>
    <row r="289" spans="2:2" ht="15.75" hidden="1" customHeight="1" x14ac:dyDescent="0.2">
      <c r="B289" s="67"/>
    </row>
    <row r="290" spans="2:2" ht="15.75" hidden="1" customHeight="1" x14ac:dyDescent="0.2">
      <c r="B290" s="67"/>
    </row>
    <row r="291" spans="2:2" ht="15.75" hidden="1" customHeight="1" x14ac:dyDescent="0.2">
      <c r="B291" s="67"/>
    </row>
    <row r="292" spans="2:2" ht="15.75" hidden="1" customHeight="1" x14ac:dyDescent="0.2">
      <c r="B292" s="67"/>
    </row>
    <row r="293" spans="2:2" ht="15.75" hidden="1" customHeight="1" x14ac:dyDescent="0.2">
      <c r="B293" s="67"/>
    </row>
    <row r="294" spans="2:2" ht="15.75" hidden="1" customHeight="1" x14ac:dyDescent="0.2">
      <c r="B294" s="67"/>
    </row>
    <row r="295" spans="2:2" ht="15.75" hidden="1" customHeight="1" x14ac:dyDescent="0.2">
      <c r="B295" s="67"/>
    </row>
    <row r="296" spans="2:2" ht="15.75" hidden="1" customHeight="1" x14ac:dyDescent="0.2">
      <c r="B296" s="67"/>
    </row>
    <row r="297" spans="2:2" ht="15.75" hidden="1" customHeight="1" x14ac:dyDescent="0.2">
      <c r="B297" s="67"/>
    </row>
    <row r="298" spans="2:2" ht="15.75" hidden="1" customHeight="1" x14ac:dyDescent="0.2">
      <c r="B298" s="67"/>
    </row>
    <row r="299" spans="2:2" ht="15.75" hidden="1" customHeight="1" x14ac:dyDescent="0.2">
      <c r="B299" s="67"/>
    </row>
    <row r="300" spans="2:2" ht="15.75" hidden="1" customHeight="1" x14ac:dyDescent="0.2">
      <c r="B300" s="67"/>
    </row>
    <row r="301" spans="2:2" ht="15.75" hidden="1" customHeight="1" x14ac:dyDescent="0.2">
      <c r="B301" s="67"/>
    </row>
    <row r="302" spans="2:2" ht="15.75" hidden="1" customHeight="1" x14ac:dyDescent="0.2">
      <c r="B302" s="67"/>
    </row>
    <row r="303" spans="2:2" ht="15.75" hidden="1" customHeight="1" x14ac:dyDescent="0.2">
      <c r="B303" s="67"/>
    </row>
    <row r="304" spans="2:2" ht="15.75" hidden="1" customHeight="1" x14ac:dyDescent="0.2">
      <c r="B304" s="67"/>
    </row>
    <row r="305" spans="2:2" ht="15.75" hidden="1" customHeight="1" x14ac:dyDescent="0.2">
      <c r="B305" s="67"/>
    </row>
    <row r="306" spans="2:2" ht="15.75" hidden="1" customHeight="1" x14ac:dyDescent="0.2">
      <c r="B306" s="67"/>
    </row>
    <row r="307" spans="2:2" ht="15.75" hidden="1" customHeight="1" x14ac:dyDescent="0.2">
      <c r="B307" s="67"/>
    </row>
    <row r="308" spans="2:2" ht="15.75" hidden="1" customHeight="1" x14ac:dyDescent="0.2">
      <c r="B308" s="67"/>
    </row>
    <row r="309" spans="2:2" ht="15.75" hidden="1" customHeight="1" x14ac:dyDescent="0.2">
      <c r="B309" s="67"/>
    </row>
    <row r="310" spans="2:2" ht="15.75" hidden="1" customHeight="1" x14ac:dyDescent="0.2">
      <c r="B310" s="67"/>
    </row>
    <row r="311" spans="2:2" ht="15.75" hidden="1" customHeight="1" x14ac:dyDescent="0.2">
      <c r="B311" s="67"/>
    </row>
    <row r="312" spans="2:2" ht="15.75" hidden="1" customHeight="1" x14ac:dyDescent="0.2">
      <c r="B312" s="67"/>
    </row>
    <row r="313" spans="2:2" ht="15.75" hidden="1" customHeight="1" x14ac:dyDescent="0.2">
      <c r="B313" s="67"/>
    </row>
    <row r="314" spans="2:2" ht="15.75" hidden="1" customHeight="1" x14ac:dyDescent="0.2">
      <c r="B314" s="67"/>
    </row>
    <row r="315" spans="2:2" ht="15.75" hidden="1" customHeight="1" x14ac:dyDescent="0.2">
      <c r="B315" s="67"/>
    </row>
    <row r="316" spans="2:2" ht="15.75" hidden="1" customHeight="1" x14ac:dyDescent="0.2">
      <c r="B316" s="67"/>
    </row>
    <row r="317" spans="2:2" ht="15.75" hidden="1" customHeight="1" x14ac:dyDescent="0.2">
      <c r="B317" s="67"/>
    </row>
    <row r="318" spans="2:2" ht="15.75" hidden="1" customHeight="1" x14ac:dyDescent="0.2">
      <c r="B318" s="67"/>
    </row>
    <row r="319" spans="2:2" ht="15.75" hidden="1" customHeight="1" x14ac:dyDescent="0.2">
      <c r="B319" s="67"/>
    </row>
    <row r="320" spans="2:2" ht="15.75" hidden="1" customHeight="1" x14ac:dyDescent="0.2">
      <c r="B320" s="67"/>
    </row>
    <row r="321" spans="2:2" ht="15.75" hidden="1" customHeight="1" x14ac:dyDescent="0.2">
      <c r="B321" s="67"/>
    </row>
    <row r="322" spans="2:2" ht="15.75" hidden="1" customHeight="1" x14ac:dyDescent="0.2">
      <c r="B322" s="67"/>
    </row>
    <row r="323" spans="2:2" ht="15.75" hidden="1" customHeight="1" x14ac:dyDescent="0.2">
      <c r="B323" s="67"/>
    </row>
    <row r="324" spans="2:2" ht="15.75" hidden="1" customHeight="1" x14ac:dyDescent="0.2">
      <c r="B324" s="67"/>
    </row>
    <row r="325" spans="2:2" ht="15.75" hidden="1" customHeight="1" x14ac:dyDescent="0.2">
      <c r="B325" s="67"/>
    </row>
    <row r="326" spans="2:2" ht="15.75" hidden="1" customHeight="1" x14ac:dyDescent="0.2">
      <c r="B326" s="67"/>
    </row>
    <row r="327" spans="2:2" ht="15.75" hidden="1" customHeight="1" x14ac:dyDescent="0.2">
      <c r="B327" s="67"/>
    </row>
    <row r="328" spans="2:2" ht="15.75" hidden="1" customHeight="1" x14ac:dyDescent="0.2">
      <c r="B328" s="67"/>
    </row>
    <row r="329" spans="2:2" ht="15.75" hidden="1" customHeight="1" x14ac:dyDescent="0.2">
      <c r="B329" s="67"/>
    </row>
    <row r="330" spans="2:2" ht="15.75" hidden="1" customHeight="1" x14ac:dyDescent="0.2">
      <c r="B330" s="67"/>
    </row>
    <row r="331" spans="2:2" ht="15.75" hidden="1" customHeight="1" x14ac:dyDescent="0.2">
      <c r="B331" s="67"/>
    </row>
    <row r="332" spans="2:2" ht="15.75" hidden="1" customHeight="1" x14ac:dyDescent="0.2">
      <c r="B332" s="67"/>
    </row>
    <row r="333" spans="2:2" ht="15.75" hidden="1" customHeight="1" x14ac:dyDescent="0.2">
      <c r="B333" s="67"/>
    </row>
    <row r="334" spans="2:2" ht="15.75" hidden="1" customHeight="1" x14ac:dyDescent="0.2">
      <c r="B334" s="67"/>
    </row>
    <row r="335" spans="2:2" ht="15.75" hidden="1" customHeight="1" x14ac:dyDescent="0.2">
      <c r="B335" s="67"/>
    </row>
    <row r="336" spans="2:2" ht="15.75" hidden="1" customHeight="1" x14ac:dyDescent="0.2">
      <c r="B336" s="67"/>
    </row>
    <row r="337" spans="2:2" ht="15.75" hidden="1" customHeight="1" x14ac:dyDescent="0.2">
      <c r="B337" s="67"/>
    </row>
    <row r="338" spans="2:2" ht="15.75" hidden="1" customHeight="1" x14ac:dyDescent="0.2">
      <c r="B338" s="67"/>
    </row>
    <row r="339" spans="2:2" ht="15.75" hidden="1" customHeight="1" x14ac:dyDescent="0.2">
      <c r="B339" s="67"/>
    </row>
    <row r="340" spans="2:2" ht="15.75" hidden="1" customHeight="1" x14ac:dyDescent="0.2">
      <c r="B340" s="67"/>
    </row>
    <row r="341" spans="2:2" ht="15.75" hidden="1" customHeight="1" x14ac:dyDescent="0.2">
      <c r="B341" s="67"/>
    </row>
    <row r="342" spans="2:2" ht="15.75" hidden="1" customHeight="1" x14ac:dyDescent="0.2">
      <c r="B342" s="67"/>
    </row>
    <row r="343" spans="2:2" ht="15.75" hidden="1" customHeight="1" x14ac:dyDescent="0.2">
      <c r="B343" s="67"/>
    </row>
    <row r="344" spans="2:2" ht="15.75" hidden="1" customHeight="1" x14ac:dyDescent="0.2">
      <c r="B344" s="67"/>
    </row>
    <row r="345" spans="2:2" ht="15.75" hidden="1" customHeight="1" x14ac:dyDescent="0.2">
      <c r="B345" s="67"/>
    </row>
    <row r="346" spans="2:2" ht="15.75" hidden="1" customHeight="1" x14ac:dyDescent="0.2">
      <c r="B346" s="67"/>
    </row>
    <row r="347" spans="2:2" ht="15.75" hidden="1" customHeight="1" x14ac:dyDescent="0.2">
      <c r="B347" s="67"/>
    </row>
    <row r="348" spans="2:2" ht="15.75" hidden="1" customHeight="1" x14ac:dyDescent="0.2">
      <c r="B348" s="67"/>
    </row>
    <row r="349" spans="2:2" ht="15.75" hidden="1" customHeight="1" x14ac:dyDescent="0.2">
      <c r="B349" s="67"/>
    </row>
    <row r="350" spans="2:2" ht="15.75" hidden="1" customHeight="1" x14ac:dyDescent="0.2">
      <c r="B350" s="67"/>
    </row>
    <row r="351" spans="2:2" ht="15.75" hidden="1" customHeight="1" x14ac:dyDescent="0.2">
      <c r="B351" s="67"/>
    </row>
    <row r="352" spans="2:2" ht="15.75" hidden="1" customHeight="1" x14ac:dyDescent="0.2">
      <c r="B352" s="67"/>
    </row>
    <row r="353" spans="2:2" ht="15.75" hidden="1" customHeight="1" x14ac:dyDescent="0.2">
      <c r="B353" s="67"/>
    </row>
    <row r="354" spans="2:2" ht="15.75" hidden="1" customHeight="1" x14ac:dyDescent="0.2">
      <c r="B354" s="67"/>
    </row>
    <row r="355" spans="2:2" ht="15.75" hidden="1" customHeight="1" x14ac:dyDescent="0.2">
      <c r="B355" s="67"/>
    </row>
    <row r="356" spans="2:2" ht="15.75" hidden="1" customHeight="1" x14ac:dyDescent="0.2">
      <c r="B356" s="67"/>
    </row>
    <row r="357" spans="2:2" ht="15.75" hidden="1" customHeight="1" x14ac:dyDescent="0.2">
      <c r="B357" s="67"/>
    </row>
    <row r="358" spans="2:2" ht="15.75" hidden="1" customHeight="1" x14ac:dyDescent="0.2">
      <c r="B358" s="67"/>
    </row>
    <row r="359" spans="2:2" ht="15.75" hidden="1" customHeight="1" x14ac:dyDescent="0.2">
      <c r="B359" s="67"/>
    </row>
    <row r="360" spans="2:2" ht="15.75" hidden="1" customHeight="1" x14ac:dyDescent="0.2">
      <c r="B360" s="67"/>
    </row>
    <row r="361" spans="2:2" ht="15.75" hidden="1" customHeight="1" x14ac:dyDescent="0.2">
      <c r="B361" s="67"/>
    </row>
    <row r="362" spans="2:2" ht="15.75" hidden="1" customHeight="1" x14ac:dyDescent="0.2">
      <c r="B362" s="67"/>
    </row>
    <row r="363" spans="2:2" ht="15.75" hidden="1" customHeight="1" x14ac:dyDescent="0.2">
      <c r="B363" s="67"/>
    </row>
    <row r="364" spans="2:2" ht="15.75" hidden="1" customHeight="1" x14ac:dyDescent="0.2">
      <c r="B364" s="67"/>
    </row>
    <row r="365" spans="2:2" ht="15.75" hidden="1" customHeight="1" x14ac:dyDescent="0.2">
      <c r="B365" s="67"/>
    </row>
    <row r="366" spans="2:2" ht="15.75" hidden="1" customHeight="1" x14ac:dyDescent="0.2">
      <c r="B366" s="67"/>
    </row>
    <row r="367" spans="2:2" ht="15.75" hidden="1" customHeight="1" x14ac:dyDescent="0.2">
      <c r="B367" s="67"/>
    </row>
    <row r="368" spans="2:2" ht="15.75" hidden="1" customHeight="1" x14ac:dyDescent="0.2">
      <c r="B368" s="67"/>
    </row>
    <row r="369" spans="2:2" ht="15.75" hidden="1" customHeight="1" x14ac:dyDescent="0.2">
      <c r="B369" s="67"/>
    </row>
    <row r="370" spans="2:2" ht="15.75" hidden="1" customHeight="1" x14ac:dyDescent="0.2">
      <c r="B370" s="67"/>
    </row>
    <row r="371" spans="2:2" ht="15.75" hidden="1" customHeight="1" x14ac:dyDescent="0.2">
      <c r="B371" s="67"/>
    </row>
    <row r="372" spans="2:2" ht="15.75" hidden="1" customHeight="1" x14ac:dyDescent="0.2">
      <c r="B372" s="67"/>
    </row>
    <row r="373" spans="2:2" ht="15.75" hidden="1" customHeight="1" x14ac:dyDescent="0.2">
      <c r="B373" s="67"/>
    </row>
    <row r="374" spans="2:2" ht="15.75" hidden="1" customHeight="1" x14ac:dyDescent="0.2">
      <c r="B374" s="67"/>
    </row>
    <row r="375" spans="2:2" ht="15.75" hidden="1" customHeight="1" x14ac:dyDescent="0.2">
      <c r="B375" s="67"/>
    </row>
    <row r="376" spans="2:2" ht="15.75" hidden="1" customHeight="1" x14ac:dyDescent="0.2">
      <c r="B376" s="67"/>
    </row>
    <row r="377" spans="2:2" ht="15.75" hidden="1" customHeight="1" x14ac:dyDescent="0.2">
      <c r="B377" s="67"/>
    </row>
    <row r="378" spans="2:2" ht="15.75" hidden="1" customHeight="1" x14ac:dyDescent="0.2">
      <c r="B378" s="67"/>
    </row>
    <row r="379" spans="2:2" ht="15.75" hidden="1" customHeight="1" x14ac:dyDescent="0.2">
      <c r="B379" s="67"/>
    </row>
    <row r="380" spans="2:2" ht="15.75" hidden="1" customHeight="1" x14ac:dyDescent="0.2">
      <c r="B380" s="67"/>
    </row>
    <row r="381" spans="2:2" ht="15.75" hidden="1" customHeight="1" x14ac:dyDescent="0.2">
      <c r="B381" s="67"/>
    </row>
    <row r="382" spans="2:2" ht="15.75" hidden="1" customHeight="1" x14ac:dyDescent="0.2">
      <c r="B382" s="67"/>
    </row>
    <row r="383" spans="2:2" ht="13.5" hidden="1" customHeight="1" x14ac:dyDescent="0.2">
      <c r="B383" s="67"/>
    </row>
    <row r="384" spans="2:2" ht="13.5" hidden="1" customHeight="1" x14ac:dyDescent="0.2">
      <c r="B384" s="67"/>
    </row>
    <row r="385" spans="2:2" ht="13.5" hidden="1" customHeight="1" x14ac:dyDescent="0.2">
      <c r="B385" s="67"/>
    </row>
    <row r="386" spans="2:2" ht="13.5" hidden="1" customHeight="1" x14ac:dyDescent="0.2">
      <c r="B386" s="67"/>
    </row>
    <row r="387" spans="2:2" ht="13.5" hidden="1" customHeight="1" x14ac:dyDescent="0.2">
      <c r="B387" s="67"/>
    </row>
    <row r="388" spans="2:2" ht="13.5" hidden="1" customHeight="1" x14ac:dyDescent="0.2">
      <c r="B388" s="67"/>
    </row>
    <row r="389" spans="2:2" ht="13.5" hidden="1" customHeight="1" x14ac:dyDescent="0.2">
      <c r="B389" s="67"/>
    </row>
    <row r="390" spans="2:2" ht="13.5" hidden="1" customHeight="1" x14ac:dyDescent="0.2">
      <c r="B390" s="67"/>
    </row>
    <row r="391" spans="2:2" ht="13.5" hidden="1" customHeight="1" x14ac:dyDescent="0.2">
      <c r="B391" s="67"/>
    </row>
    <row r="392" spans="2:2" ht="13.5" hidden="1" customHeight="1" x14ac:dyDescent="0.2">
      <c r="B392" s="67"/>
    </row>
    <row r="393" spans="2:2" ht="13.5" hidden="1" customHeight="1" x14ac:dyDescent="0.2">
      <c r="B393" s="67"/>
    </row>
    <row r="394" spans="2:2" ht="13.5" hidden="1" customHeight="1" x14ac:dyDescent="0.2">
      <c r="B394" s="67"/>
    </row>
    <row r="395" spans="2:2" ht="13.5" hidden="1" customHeight="1" x14ac:dyDescent="0.2">
      <c r="B395" s="67"/>
    </row>
    <row r="396" spans="2:2" ht="13.5" hidden="1" customHeight="1" x14ac:dyDescent="0.2">
      <c r="B396" s="67"/>
    </row>
    <row r="397" spans="2:2" ht="13.5" hidden="1" customHeight="1" x14ac:dyDescent="0.2">
      <c r="B397" s="67"/>
    </row>
    <row r="398" spans="2:2" ht="13.5" hidden="1" customHeight="1" x14ac:dyDescent="0.2">
      <c r="B398" s="67"/>
    </row>
    <row r="399" spans="2:2" ht="13.5" hidden="1" customHeight="1" x14ac:dyDescent="0.2">
      <c r="B399" s="67"/>
    </row>
    <row r="400" spans="2:2" ht="13.5" hidden="1" customHeight="1" x14ac:dyDescent="0.2">
      <c r="B400" s="67"/>
    </row>
    <row r="401" spans="2:2" ht="13.5" hidden="1" customHeight="1" x14ac:dyDescent="0.2">
      <c r="B401" s="67"/>
    </row>
    <row r="402" spans="2:2" ht="13.5" hidden="1" customHeight="1" x14ac:dyDescent="0.2">
      <c r="B402" s="67"/>
    </row>
    <row r="403" spans="2:2" ht="13.5" hidden="1" customHeight="1" x14ac:dyDescent="0.2">
      <c r="B403" s="67"/>
    </row>
    <row r="404" spans="2:2" ht="13.5" hidden="1" customHeight="1" x14ac:dyDescent="0.2">
      <c r="B404" s="67"/>
    </row>
    <row r="405" spans="2:2" ht="13.5" hidden="1" customHeight="1" x14ac:dyDescent="0.2">
      <c r="B405" s="67"/>
    </row>
    <row r="406" spans="2:2" ht="13.5" hidden="1" customHeight="1" x14ac:dyDescent="0.2">
      <c r="B406" s="67"/>
    </row>
    <row r="407" spans="2:2" ht="13.5" hidden="1" customHeight="1" x14ac:dyDescent="0.2">
      <c r="B407" s="67"/>
    </row>
    <row r="408" spans="2:2" ht="13.5" hidden="1" customHeight="1" x14ac:dyDescent="0.2">
      <c r="B408" s="67"/>
    </row>
    <row r="409" spans="2:2" ht="13.5" hidden="1" customHeight="1" x14ac:dyDescent="0.2">
      <c r="B409" s="67"/>
    </row>
    <row r="410" spans="2:2" ht="13.5" hidden="1" customHeight="1" x14ac:dyDescent="0.2">
      <c r="B410" s="67"/>
    </row>
    <row r="411" spans="2:2" ht="13.5" hidden="1" customHeight="1" x14ac:dyDescent="0.2">
      <c r="B411" s="67"/>
    </row>
    <row r="412" spans="2:2" ht="13.5" hidden="1" customHeight="1" x14ac:dyDescent="0.2">
      <c r="B412" s="67"/>
    </row>
    <row r="413" spans="2:2" ht="13.5" hidden="1" customHeight="1" x14ac:dyDescent="0.2">
      <c r="B413" s="67"/>
    </row>
    <row r="414" spans="2:2" ht="13.5" hidden="1" customHeight="1" x14ac:dyDescent="0.2">
      <c r="B414" s="67"/>
    </row>
    <row r="415" spans="2:2" ht="13.5" hidden="1" customHeight="1" x14ac:dyDescent="0.2">
      <c r="B415" s="67"/>
    </row>
    <row r="416" spans="2:2" ht="13.5" hidden="1" customHeight="1" x14ac:dyDescent="0.2">
      <c r="B416" s="67"/>
    </row>
    <row r="417" spans="2:2" ht="13.5" hidden="1" customHeight="1" x14ac:dyDescent="0.2">
      <c r="B417" s="67"/>
    </row>
    <row r="418" spans="2:2" ht="13.5" hidden="1" customHeight="1" x14ac:dyDescent="0.2">
      <c r="B418" s="67"/>
    </row>
    <row r="419" spans="2:2" ht="13.5" hidden="1" customHeight="1" x14ac:dyDescent="0.2">
      <c r="B419" s="67"/>
    </row>
    <row r="420" spans="2:2" ht="13.5" hidden="1" customHeight="1" x14ac:dyDescent="0.2">
      <c r="B420" s="67"/>
    </row>
    <row r="421" spans="2:2" ht="13.5" hidden="1" customHeight="1" x14ac:dyDescent="0.2">
      <c r="B421" s="67"/>
    </row>
    <row r="422" spans="2:2" ht="13.5" hidden="1" customHeight="1" x14ac:dyDescent="0.2">
      <c r="B422" s="67"/>
    </row>
    <row r="423" spans="2:2" ht="13.5" hidden="1" customHeight="1" x14ac:dyDescent="0.2">
      <c r="B423" s="67"/>
    </row>
    <row r="424" spans="2:2" ht="13.5" hidden="1" customHeight="1" x14ac:dyDescent="0.2">
      <c r="B424" s="67"/>
    </row>
    <row r="425" spans="2:2" ht="13.5" hidden="1" customHeight="1" x14ac:dyDescent="0.2">
      <c r="B425" s="67"/>
    </row>
    <row r="426" spans="2:2" ht="13.5" hidden="1" customHeight="1" x14ac:dyDescent="0.2">
      <c r="B426" s="67"/>
    </row>
    <row r="427" spans="2:2" ht="13.5" hidden="1" customHeight="1" x14ac:dyDescent="0.2">
      <c r="B427" s="67"/>
    </row>
    <row r="428" spans="2:2" ht="13.5" hidden="1" customHeight="1" x14ac:dyDescent="0.2">
      <c r="B428" s="67"/>
    </row>
    <row r="429" spans="2:2" ht="13.5" hidden="1" customHeight="1" x14ac:dyDescent="0.2">
      <c r="B429" s="67"/>
    </row>
    <row r="430" spans="2:2" ht="13.5" hidden="1" customHeight="1" x14ac:dyDescent="0.2">
      <c r="B430" s="67"/>
    </row>
    <row r="431" spans="2:2" ht="13.5" hidden="1" customHeight="1" x14ac:dyDescent="0.2">
      <c r="B431" s="67"/>
    </row>
    <row r="432" spans="2:2" ht="13.5" hidden="1" customHeight="1" x14ac:dyDescent="0.2">
      <c r="B432" s="67"/>
    </row>
    <row r="433" spans="2:2" ht="13.5" hidden="1" customHeight="1" x14ac:dyDescent="0.2">
      <c r="B433" s="67"/>
    </row>
    <row r="434" spans="2:2" ht="13.5" hidden="1" customHeight="1" x14ac:dyDescent="0.2">
      <c r="B434" s="67"/>
    </row>
    <row r="435" spans="2:2" ht="13.5" hidden="1" customHeight="1" x14ac:dyDescent="0.2">
      <c r="B435" s="67"/>
    </row>
    <row r="436" spans="2:2" ht="13.5" hidden="1" customHeight="1" x14ac:dyDescent="0.2">
      <c r="B436" s="67"/>
    </row>
    <row r="437" spans="2:2" ht="13.5" hidden="1" customHeight="1" x14ac:dyDescent="0.2">
      <c r="B437" s="67"/>
    </row>
    <row r="438" spans="2:2" ht="13.5" hidden="1" customHeight="1" x14ac:dyDescent="0.2">
      <c r="B438" s="67"/>
    </row>
    <row r="439" spans="2:2" ht="13.5" hidden="1" customHeight="1" x14ac:dyDescent="0.2">
      <c r="B439" s="67"/>
    </row>
    <row r="440" spans="2:2" ht="13.5" hidden="1" customHeight="1" x14ac:dyDescent="0.2">
      <c r="B440" s="67"/>
    </row>
    <row r="441" spans="2:2" ht="13.5" hidden="1" customHeight="1" x14ac:dyDescent="0.2">
      <c r="B441" s="67"/>
    </row>
    <row r="442" spans="2:2" ht="13.5" hidden="1" customHeight="1" x14ac:dyDescent="0.2">
      <c r="B442" s="67"/>
    </row>
    <row r="443" spans="2:2" ht="13.5" hidden="1" customHeight="1" x14ac:dyDescent="0.2">
      <c r="B443" s="67"/>
    </row>
    <row r="444" spans="2:2" ht="13.5" hidden="1" customHeight="1" x14ac:dyDescent="0.2">
      <c r="B444" s="67"/>
    </row>
    <row r="445" spans="2:2" ht="13.5" hidden="1" customHeight="1" x14ac:dyDescent="0.2">
      <c r="B445" s="67"/>
    </row>
    <row r="446" spans="2:2" ht="13.5" hidden="1" customHeight="1" x14ac:dyDescent="0.2">
      <c r="B446" s="67"/>
    </row>
    <row r="447" spans="2:2" ht="13.5" hidden="1" customHeight="1" x14ac:dyDescent="0.2">
      <c r="B447" s="67"/>
    </row>
    <row r="448" spans="2:2" ht="13.5" hidden="1" customHeight="1" x14ac:dyDescent="0.2">
      <c r="B448" s="67"/>
    </row>
    <row r="449" spans="2:2" ht="13.5" hidden="1" customHeight="1" x14ac:dyDescent="0.2">
      <c r="B449" s="67"/>
    </row>
    <row r="450" spans="2:2" ht="13.5" hidden="1" customHeight="1" x14ac:dyDescent="0.2">
      <c r="B450" s="67"/>
    </row>
    <row r="451" spans="2:2" ht="13.5" hidden="1" customHeight="1" x14ac:dyDescent="0.2">
      <c r="B451" s="67"/>
    </row>
    <row r="452" spans="2:2" ht="13.5" hidden="1" customHeight="1" x14ac:dyDescent="0.2">
      <c r="B452" s="67"/>
    </row>
    <row r="453" spans="2:2" ht="13.5" hidden="1" customHeight="1" x14ac:dyDescent="0.2">
      <c r="B453" s="67"/>
    </row>
    <row r="454" spans="2:2" ht="13.5" hidden="1" customHeight="1" x14ac:dyDescent="0.2">
      <c r="B454" s="67"/>
    </row>
    <row r="455" spans="2:2" ht="13.5" hidden="1" customHeight="1" x14ac:dyDescent="0.2">
      <c r="B455" s="67"/>
    </row>
    <row r="456" spans="2:2" ht="13.5" hidden="1" customHeight="1" x14ac:dyDescent="0.2">
      <c r="B456" s="67"/>
    </row>
    <row r="457" spans="2:2" ht="13.5" hidden="1" customHeight="1" x14ac:dyDescent="0.2">
      <c r="B457" s="67"/>
    </row>
    <row r="458" spans="2:2" ht="13.5" hidden="1" customHeight="1" x14ac:dyDescent="0.2">
      <c r="B458" s="67"/>
    </row>
    <row r="459" spans="2:2" ht="13.5" hidden="1" customHeight="1" x14ac:dyDescent="0.2">
      <c r="B459" s="67"/>
    </row>
    <row r="460" spans="2:2" ht="13.5" hidden="1" customHeight="1" x14ac:dyDescent="0.2">
      <c r="B460" s="67"/>
    </row>
    <row r="461" spans="2:2" ht="13.5" hidden="1" customHeight="1" x14ac:dyDescent="0.2">
      <c r="B461" s="67"/>
    </row>
    <row r="462" spans="2:2" ht="13.5" hidden="1" customHeight="1" x14ac:dyDescent="0.2">
      <c r="B462" s="67"/>
    </row>
    <row r="463" spans="2:2" ht="13.5" hidden="1" customHeight="1" x14ac:dyDescent="0.2">
      <c r="B463" s="67"/>
    </row>
    <row r="464" spans="2:2" ht="13.5" hidden="1" customHeight="1" x14ac:dyDescent="0.2">
      <c r="B464" s="67"/>
    </row>
    <row r="465" spans="2:2" ht="13.5" hidden="1" customHeight="1" x14ac:dyDescent="0.2">
      <c r="B465" s="67"/>
    </row>
    <row r="466" spans="2:2" ht="13.5" hidden="1" customHeight="1" x14ac:dyDescent="0.2">
      <c r="B466" s="67"/>
    </row>
    <row r="467" spans="2:2" ht="13.5" hidden="1" customHeight="1" x14ac:dyDescent="0.2">
      <c r="B467" s="67"/>
    </row>
    <row r="468" spans="2:2" ht="13.5" hidden="1" customHeight="1" x14ac:dyDescent="0.2">
      <c r="B468" s="67"/>
    </row>
    <row r="469" spans="2:2" ht="13.5" hidden="1" customHeight="1" x14ac:dyDescent="0.2">
      <c r="B469" s="67"/>
    </row>
    <row r="470" spans="2:2" ht="13.5" hidden="1" customHeight="1" x14ac:dyDescent="0.2">
      <c r="B470" s="67"/>
    </row>
    <row r="471" spans="2:2" ht="13.5" hidden="1" customHeight="1" x14ac:dyDescent="0.2">
      <c r="B471" s="67"/>
    </row>
    <row r="472" spans="2:2" ht="13.5" hidden="1" customHeight="1" x14ac:dyDescent="0.2">
      <c r="B472" s="67"/>
    </row>
    <row r="473" spans="2:2" ht="13.5" hidden="1" customHeight="1" x14ac:dyDescent="0.2">
      <c r="B473" s="67"/>
    </row>
    <row r="474" spans="2:2" ht="13.5" hidden="1" customHeight="1" x14ac:dyDescent="0.2">
      <c r="B474" s="67"/>
    </row>
    <row r="475" spans="2:2" ht="13.5" hidden="1" customHeight="1" x14ac:dyDescent="0.2">
      <c r="B475" s="67"/>
    </row>
    <row r="476" spans="2:2" ht="13.5" hidden="1" customHeight="1" x14ac:dyDescent="0.2">
      <c r="B476" s="67"/>
    </row>
    <row r="477" spans="2:2" ht="13.5" hidden="1" customHeight="1" x14ac:dyDescent="0.2">
      <c r="B477" s="67"/>
    </row>
    <row r="478" spans="2:2" ht="13.5" hidden="1" customHeight="1" x14ac:dyDescent="0.2">
      <c r="B478" s="67"/>
    </row>
    <row r="479" spans="2:2" ht="13.5" hidden="1" customHeight="1" x14ac:dyDescent="0.2">
      <c r="B479" s="67"/>
    </row>
    <row r="480" spans="2:2" ht="13.5" hidden="1" customHeight="1" x14ac:dyDescent="0.2">
      <c r="B480" s="67"/>
    </row>
    <row r="481" spans="2:2" ht="13.5" hidden="1" customHeight="1" x14ac:dyDescent="0.2">
      <c r="B481" s="67"/>
    </row>
    <row r="482" spans="2:2" ht="13.5" hidden="1" customHeight="1" x14ac:dyDescent="0.2">
      <c r="B482" s="67"/>
    </row>
    <row r="483" spans="2:2" ht="13.5" hidden="1" customHeight="1" x14ac:dyDescent="0.2">
      <c r="B483" s="67"/>
    </row>
    <row r="484" spans="2:2" ht="13.5" hidden="1" customHeight="1" x14ac:dyDescent="0.2">
      <c r="B484" s="67"/>
    </row>
    <row r="485" spans="2:2" ht="13.5" hidden="1" customHeight="1" x14ac:dyDescent="0.2">
      <c r="B485" s="67"/>
    </row>
    <row r="486" spans="2:2" ht="13.5" hidden="1" customHeight="1" x14ac:dyDescent="0.2">
      <c r="B486" s="67"/>
    </row>
    <row r="487" spans="2:2" ht="13.5" hidden="1" customHeight="1" x14ac:dyDescent="0.2">
      <c r="B487" s="67"/>
    </row>
    <row r="488" spans="2:2" ht="13.5" hidden="1" customHeight="1" x14ac:dyDescent="0.2">
      <c r="B488" s="67"/>
    </row>
    <row r="489" spans="2:2" ht="13.5" hidden="1" customHeight="1" x14ac:dyDescent="0.2">
      <c r="B489" s="67"/>
    </row>
    <row r="490" spans="2:2" ht="13.5" hidden="1" customHeight="1" x14ac:dyDescent="0.2">
      <c r="B490" s="67"/>
    </row>
    <row r="491" spans="2:2" ht="13.5" hidden="1" customHeight="1" x14ac:dyDescent="0.2">
      <c r="B491" s="67"/>
    </row>
    <row r="492" spans="2:2" ht="13.5" hidden="1" customHeight="1" x14ac:dyDescent="0.2">
      <c r="B492" s="67"/>
    </row>
    <row r="493" spans="2:2" ht="13.5" hidden="1" customHeight="1" x14ac:dyDescent="0.2">
      <c r="B493" s="67"/>
    </row>
    <row r="494" spans="2:2" ht="13.5" hidden="1" customHeight="1" x14ac:dyDescent="0.2">
      <c r="B494" s="67"/>
    </row>
    <row r="495" spans="2:2" ht="13.5" hidden="1" customHeight="1" x14ac:dyDescent="0.2">
      <c r="B495" s="67"/>
    </row>
    <row r="496" spans="2:2" ht="13.5" hidden="1" customHeight="1" x14ac:dyDescent="0.2">
      <c r="B496" s="67"/>
    </row>
    <row r="497" spans="2:2" ht="13.5" hidden="1" customHeight="1" x14ac:dyDescent="0.2">
      <c r="B497" s="67"/>
    </row>
    <row r="498" spans="2:2" ht="13.5" hidden="1" customHeight="1" x14ac:dyDescent="0.2">
      <c r="B498" s="67"/>
    </row>
    <row r="499" spans="2:2" ht="13.5" hidden="1" customHeight="1" x14ac:dyDescent="0.2">
      <c r="B499" s="67"/>
    </row>
    <row r="500" spans="2:2" ht="13.5" hidden="1" customHeight="1" x14ac:dyDescent="0.2">
      <c r="B500" s="67"/>
    </row>
    <row r="501" spans="2:2" ht="13.5" hidden="1" customHeight="1" x14ac:dyDescent="0.2">
      <c r="B501" s="67"/>
    </row>
    <row r="502" spans="2:2" ht="13.5" hidden="1" customHeight="1" x14ac:dyDescent="0.2">
      <c r="B502" s="67"/>
    </row>
    <row r="503" spans="2:2" ht="13.5" hidden="1" customHeight="1" x14ac:dyDescent="0.2">
      <c r="B503" s="67"/>
    </row>
    <row r="504" spans="2:2" ht="13.5" hidden="1" customHeight="1" x14ac:dyDescent="0.2">
      <c r="B504" s="67"/>
    </row>
    <row r="505" spans="2:2" ht="13.5" hidden="1" customHeight="1" x14ac:dyDescent="0.2">
      <c r="B505" s="67"/>
    </row>
    <row r="506" spans="2:2" ht="13.5" hidden="1" customHeight="1" x14ac:dyDescent="0.2">
      <c r="B506" s="67"/>
    </row>
    <row r="507" spans="2:2" ht="13.5" hidden="1" customHeight="1" x14ac:dyDescent="0.2">
      <c r="B507" s="67"/>
    </row>
    <row r="508" spans="2:2" ht="13.5" hidden="1" customHeight="1" x14ac:dyDescent="0.2">
      <c r="B508" s="67"/>
    </row>
    <row r="509" spans="2:2" ht="13.5" hidden="1" customHeight="1" x14ac:dyDescent="0.2">
      <c r="B509" s="67"/>
    </row>
    <row r="510" spans="2:2" ht="13.5" hidden="1" customHeight="1" x14ac:dyDescent="0.2">
      <c r="B510" s="67"/>
    </row>
    <row r="511" spans="2:2" ht="13.5" hidden="1" customHeight="1" x14ac:dyDescent="0.2">
      <c r="B511" s="67"/>
    </row>
    <row r="512" spans="2:2" ht="13.5" hidden="1" customHeight="1" x14ac:dyDescent="0.2">
      <c r="B512" s="67"/>
    </row>
    <row r="513" spans="2:2" ht="13.5" hidden="1" customHeight="1" x14ac:dyDescent="0.2">
      <c r="B513" s="67"/>
    </row>
    <row r="514" spans="2:2" ht="13.5" hidden="1" customHeight="1" x14ac:dyDescent="0.2">
      <c r="B514" s="67"/>
    </row>
    <row r="515" spans="2:2" ht="13.5" hidden="1" customHeight="1" x14ac:dyDescent="0.2">
      <c r="B515" s="67"/>
    </row>
    <row r="516" spans="2:2" ht="13.5" hidden="1" customHeight="1" x14ac:dyDescent="0.2">
      <c r="B516" s="67"/>
    </row>
    <row r="517" spans="2:2" ht="13.5" hidden="1" customHeight="1" x14ac:dyDescent="0.2">
      <c r="B517" s="67"/>
    </row>
    <row r="518" spans="2:2" ht="13.5" hidden="1" customHeight="1" x14ac:dyDescent="0.2">
      <c r="B518" s="67"/>
    </row>
    <row r="519" spans="2:2" ht="13.5" hidden="1" customHeight="1" x14ac:dyDescent="0.2">
      <c r="B519" s="67"/>
    </row>
    <row r="520" spans="2:2" ht="13.5" hidden="1" customHeight="1" x14ac:dyDescent="0.2">
      <c r="B520" s="67"/>
    </row>
    <row r="521" spans="2:2" ht="13.5" hidden="1" customHeight="1" x14ac:dyDescent="0.2">
      <c r="B521" s="67"/>
    </row>
    <row r="522" spans="2:2" ht="13.5" hidden="1" customHeight="1" x14ac:dyDescent="0.2">
      <c r="B522" s="67"/>
    </row>
    <row r="523" spans="2:2" ht="13.5" hidden="1" customHeight="1" x14ac:dyDescent="0.2">
      <c r="B523" s="67"/>
    </row>
    <row r="524" spans="2:2" ht="13.5" hidden="1" customHeight="1" x14ac:dyDescent="0.2">
      <c r="B524" s="67"/>
    </row>
    <row r="525" spans="2:2" ht="13.5" hidden="1" customHeight="1" x14ac:dyDescent="0.2">
      <c r="B525" s="67"/>
    </row>
    <row r="526" spans="2:2" ht="13.5" hidden="1" customHeight="1" x14ac:dyDescent="0.2">
      <c r="B526" s="67"/>
    </row>
    <row r="527" spans="2:2" ht="13.5" hidden="1" customHeight="1" x14ac:dyDescent="0.2">
      <c r="B527" s="67"/>
    </row>
    <row r="528" spans="2:2" ht="13.5" hidden="1" customHeight="1" x14ac:dyDescent="0.2">
      <c r="B528" s="67"/>
    </row>
    <row r="529" spans="2:2" ht="13.5" hidden="1" customHeight="1" x14ac:dyDescent="0.2">
      <c r="B529" s="67"/>
    </row>
    <row r="530" spans="2:2" ht="13.5" hidden="1" customHeight="1" x14ac:dyDescent="0.2">
      <c r="B530" s="67"/>
    </row>
    <row r="531" spans="2:2" ht="13.5" hidden="1" customHeight="1" x14ac:dyDescent="0.2">
      <c r="B531" s="67"/>
    </row>
    <row r="532" spans="2:2" ht="13.5" hidden="1" customHeight="1" x14ac:dyDescent="0.2">
      <c r="B532" s="67"/>
    </row>
    <row r="533" spans="2:2" ht="13.5" hidden="1" customHeight="1" x14ac:dyDescent="0.2">
      <c r="B533" s="67"/>
    </row>
    <row r="534" spans="2:2" ht="13.5" hidden="1" customHeight="1" x14ac:dyDescent="0.2">
      <c r="B534" s="67"/>
    </row>
    <row r="535" spans="2:2" ht="13.5" hidden="1" customHeight="1" x14ac:dyDescent="0.2">
      <c r="B535" s="67"/>
    </row>
    <row r="536" spans="2:2" ht="13.5" hidden="1" customHeight="1" x14ac:dyDescent="0.2">
      <c r="B536" s="67"/>
    </row>
    <row r="537" spans="2:2" ht="13.5" hidden="1" customHeight="1" x14ac:dyDescent="0.2">
      <c r="B537" s="67"/>
    </row>
    <row r="538" spans="2:2" ht="13.5" hidden="1" customHeight="1" x14ac:dyDescent="0.2">
      <c r="B538" s="67"/>
    </row>
    <row r="539" spans="2:2" ht="13.5" hidden="1" customHeight="1" x14ac:dyDescent="0.2">
      <c r="B539" s="67"/>
    </row>
    <row r="540" spans="2:2" ht="13.5" hidden="1" customHeight="1" x14ac:dyDescent="0.2">
      <c r="B540" s="67"/>
    </row>
    <row r="541" spans="2:2" ht="13.5" hidden="1" customHeight="1" x14ac:dyDescent="0.2">
      <c r="B541" s="67"/>
    </row>
    <row r="542" spans="2:2" ht="13.5" hidden="1" customHeight="1" x14ac:dyDescent="0.2">
      <c r="B542" s="67"/>
    </row>
    <row r="543" spans="2:2" ht="13.5" hidden="1" customHeight="1" x14ac:dyDescent="0.2">
      <c r="B543" s="67"/>
    </row>
    <row r="544" spans="2:2" ht="13.5" hidden="1" customHeight="1" x14ac:dyDescent="0.2">
      <c r="B544" s="67"/>
    </row>
    <row r="545" spans="2:2" ht="13.5" hidden="1" customHeight="1" x14ac:dyDescent="0.2">
      <c r="B545" s="67"/>
    </row>
    <row r="546" spans="2:2" ht="13.5" hidden="1" customHeight="1" x14ac:dyDescent="0.2">
      <c r="B546" s="67"/>
    </row>
    <row r="547" spans="2:2" ht="13.5" hidden="1" customHeight="1" x14ac:dyDescent="0.2">
      <c r="B547" s="67"/>
    </row>
    <row r="548" spans="2:2" ht="13.5" hidden="1" customHeight="1" x14ac:dyDescent="0.2">
      <c r="B548" s="67"/>
    </row>
    <row r="549" spans="2:2" ht="13.5" hidden="1" customHeight="1" x14ac:dyDescent="0.2">
      <c r="B549" s="67"/>
    </row>
    <row r="550" spans="2:2" ht="13.5" hidden="1" customHeight="1" x14ac:dyDescent="0.2">
      <c r="B550" s="67"/>
    </row>
    <row r="551" spans="2:2" ht="13.5" hidden="1" customHeight="1" x14ac:dyDescent="0.2">
      <c r="B551" s="67"/>
    </row>
    <row r="552" spans="2:2" ht="13.5" hidden="1" customHeight="1" x14ac:dyDescent="0.2">
      <c r="B552" s="67"/>
    </row>
    <row r="553" spans="2:2" ht="13.5" hidden="1" customHeight="1" x14ac:dyDescent="0.2">
      <c r="B553" s="67"/>
    </row>
    <row r="554" spans="2:2" ht="13.5" hidden="1" customHeight="1" x14ac:dyDescent="0.2">
      <c r="B554" s="67"/>
    </row>
    <row r="555" spans="2:2" ht="13.5" hidden="1" customHeight="1" x14ac:dyDescent="0.2">
      <c r="B555" s="67"/>
    </row>
    <row r="556" spans="2:2" ht="13.5" hidden="1" customHeight="1" x14ac:dyDescent="0.2">
      <c r="B556" s="67"/>
    </row>
    <row r="557" spans="2:2" ht="13.5" hidden="1" customHeight="1" x14ac:dyDescent="0.2">
      <c r="B557" s="67"/>
    </row>
    <row r="558" spans="2:2" ht="13.5" hidden="1" customHeight="1" x14ac:dyDescent="0.2">
      <c r="B558" s="67"/>
    </row>
    <row r="559" spans="2:2" ht="13.5" hidden="1" customHeight="1" x14ac:dyDescent="0.2">
      <c r="B559" s="67"/>
    </row>
    <row r="560" spans="2:2" ht="13.5" hidden="1" customHeight="1" x14ac:dyDescent="0.2">
      <c r="B560" s="67"/>
    </row>
    <row r="561" spans="2:2" ht="13.5" hidden="1" customHeight="1" x14ac:dyDescent="0.2">
      <c r="B561" s="67"/>
    </row>
    <row r="562" spans="2:2" ht="13.5" hidden="1" customHeight="1" x14ac:dyDescent="0.2">
      <c r="B562" s="67"/>
    </row>
    <row r="563" spans="2:2" ht="13.5" hidden="1" customHeight="1" x14ac:dyDescent="0.2">
      <c r="B563" s="67"/>
    </row>
    <row r="564" spans="2:2" ht="13.5" hidden="1" customHeight="1" x14ac:dyDescent="0.2">
      <c r="B564" s="67"/>
    </row>
    <row r="565" spans="2:2" ht="13.5" hidden="1" customHeight="1" x14ac:dyDescent="0.2">
      <c r="B565" s="67"/>
    </row>
    <row r="566" spans="2:2" ht="13.5" hidden="1" customHeight="1" x14ac:dyDescent="0.2">
      <c r="B566" s="67"/>
    </row>
    <row r="567" spans="2:2" ht="13.5" hidden="1" customHeight="1" x14ac:dyDescent="0.2">
      <c r="B567" s="67"/>
    </row>
    <row r="568" spans="2:2" ht="13.5" hidden="1" customHeight="1" x14ac:dyDescent="0.2">
      <c r="B568" s="67"/>
    </row>
    <row r="569" spans="2:2" ht="13.5" hidden="1" customHeight="1" x14ac:dyDescent="0.2">
      <c r="B569" s="67"/>
    </row>
    <row r="570" spans="2:2" ht="13.5" hidden="1" customHeight="1" x14ac:dyDescent="0.2">
      <c r="B570" s="67"/>
    </row>
    <row r="571" spans="2:2" ht="13.5" hidden="1" customHeight="1" x14ac:dyDescent="0.2">
      <c r="B571" s="67"/>
    </row>
    <row r="572" spans="2:2" ht="13.5" hidden="1" customHeight="1" x14ac:dyDescent="0.2">
      <c r="B572" s="67"/>
    </row>
    <row r="573" spans="2:2" ht="13.5" hidden="1" customHeight="1" x14ac:dyDescent="0.2">
      <c r="B573" s="67"/>
    </row>
    <row r="574" spans="2:2" ht="13.5" hidden="1" customHeight="1" x14ac:dyDescent="0.2">
      <c r="B574" s="67"/>
    </row>
    <row r="575" spans="2:2" ht="13.5" hidden="1" customHeight="1" x14ac:dyDescent="0.2">
      <c r="B575" s="67"/>
    </row>
    <row r="576" spans="2:2" ht="13.5" hidden="1" customHeight="1" x14ac:dyDescent="0.2">
      <c r="B576" s="67"/>
    </row>
    <row r="577" spans="2:2" ht="13.5" hidden="1" customHeight="1" x14ac:dyDescent="0.2">
      <c r="B577" s="67"/>
    </row>
    <row r="578" spans="2:2" ht="13.5" hidden="1" customHeight="1" x14ac:dyDescent="0.2">
      <c r="B578" s="67"/>
    </row>
    <row r="579" spans="2:2" ht="13.5" hidden="1" customHeight="1" x14ac:dyDescent="0.2">
      <c r="B579" s="67"/>
    </row>
    <row r="580" spans="2:2" ht="13.5" hidden="1" customHeight="1" x14ac:dyDescent="0.2">
      <c r="B580" s="67"/>
    </row>
    <row r="581" spans="2:2" ht="13.5" hidden="1" customHeight="1" x14ac:dyDescent="0.2">
      <c r="B581" s="67"/>
    </row>
    <row r="582" spans="2:2" ht="13.5" hidden="1" customHeight="1" x14ac:dyDescent="0.2">
      <c r="B582" s="67"/>
    </row>
    <row r="583" spans="2:2" ht="13.5" hidden="1" customHeight="1" x14ac:dyDescent="0.2">
      <c r="B583" s="67"/>
    </row>
    <row r="584" spans="2:2" ht="13.5" hidden="1" customHeight="1" x14ac:dyDescent="0.2">
      <c r="B584" s="67"/>
    </row>
    <row r="585" spans="2:2" ht="13.5" hidden="1" customHeight="1" x14ac:dyDescent="0.2">
      <c r="B585" s="67"/>
    </row>
    <row r="586" spans="2:2" ht="13.5" hidden="1" customHeight="1" x14ac:dyDescent="0.2">
      <c r="B586" s="67"/>
    </row>
    <row r="587" spans="2:2" ht="13.5" hidden="1" customHeight="1" x14ac:dyDescent="0.2">
      <c r="B587" s="67"/>
    </row>
    <row r="588" spans="2:2" ht="13.5" hidden="1" customHeight="1" x14ac:dyDescent="0.2">
      <c r="B588" s="67"/>
    </row>
    <row r="589" spans="2:2" ht="13.5" hidden="1" customHeight="1" x14ac:dyDescent="0.2">
      <c r="B589" s="67"/>
    </row>
    <row r="590" spans="2:2" ht="13.5" hidden="1" customHeight="1" x14ac:dyDescent="0.2">
      <c r="B590" s="67"/>
    </row>
    <row r="591" spans="2:2" ht="13.5" hidden="1" customHeight="1" x14ac:dyDescent="0.2">
      <c r="B591" s="67"/>
    </row>
    <row r="592" spans="2:2" ht="13.5" hidden="1" customHeight="1" x14ac:dyDescent="0.2">
      <c r="B592" s="67"/>
    </row>
    <row r="593" spans="2:2" ht="13.5" hidden="1" customHeight="1" x14ac:dyDescent="0.2">
      <c r="B593" s="67"/>
    </row>
    <row r="594" spans="2:2" ht="13.5" hidden="1" customHeight="1" x14ac:dyDescent="0.2">
      <c r="B594" s="67"/>
    </row>
    <row r="595" spans="2:2" ht="13.5" hidden="1" customHeight="1" x14ac:dyDescent="0.2">
      <c r="B595" s="67"/>
    </row>
    <row r="596" spans="2:2" ht="13.5" hidden="1" customHeight="1" x14ac:dyDescent="0.2">
      <c r="B596" s="67"/>
    </row>
    <row r="597" spans="2:2" ht="13.5" hidden="1" customHeight="1" x14ac:dyDescent="0.2">
      <c r="B597" s="67"/>
    </row>
    <row r="598" spans="2:2" ht="13.5" hidden="1" customHeight="1" x14ac:dyDescent="0.2">
      <c r="B598" s="67"/>
    </row>
    <row r="599" spans="2:2" ht="13.5" hidden="1" customHeight="1" x14ac:dyDescent="0.2">
      <c r="B599" s="67"/>
    </row>
    <row r="600" spans="2:2" ht="13.5" hidden="1" customHeight="1" x14ac:dyDescent="0.2">
      <c r="B600" s="67"/>
    </row>
    <row r="601" spans="2:2" ht="13.5" hidden="1" customHeight="1" x14ac:dyDescent="0.2">
      <c r="B601" s="67"/>
    </row>
    <row r="602" spans="2:2" ht="13.5" hidden="1" customHeight="1" x14ac:dyDescent="0.2">
      <c r="B602" s="67"/>
    </row>
    <row r="603" spans="2:2" ht="13.5" hidden="1" customHeight="1" x14ac:dyDescent="0.2">
      <c r="B603" s="67"/>
    </row>
    <row r="604" spans="2:2" ht="13.5" hidden="1" customHeight="1" x14ac:dyDescent="0.2">
      <c r="B604" s="67"/>
    </row>
    <row r="605" spans="2:2" ht="13.5" hidden="1" customHeight="1" x14ac:dyDescent="0.2">
      <c r="B605" s="67"/>
    </row>
    <row r="606" spans="2:2" ht="13.5" hidden="1" customHeight="1" x14ac:dyDescent="0.2">
      <c r="B606" s="67"/>
    </row>
    <row r="607" spans="2:2" ht="13.5" hidden="1" customHeight="1" x14ac:dyDescent="0.2">
      <c r="B607" s="67"/>
    </row>
    <row r="608" spans="2:2" ht="13.5" hidden="1" customHeight="1" x14ac:dyDescent="0.2">
      <c r="B608" s="67"/>
    </row>
    <row r="609" spans="2:2" ht="13.5" hidden="1" customHeight="1" x14ac:dyDescent="0.2">
      <c r="B609" s="67"/>
    </row>
    <row r="610" spans="2:2" ht="13.5" hidden="1" customHeight="1" x14ac:dyDescent="0.2">
      <c r="B610" s="67"/>
    </row>
    <row r="611" spans="2:2" ht="13.5" hidden="1" customHeight="1" x14ac:dyDescent="0.2">
      <c r="B611" s="67"/>
    </row>
    <row r="612" spans="2:2" ht="13.5" hidden="1" customHeight="1" x14ac:dyDescent="0.2">
      <c r="B612" s="67"/>
    </row>
    <row r="613" spans="2:2" ht="13.5" hidden="1" customHeight="1" x14ac:dyDescent="0.2">
      <c r="B613" s="67"/>
    </row>
    <row r="614" spans="2:2" ht="13.5" hidden="1" customHeight="1" x14ac:dyDescent="0.2">
      <c r="B614" s="67"/>
    </row>
    <row r="615" spans="2:2" ht="13.5" hidden="1" customHeight="1" x14ac:dyDescent="0.2">
      <c r="B615" s="67"/>
    </row>
    <row r="616" spans="2:2" ht="13.5" hidden="1" customHeight="1" x14ac:dyDescent="0.2">
      <c r="B616" s="67"/>
    </row>
    <row r="617" spans="2:2" ht="13.5" hidden="1" customHeight="1" x14ac:dyDescent="0.2">
      <c r="B617" s="67"/>
    </row>
    <row r="618" spans="2:2" ht="13.5" hidden="1" customHeight="1" x14ac:dyDescent="0.2">
      <c r="B618" s="67"/>
    </row>
    <row r="619" spans="2:2" ht="13.5" hidden="1" customHeight="1" x14ac:dyDescent="0.2">
      <c r="B619" s="67"/>
    </row>
    <row r="620" spans="2:2" ht="13.5" hidden="1" customHeight="1" x14ac:dyDescent="0.2">
      <c r="B620" s="67"/>
    </row>
    <row r="621" spans="2:2" ht="13.5" hidden="1" customHeight="1" x14ac:dyDescent="0.2">
      <c r="B621" s="67"/>
    </row>
    <row r="622" spans="2:2" ht="13.5" hidden="1" customHeight="1" x14ac:dyDescent="0.2">
      <c r="B622" s="67"/>
    </row>
    <row r="623" spans="2:2" ht="13.5" hidden="1" customHeight="1" x14ac:dyDescent="0.2">
      <c r="B623" s="67"/>
    </row>
    <row r="624" spans="2:2" ht="13.5" hidden="1" customHeight="1" x14ac:dyDescent="0.2">
      <c r="B624" s="67"/>
    </row>
    <row r="625" spans="2:2" ht="13.5" hidden="1" customHeight="1" x14ac:dyDescent="0.2">
      <c r="B625" s="67"/>
    </row>
    <row r="626" spans="2:2" ht="13.5" hidden="1" customHeight="1" x14ac:dyDescent="0.2">
      <c r="B626" s="67"/>
    </row>
    <row r="627" spans="2:2" ht="13.5" hidden="1" customHeight="1" x14ac:dyDescent="0.2">
      <c r="B627" s="67"/>
    </row>
    <row r="628" spans="2:2" ht="13.5" hidden="1" customHeight="1" x14ac:dyDescent="0.2">
      <c r="B628" s="67"/>
    </row>
    <row r="629" spans="2:2" ht="13.5" hidden="1" customHeight="1" x14ac:dyDescent="0.2">
      <c r="B629" s="67"/>
    </row>
    <row r="630" spans="2:2" ht="13.5" hidden="1" customHeight="1" x14ac:dyDescent="0.2">
      <c r="B630" s="67"/>
    </row>
    <row r="631" spans="2:2" ht="13.5" hidden="1" customHeight="1" x14ac:dyDescent="0.2">
      <c r="B631" s="67"/>
    </row>
    <row r="632" spans="2:2" ht="13.5" hidden="1" customHeight="1" x14ac:dyDescent="0.2">
      <c r="B632" s="67"/>
    </row>
    <row r="633" spans="2:2" ht="13.5" hidden="1" customHeight="1" x14ac:dyDescent="0.2">
      <c r="B633" s="67"/>
    </row>
    <row r="634" spans="2:2" ht="13.5" hidden="1" customHeight="1" x14ac:dyDescent="0.2">
      <c r="B634" s="67"/>
    </row>
    <row r="635" spans="2:2" ht="13.5" hidden="1" customHeight="1" x14ac:dyDescent="0.2">
      <c r="B635" s="67"/>
    </row>
    <row r="636" spans="2:2" ht="13.5" hidden="1" customHeight="1" x14ac:dyDescent="0.2">
      <c r="B636" s="67"/>
    </row>
    <row r="637" spans="2:2" ht="13.5" hidden="1" customHeight="1" x14ac:dyDescent="0.2">
      <c r="B637" s="67"/>
    </row>
    <row r="638" spans="2:2" ht="13.5" hidden="1" customHeight="1" x14ac:dyDescent="0.2">
      <c r="B638" s="67"/>
    </row>
    <row r="639" spans="2:2" ht="13.5" hidden="1" customHeight="1" x14ac:dyDescent="0.2">
      <c r="B639" s="67"/>
    </row>
    <row r="640" spans="2:2" ht="13.5" hidden="1" customHeight="1" x14ac:dyDescent="0.2">
      <c r="B640" s="67"/>
    </row>
    <row r="641" spans="2:2" ht="13.5" hidden="1" customHeight="1" x14ac:dyDescent="0.2">
      <c r="B641" s="67"/>
    </row>
    <row r="642" spans="2:2" ht="13.5" hidden="1" customHeight="1" x14ac:dyDescent="0.2">
      <c r="B642" s="67"/>
    </row>
    <row r="643" spans="2:2" ht="13.5" hidden="1" customHeight="1" x14ac:dyDescent="0.2">
      <c r="B643" s="67"/>
    </row>
    <row r="644" spans="2:2" ht="13.5" hidden="1" customHeight="1" x14ac:dyDescent="0.2">
      <c r="B644" s="67"/>
    </row>
    <row r="645" spans="2:2" ht="13.5" hidden="1" customHeight="1" x14ac:dyDescent="0.2">
      <c r="B645" s="67"/>
    </row>
    <row r="646" spans="2:2" ht="13.5" hidden="1" customHeight="1" x14ac:dyDescent="0.2">
      <c r="B646" s="67"/>
    </row>
    <row r="647" spans="2:2" ht="13.5" hidden="1" customHeight="1" x14ac:dyDescent="0.2">
      <c r="B647" s="67"/>
    </row>
    <row r="648" spans="2:2" ht="13.5" hidden="1" customHeight="1" x14ac:dyDescent="0.2">
      <c r="B648" s="67"/>
    </row>
    <row r="649" spans="2:2" ht="13.5" hidden="1" customHeight="1" x14ac:dyDescent="0.2">
      <c r="B649" s="67"/>
    </row>
    <row r="650" spans="2:2" ht="13.5" hidden="1" customHeight="1" x14ac:dyDescent="0.2">
      <c r="B650" s="67"/>
    </row>
    <row r="651" spans="2:2" ht="13.5" hidden="1" customHeight="1" x14ac:dyDescent="0.2">
      <c r="B651" s="67"/>
    </row>
    <row r="652" spans="2:2" ht="13.5" hidden="1" customHeight="1" x14ac:dyDescent="0.2">
      <c r="B652" s="67"/>
    </row>
    <row r="653" spans="2:2" ht="13.5" hidden="1" customHeight="1" x14ac:dyDescent="0.2">
      <c r="B653" s="67"/>
    </row>
    <row r="654" spans="2:2" ht="13.5" hidden="1" customHeight="1" x14ac:dyDescent="0.2">
      <c r="B654" s="67"/>
    </row>
    <row r="655" spans="2:2" ht="13.5" hidden="1" customHeight="1" x14ac:dyDescent="0.2">
      <c r="B655" s="67"/>
    </row>
    <row r="656" spans="2:2" ht="13.5" hidden="1" customHeight="1" x14ac:dyDescent="0.2">
      <c r="B656" s="67"/>
    </row>
    <row r="657" spans="2:2" ht="13.5" hidden="1" customHeight="1" x14ac:dyDescent="0.2">
      <c r="B657" s="67"/>
    </row>
    <row r="658" spans="2:2" ht="13.5" hidden="1" customHeight="1" x14ac:dyDescent="0.2">
      <c r="B658" s="67"/>
    </row>
    <row r="659" spans="2:2" ht="13.5" hidden="1" customHeight="1" x14ac:dyDescent="0.2">
      <c r="B659" s="67"/>
    </row>
    <row r="660" spans="2:2" ht="13.5" hidden="1" customHeight="1" x14ac:dyDescent="0.2">
      <c r="B660" s="67"/>
    </row>
    <row r="661" spans="2:2" ht="13.5" hidden="1" customHeight="1" x14ac:dyDescent="0.2">
      <c r="B661" s="67"/>
    </row>
    <row r="662" spans="2:2" ht="13.5" hidden="1" customHeight="1" x14ac:dyDescent="0.2">
      <c r="B662" s="67"/>
    </row>
    <row r="663" spans="2:2" ht="13.5" hidden="1" customHeight="1" x14ac:dyDescent="0.2">
      <c r="B663" s="67"/>
    </row>
    <row r="664" spans="2:2" ht="13.5" hidden="1" customHeight="1" x14ac:dyDescent="0.2">
      <c r="B664" s="67"/>
    </row>
    <row r="665" spans="2:2" ht="13.5" hidden="1" customHeight="1" x14ac:dyDescent="0.2">
      <c r="B665" s="67"/>
    </row>
    <row r="666" spans="2:2" ht="13.5" hidden="1" customHeight="1" x14ac:dyDescent="0.2">
      <c r="B666" s="67"/>
    </row>
    <row r="667" spans="2:2" ht="13.5" hidden="1" customHeight="1" x14ac:dyDescent="0.2">
      <c r="B667" s="67"/>
    </row>
    <row r="668" spans="2:2" ht="13.5" hidden="1" customHeight="1" x14ac:dyDescent="0.2">
      <c r="B668" s="67"/>
    </row>
    <row r="669" spans="2:2" ht="13.5" hidden="1" customHeight="1" x14ac:dyDescent="0.2">
      <c r="B669" s="67"/>
    </row>
    <row r="670" spans="2:2" ht="13.5" hidden="1" customHeight="1" x14ac:dyDescent="0.2">
      <c r="B670" s="67"/>
    </row>
    <row r="671" spans="2:2" ht="13.5" hidden="1" customHeight="1" x14ac:dyDescent="0.2">
      <c r="B671" s="67"/>
    </row>
    <row r="672" spans="2:2" ht="13.5" hidden="1" customHeight="1" x14ac:dyDescent="0.2">
      <c r="B672" s="67"/>
    </row>
    <row r="673" spans="2:2" ht="13.5" hidden="1" customHeight="1" x14ac:dyDescent="0.2">
      <c r="B673" s="67"/>
    </row>
    <row r="674" spans="2:2" ht="13.5" hidden="1" customHeight="1" x14ac:dyDescent="0.2">
      <c r="B674" s="67"/>
    </row>
    <row r="675" spans="2:2" ht="13.5" hidden="1" customHeight="1" x14ac:dyDescent="0.2">
      <c r="B675" s="67"/>
    </row>
    <row r="676" spans="2:2" ht="13.5" hidden="1" customHeight="1" x14ac:dyDescent="0.2">
      <c r="B676" s="67"/>
    </row>
    <row r="677" spans="2:2" ht="13.5" hidden="1" customHeight="1" x14ac:dyDescent="0.2">
      <c r="B677" s="67"/>
    </row>
    <row r="678" spans="2:2" ht="13.5" hidden="1" customHeight="1" x14ac:dyDescent="0.2">
      <c r="B678" s="67"/>
    </row>
    <row r="679" spans="2:2" ht="13.5" hidden="1" customHeight="1" x14ac:dyDescent="0.2">
      <c r="B679" s="67"/>
    </row>
    <row r="680" spans="2:2" ht="13.5" hidden="1" customHeight="1" x14ac:dyDescent="0.2">
      <c r="B680" s="67"/>
    </row>
    <row r="681" spans="2:2" ht="13.5" hidden="1" customHeight="1" x14ac:dyDescent="0.2">
      <c r="B681" s="67"/>
    </row>
    <row r="682" spans="2:2" ht="13.5" hidden="1" customHeight="1" x14ac:dyDescent="0.2">
      <c r="B682" s="67"/>
    </row>
    <row r="683" spans="2:2" ht="13.5" hidden="1" customHeight="1" x14ac:dyDescent="0.2">
      <c r="B683" s="67"/>
    </row>
    <row r="684" spans="2:2" ht="13.5" hidden="1" customHeight="1" x14ac:dyDescent="0.2">
      <c r="B684" s="67"/>
    </row>
    <row r="685" spans="2:2" ht="13.5" hidden="1" customHeight="1" x14ac:dyDescent="0.2">
      <c r="B685" s="67"/>
    </row>
    <row r="686" spans="2:2" ht="13.5" hidden="1" customHeight="1" x14ac:dyDescent="0.2">
      <c r="B686" s="67"/>
    </row>
    <row r="687" spans="2:2" ht="13.5" hidden="1" customHeight="1" x14ac:dyDescent="0.2">
      <c r="B687" s="67"/>
    </row>
    <row r="688" spans="2:2" ht="13.5" hidden="1" customHeight="1" x14ac:dyDescent="0.2">
      <c r="B688" s="67"/>
    </row>
    <row r="689" spans="2:2" ht="13.5" hidden="1" customHeight="1" x14ac:dyDescent="0.2">
      <c r="B689" s="67"/>
    </row>
    <row r="690" spans="2:2" ht="13.5" hidden="1" customHeight="1" x14ac:dyDescent="0.2">
      <c r="B690" s="67"/>
    </row>
    <row r="691" spans="2:2" ht="13.5" hidden="1" customHeight="1" x14ac:dyDescent="0.2">
      <c r="B691" s="67"/>
    </row>
    <row r="692" spans="2:2" ht="13.5" hidden="1" customHeight="1" x14ac:dyDescent="0.2">
      <c r="B692" s="67"/>
    </row>
    <row r="693" spans="2:2" ht="13.5" hidden="1" customHeight="1" x14ac:dyDescent="0.2">
      <c r="B693" s="67"/>
    </row>
    <row r="694" spans="2:2" ht="13.5" hidden="1" customHeight="1" x14ac:dyDescent="0.2">
      <c r="B694" s="67"/>
    </row>
    <row r="695" spans="2:2" ht="13.5" hidden="1" customHeight="1" x14ac:dyDescent="0.2">
      <c r="B695" s="67"/>
    </row>
    <row r="696" spans="2:2" ht="13.5" hidden="1" customHeight="1" x14ac:dyDescent="0.2">
      <c r="B696" s="67"/>
    </row>
    <row r="697" spans="2:2" ht="13.5" hidden="1" customHeight="1" x14ac:dyDescent="0.2">
      <c r="B697" s="67"/>
    </row>
    <row r="698" spans="2:2" ht="13.5" hidden="1" customHeight="1" x14ac:dyDescent="0.2">
      <c r="B698" s="67"/>
    </row>
    <row r="699" spans="2:2" ht="13.5" hidden="1" customHeight="1" x14ac:dyDescent="0.2">
      <c r="B699" s="67"/>
    </row>
    <row r="700" spans="2:2" ht="13.5" hidden="1" customHeight="1" x14ac:dyDescent="0.2">
      <c r="B700" s="67"/>
    </row>
    <row r="701" spans="2:2" ht="13.5" hidden="1" customHeight="1" x14ac:dyDescent="0.2">
      <c r="B701" s="67"/>
    </row>
    <row r="702" spans="2:2" ht="13.5" hidden="1" customHeight="1" x14ac:dyDescent="0.2">
      <c r="B702" s="67"/>
    </row>
    <row r="703" spans="2:2" ht="13.5" hidden="1" customHeight="1" x14ac:dyDescent="0.2">
      <c r="B703" s="67"/>
    </row>
    <row r="704" spans="2:2" ht="13.5" hidden="1" customHeight="1" x14ac:dyDescent="0.2">
      <c r="B704" s="67"/>
    </row>
    <row r="705" spans="2:2" ht="13.5" hidden="1" customHeight="1" x14ac:dyDescent="0.2">
      <c r="B705" s="67"/>
    </row>
    <row r="706" spans="2:2" ht="13.5" hidden="1" customHeight="1" x14ac:dyDescent="0.2">
      <c r="B706" s="67"/>
    </row>
    <row r="707" spans="2:2" ht="13.5" hidden="1" customHeight="1" x14ac:dyDescent="0.2">
      <c r="B707" s="67"/>
    </row>
    <row r="708" spans="2:2" ht="13.5" hidden="1" customHeight="1" x14ac:dyDescent="0.2">
      <c r="B708" s="67"/>
    </row>
    <row r="709" spans="2:2" ht="13.5" hidden="1" customHeight="1" x14ac:dyDescent="0.2">
      <c r="B709" s="67"/>
    </row>
    <row r="710" spans="2:2" ht="13.5" hidden="1" customHeight="1" x14ac:dyDescent="0.2">
      <c r="B710" s="67"/>
    </row>
    <row r="711" spans="2:2" ht="13.5" hidden="1" customHeight="1" x14ac:dyDescent="0.2">
      <c r="B711" s="67"/>
    </row>
    <row r="712" spans="2:2" ht="13.5" hidden="1" customHeight="1" x14ac:dyDescent="0.2">
      <c r="B712" s="67"/>
    </row>
    <row r="713" spans="2:2" ht="13.5" hidden="1" customHeight="1" x14ac:dyDescent="0.2">
      <c r="B713" s="67"/>
    </row>
    <row r="714" spans="2:2" ht="13.5" hidden="1" customHeight="1" x14ac:dyDescent="0.2">
      <c r="B714" s="67"/>
    </row>
    <row r="715" spans="2:2" ht="13.5" hidden="1" customHeight="1" x14ac:dyDescent="0.2">
      <c r="B715" s="67"/>
    </row>
    <row r="716" spans="2:2" ht="13.5" hidden="1" customHeight="1" x14ac:dyDescent="0.2">
      <c r="B716" s="67"/>
    </row>
    <row r="717" spans="2:2" ht="13.5" hidden="1" customHeight="1" x14ac:dyDescent="0.2">
      <c r="B717" s="67"/>
    </row>
    <row r="718" spans="2:2" ht="13.5" hidden="1" customHeight="1" x14ac:dyDescent="0.2">
      <c r="B718" s="67"/>
    </row>
    <row r="719" spans="2:2" ht="13.5" hidden="1" customHeight="1" x14ac:dyDescent="0.2">
      <c r="B719" s="67"/>
    </row>
    <row r="720" spans="2:2" ht="13.5" hidden="1" customHeight="1" x14ac:dyDescent="0.2">
      <c r="B720" s="67"/>
    </row>
    <row r="721" spans="2:2" ht="13.5" hidden="1" customHeight="1" x14ac:dyDescent="0.2">
      <c r="B721" s="67"/>
    </row>
    <row r="722" spans="2:2" ht="13.5" hidden="1" customHeight="1" x14ac:dyDescent="0.2">
      <c r="B722" s="67"/>
    </row>
    <row r="723" spans="2:2" ht="13.5" hidden="1" customHeight="1" x14ac:dyDescent="0.2">
      <c r="B723" s="67"/>
    </row>
    <row r="724" spans="2:2" ht="13.5" hidden="1" customHeight="1" x14ac:dyDescent="0.2">
      <c r="B724" s="67"/>
    </row>
    <row r="725" spans="2:2" ht="13.5" hidden="1" customHeight="1" x14ac:dyDescent="0.2">
      <c r="B725" s="67"/>
    </row>
    <row r="726" spans="2:2" ht="13.5" hidden="1" customHeight="1" x14ac:dyDescent="0.2">
      <c r="B726" s="67"/>
    </row>
    <row r="727" spans="2:2" ht="13.5" hidden="1" customHeight="1" x14ac:dyDescent="0.2">
      <c r="B727" s="67"/>
    </row>
    <row r="728" spans="2:2" ht="13.5" hidden="1" customHeight="1" x14ac:dyDescent="0.2">
      <c r="B728" s="67"/>
    </row>
    <row r="729" spans="2:2" ht="13.5" hidden="1" customHeight="1" x14ac:dyDescent="0.2">
      <c r="B729" s="67"/>
    </row>
    <row r="730" spans="2:2" ht="13.5" hidden="1" customHeight="1" x14ac:dyDescent="0.2">
      <c r="B730" s="67"/>
    </row>
    <row r="731" spans="2:2" ht="13.5" hidden="1" customHeight="1" x14ac:dyDescent="0.2">
      <c r="B731" s="67"/>
    </row>
    <row r="732" spans="2:2" ht="13.5" hidden="1" customHeight="1" x14ac:dyDescent="0.2">
      <c r="B732" s="67"/>
    </row>
    <row r="733" spans="2:2" ht="13.5" hidden="1" customHeight="1" x14ac:dyDescent="0.2">
      <c r="B733" s="67"/>
    </row>
    <row r="734" spans="2:2" ht="13.5" hidden="1" customHeight="1" x14ac:dyDescent="0.2">
      <c r="B734" s="67"/>
    </row>
    <row r="735" spans="2:2" ht="13.5" hidden="1" customHeight="1" x14ac:dyDescent="0.2">
      <c r="B735" s="67"/>
    </row>
    <row r="736" spans="2:2" ht="13.5" hidden="1" customHeight="1" x14ac:dyDescent="0.2">
      <c r="B736" s="67"/>
    </row>
    <row r="737" spans="2:2" ht="13.5" hidden="1" customHeight="1" x14ac:dyDescent="0.2">
      <c r="B737" s="67"/>
    </row>
    <row r="738" spans="2:2" ht="13.5" hidden="1" customHeight="1" x14ac:dyDescent="0.2">
      <c r="B738" s="67"/>
    </row>
    <row r="739" spans="2:2" ht="13.5" hidden="1" customHeight="1" x14ac:dyDescent="0.2">
      <c r="B739" s="67"/>
    </row>
    <row r="740" spans="2:2" ht="13.5" hidden="1" customHeight="1" x14ac:dyDescent="0.2">
      <c r="B740" s="67"/>
    </row>
    <row r="741" spans="2:2" ht="13.5" hidden="1" customHeight="1" x14ac:dyDescent="0.2">
      <c r="B741" s="67"/>
    </row>
    <row r="742" spans="2:2" ht="13.5" hidden="1" customHeight="1" x14ac:dyDescent="0.2">
      <c r="B742" s="67"/>
    </row>
    <row r="743" spans="2:2" ht="13.5" hidden="1" customHeight="1" x14ac:dyDescent="0.2">
      <c r="B743" s="67"/>
    </row>
    <row r="744" spans="2:2" ht="13.5" hidden="1" customHeight="1" x14ac:dyDescent="0.2">
      <c r="B744" s="67"/>
    </row>
    <row r="745" spans="2:2" ht="13.5" hidden="1" customHeight="1" x14ac:dyDescent="0.2">
      <c r="B745" s="67"/>
    </row>
    <row r="746" spans="2:2" ht="13.5" hidden="1" customHeight="1" x14ac:dyDescent="0.2">
      <c r="B746" s="67"/>
    </row>
    <row r="747" spans="2:2" ht="13.5" hidden="1" customHeight="1" x14ac:dyDescent="0.2">
      <c r="B747" s="67"/>
    </row>
    <row r="748" spans="2:2" ht="13.5" hidden="1" customHeight="1" x14ac:dyDescent="0.2">
      <c r="B748" s="67"/>
    </row>
    <row r="749" spans="2:2" ht="13.5" hidden="1" customHeight="1" x14ac:dyDescent="0.2">
      <c r="B749" s="67"/>
    </row>
    <row r="750" spans="2:2" ht="13.5" hidden="1" customHeight="1" x14ac:dyDescent="0.2">
      <c r="B750" s="67"/>
    </row>
    <row r="751" spans="2:2" ht="13.5" hidden="1" customHeight="1" x14ac:dyDescent="0.2">
      <c r="B751" s="67"/>
    </row>
    <row r="752" spans="2:2" ht="13.5" hidden="1" customHeight="1" x14ac:dyDescent="0.2">
      <c r="B752" s="67"/>
    </row>
    <row r="753" spans="2:2" ht="13.5" hidden="1" customHeight="1" x14ac:dyDescent="0.2">
      <c r="B753" s="67"/>
    </row>
    <row r="754" spans="2:2" ht="13.5" hidden="1" customHeight="1" x14ac:dyDescent="0.2">
      <c r="B754" s="67"/>
    </row>
    <row r="755" spans="2:2" ht="13.5" hidden="1" customHeight="1" x14ac:dyDescent="0.2">
      <c r="B755" s="67"/>
    </row>
    <row r="756" spans="2:2" ht="13.5" hidden="1" customHeight="1" x14ac:dyDescent="0.2">
      <c r="B756" s="67"/>
    </row>
    <row r="757" spans="2:2" ht="13.5" hidden="1" customHeight="1" x14ac:dyDescent="0.2">
      <c r="B757" s="67"/>
    </row>
    <row r="758" spans="2:2" ht="13.5" hidden="1" customHeight="1" x14ac:dyDescent="0.2">
      <c r="B758" s="67"/>
    </row>
    <row r="759" spans="2:2" ht="13.5" hidden="1" customHeight="1" x14ac:dyDescent="0.2">
      <c r="B759" s="67"/>
    </row>
    <row r="760" spans="2:2" ht="13.5" hidden="1" customHeight="1" x14ac:dyDescent="0.2">
      <c r="B760" s="67"/>
    </row>
    <row r="761" spans="2:2" ht="13.5" hidden="1" customHeight="1" x14ac:dyDescent="0.2">
      <c r="B761" s="67"/>
    </row>
    <row r="762" spans="2:2" ht="13.5" hidden="1" customHeight="1" x14ac:dyDescent="0.2">
      <c r="B762" s="67"/>
    </row>
    <row r="763" spans="2:2" ht="13.5" hidden="1" customHeight="1" x14ac:dyDescent="0.2">
      <c r="B763" s="67"/>
    </row>
    <row r="764" spans="2:2" ht="13.5" hidden="1" customHeight="1" x14ac:dyDescent="0.2">
      <c r="B764" s="67"/>
    </row>
    <row r="765" spans="2:2" ht="13.5" hidden="1" customHeight="1" x14ac:dyDescent="0.2">
      <c r="B765" s="67"/>
    </row>
    <row r="766" spans="2:2" ht="13.5" hidden="1" customHeight="1" x14ac:dyDescent="0.2">
      <c r="B766" s="67"/>
    </row>
    <row r="767" spans="2:2" ht="13.5" hidden="1" customHeight="1" x14ac:dyDescent="0.2">
      <c r="B767" s="67"/>
    </row>
    <row r="768" spans="2:2" ht="13.5" hidden="1" customHeight="1" x14ac:dyDescent="0.2">
      <c r="B768" s="67"/>
    </row>
    <row r="769" spans="2:2" ht="13.5" hidden="1" customHeight="1" x14ac:dyDescent="0.2">
      <c r="B769" s="67"/>
    </row>
    <row r="770" spans="2:2" ht="13.5" hidden="1" customHeight="1" x14ac:dyDescent="0.2">
      <c r="B770" s="67"/>
    </row>
    <row r="771" spans="2:2" ht="13.5" hidden="1" customHeight="1" x14ac:dyDescent="0.2">
      <c r="B771" s="67"/>
    </row>
    <row r="772" spans="2:2" ht="13.5" hidden="1" customHeight="1" x14ac:dyDescent="0.2">
      <c r="B772" s="67"/>
    </row>
    <row r="773" spans="2:2" ht="13.5" hidden="1" customHeight="1" x14ac:dyDescent="0.2">
      <c r="B773" s="67"/>
    </row>
    <row r="774" spans="2:2" ht="13.5" hidden="1" customHeight="1" x14ac:dyDescent="0.2">
      <c r="B774" s="67"/>
    </row>
    <row r="775" spans="2:2" ht="13.5" hidden="1" customHeight="1" x14ac:dyDescent="0.2">
      <c r="B775" s="67"/>
    </row>
    <row r="776" spans="2:2" ht="13.5" hidden="1" customHeight="1" x14ac:dyDescent="0.2">
      <c r="B776" s="67"/>
    </row>
    <row r="777" spans="2:2" ht="13.5" hidden="1" customHeight="1" x14ac:dyDescent="0.2">
      <c r="B777" s="67"/>
    </row>
    <row r="778" spans="2:2" ht="13.5" hidden="1" customHeight="1" x14ac:dyDescent="0.2">
      <c r="B778" s="67"/>
    </row>
    <row r="779" spans="2:2" ht="13.5" hidden="1" customHeight="1" x14ac:dyDescent="0.2">
      <c r="B779" s="67"/>
    </row>
    <row r="780" spans="2:2" ht="13.5" hidden="1" customHeight="1" x14ac:dyDescent="0.2">
      <c r="B780" s="67"/>
    </row>
    <row r="781" spans="2:2" ht="13.5" hidden="1" customHeight="1" x14ac:dyDescent="0.2">
      <c r="B781" s="67"/>
    </row>
    <row r="782" spans="2:2" ht="13.5" hidden="1" customHeight="1" x14ac:dyDescent="0.2">
      <c r="B782" s="67"/>
    </row>
    <row r="783" spans="2:2" ht="13.5" hidden="1" customHeight="1" x14ac:dyDescent="0.2">
      <c r="B783" s="67"/>
    </row>
    <row r="784" spans="2:2" ht="13.5" hidden="1" customHeight="1" x14ac:dyDescent="0.2">
      <c r="B784" s="67"/>
    </row>
    <row r="785" spans="2:2" ht="13.5" hidden="1" customHeight="1" x14ac:dyDescent="0.2">
      <c r="B785" s="67"/>
    </row>
    <row r="786" spans="2:2" ht="13.5" hidden="1" customHeight="1" x14ac:dyDescent="0.2">
      <c r="B786" s="67"/>
    </row>
    <row r="787" spans="2:2" ht="13.5" hidden="1" customHeight="1" x14ac:dyDescent="0.2">
      <c r="B787" s="67"/>
    </row>
    <row r="788" spans="2:2" ht="13.5" hidden="1" customHeight="1" x14ac:dyDescent="0.2">
      <c r="B788" s="67"/>
    </row>
    <row r="789" spans="2:2" ht="13.5" hidden="1" customHeight="1" x14ac:dyDescent="0.2">
      <c r="B789" s="67"/>
    </row>
    <row r="790" spans="2:2" ht="13.5" hidden="1" customHeight="1" x14ac:dyDescent="0.2">
      <c r="B790" s="67"/>
    </row>
    <row r="791" spans="2:2" ht="13.5" hidden="1" customHeight="1" x14ac:dyDescent="0.2">
      <c r="B791" s="67"/>
    </row>
    <row r="792" spans="2:2" ht="13.5" hidden="1" customHeight="1" x14ac:dyDescent="0.2">
      <c r="B792" s="67"/>
    </row>
    <row r="793" spans="2:2" ht="13.5" hidden="1" customHeight="1" x14ac:dyDescent="0.2">
      <c r="B793" s="67"/>
    </row>
    <row r="794" spans="2:2" ht="13.5" hidden="1" customHeight="1" x14ac:dyDescent="0.2">
      <c r="B794" s="67"/>
    </row>
    <row r="795" spans="2:2" ht="13.5" hidden="1" customHeight="1" x14ac:dyDescent="0.2">
      <c r="B795" s="67"/>
    </row>
    <row r="796" spans="2:2" ht="13.5" hidden="1" customHeight="1" x14ac:dyDescent="0.2">
      <c r="B796" s="67"/>
    </row>
    <row r="797" spans="2:2" ht="13.5" hidden="1" customHeight="1" x14ac:dyDescent="0.2">
      <c r="B797" s="67"/>
    </row>
    <row r="798" spans="2:2" ht="13.5" hidden="1" customHeight="1" x14ac:dyDescent="0.2">
      <c r="B798" s="67"/>
    </row>
    <row r="799" spans="2:2" ht="13.5" hidden="1" customHeight="1" x14ac:dyDescent="0.2">
      <c r="B799" s="67"/>
    </row>
    <row r="800" spans="2:2" ht="13.5" hidden="1" customHeight="1" x14ac:dyDescent="0.2">
      <c r="B800" s="67"/>
    </row>
    <row r="801" spans="2:2" ht="13.5" hidden="1" customHeight="1" x14ac:dyDescent="0.2">
      <c r="B801" s="67"/>
    </row>
    <row r="802" spans="2:2" ht="13.5" hidden="1" customHeight="1" x14ac:dyDescent="0.2">
      <c r="B802" s="67"/>
    </row>
    <row r="803" spans="2:2" ht="13.5" hidden="1" customHeight="1" x14ac:dyDescent="0.2">
      <c r="B803" s="67"/>
    </row>
    <row r="804" spans="2:2" ht="13.5" hidden="1" customHeight="1" x14ac:dyDescent="0.2">
      <c r="B804" s="67"/>
    </row>
    <row r="805" spans="2:2" ht="13.5" hidden="1" customHeight="1" x14ac:dyDescent="0.2">
      <c r="B805" s="67"/>
    </row>
    <row r="806" spans="2:2" ht="13.5" hidden="1" customHeight="1" x14ac:dyDescent="0.2">
      <c r="B806" s="67"/>
    </row>
    <row r="807" spans="2:2" ht="13.5" hidden="1" customHeight="1" x14ac:dyDescent="0.2">
      <c r="B807" s="67"/>
    </row>
    <row r="808" spans="2:2" ht="13.5" hidden="1" customHeight="1" x14ac:dyDescent="0.2">
      <c r="B808" s="67"/>
    </row>
    <row r="809" spans="2:2" ht="13.5" hidden="1" customHeight="1" x14ac:dyDescent="0.2">
      <c r="B809" s="67"/>
    </row>
    <row r="810" spans="2:2" ht="13.5" hidden="1" customHeight="1" x14ac:dyDescent="0.2">
      <c r="B810" s="67"/>
    </row>
    <row r="811" spans="2:2" ht="13.5" hidden="1" customHeight="1" x14ac:dyDescent="0.2">
      <c r="B811" s="67"/>
    </row>
    <row r="812" spans="2:2" ht="13.5" hidden="1" customHeight="1" x14ac:dyDescent="0.2">
      <c r="B812" s="67"/>
    </row>
    <row r="813" spans="2:2" ht="13.5" hidden="1" customHeight="1" x14ac:dyDescent="0.2">
      <c r="B813" s="67"/>
    </row>
    <row r="814" spans="2:2" ht="13.5" hidden="1" customHeight="1" x14ac:dyDescent="0.2">
      <c r="B814" s="67"/>
    </row>
    <row r="815" spans="2:2" ht="13.5" hidden="1" customHeight="1" x14ac:dyDescent="0.2">
      <c r="B815" s="67"/>
    </row>
    <row r="816" spans="2:2" ht="13.5" hidden="1" customHeight="1" x14ac:dyDescent="0.2">
      <c r="B816" s="67"/>
    </row>
    <row r="817" spans="2:2" ht="13.5" hidden="1" customHeight="1" x14ac:dyDescent="0.2">
      <c r="B817" s="67"/>
    </row>
    <row r="818" spans="2:2" ht="13.5" hidden="1" customHeight="1" x14ac:dyDescent="0.2">
      <c r="B818" s="67"/>
    </row>
    <row r="819" spans="2:2" ht="13.5" hidden="1" customHeight="1" x14ac:dyDescent="0.2">
      <c r="B819" s="67"/>
    </row>
    <row r="820" spans="2:2" ht="13.5" hidden="1" customHeight="1" x14ac:dyDescent="0.2">
      <c r="B820" s="67"/>
    </row>
    <row r="821" spans="2:2" ht="13.5" hidden="1" customHeight="1" x14ac:dyDescent="0.2">
      <c r="B821" s="67"/>
    </row>
    <row r="822" spans="2:2" ht="13.5" hidden="1" customHeight="1" x14ac:dyDescent="0.2">
      <c r="B822" s="67"/>
    </row>
    <row r="823" spans="2:2" ht="13.5" hidden="1" customHeight="1" x14ac:dyDescent="0.2">
      <c r="B823" s="67"/>
    </row>
    <row r="824" spans="2:2" ht="13.5" hidden="1" customHeight="1" x14ac:dyDescent="0.2">
      <c r="B824" s="67"/>
    </row>
    <row r="825" spans="2:2" ht="13.5" hidden="1" customHeight="1" x14ac:dyDescent="0.2">
      <c r="B825" s="67"/>
    </row>
    <row r="826" spans="2:2" ht="13.5" hidden="1" customHeight="1" x14ac:dyDescent="0.2">
      <c r="B826" s="67"/>
    </row>
    <row r="827" spans="2:2" ht="13.5" hidden="1" customHeight="1" x14ac:dyDescent="0.2">
      <c r="B827" s="67"/>
    </row>
    <row r="828" spans="2:2" ht="13.5" hidden="1" customHeight="1" x14ac:dyDescent="0.2">
      <c r="B828" s="67"/>
    </row>
    <row r="829" spans="2:2" ht="13.5" hidden="1" customHeight="1" x14ac:dyDescent="0.2">
      <c r="B829" s="67"/>
    </row>
    <row r="830" spans="2:2" ht="13.5" hidden="1" customHeight="1" x14ac:dyDescent="0.2">
      <c r="B830" s="67"/>
    </row>
    <row r="831" spans="2:2" ht="13.5" hidden="1" customHeight="1" x14ac:dyDescent="0.2">
      <c r="B831" s="67"/>
    </row>
    <row r="832" spans="2:2" ht="13.5" hidden="1" customHeight="1" x14ac:dyDescent="0.2">
      <c r="B832" s="67"/>
    </row>
    <row r="833" spans="2:2" ht="13.5" hidden="1" customHeight="1" x14ac:dyDescent="0.2">
      <c r="B833" s="67"/>
    </row>
    <row r="834" spans="2:2" ht="13.5" hidden="1" customHeight="1" x14ac:dyDescent="0.2">
      <c r="B834" s="67"/>
    </row>
    <row r="835" spans="2:2" ht="13.5" hidden="1" customHeight="1" x14ac:dyDescent="0.2">
      <c r="B835" s="67"/>
    </row>
    <row r="836" spans="2:2" ht="13.5" hidden="1" customHeight="1" x14ac:dyDescent="0.2">
      <c r="B836" s="67"/>
    </row>
    <row r="837" spans="2:2" ht="13.5" hidden="1" customHeight="1" x14ac:dyDescent="0.2">
      <c r="B837" s="67"/>
    </row>
    <row r="838" spans="2:2" ht="13.5" hidden="1" customHeight="1" x14ac:dyDescent="0.2">
      <c r="B838" s="67"/>
    </row>
    <row r="839" spans="2:2" ht="13.5" hidden="1" customHeight="1" x14ac:dyDescent="0.2">
      <c r="B839" s="67"/>
    </row>
    <row r="840" spans="2:2" ht="13.5" hidden="1" customHeight="1" x14ac:dyDescent="0.2">
      <c r="B840" s="67"/>
    </row>
    <row r="841" spans="2:2" ht="13.5" hidden="1" customHeight="1" x14ac:dyDescent="0.2">
      <c r="B841" s="67"/>
    </row>
    <row r="842" spans="2:2" ht="13.5" hidden="1" customHeight="1" x14ac:dyDescent="0.2">
      <c r="B842" s="67"/>
    </row>
    <row r="843" spans="2:2" ht="13.5" hidden="1" customHeight="1" x14ac:dyDescent="0.2">
      <c r="B843" s="67"/>
    </row>
    <row r="844" spans="2:2" ht="13.5" hidden="1" customHeight="1" x14ac:dyDescent="0.2">
      <c r="B844" s="67"/>
    </row>
    <row r="845" spans="2:2" ht="13.5" hidden="1" customHeight="1" x14ac:dyDescent="0.2">
      <c r="B845" s="67"/>
    </row>
    <row r="846" spans="2:2" ht="13.5" hidden="1" customHeight="1" x14ac:dyDescent="0.2">
      <c r="B846" s="67"/>
    </row>
    <row r="847" spans="2:2" ht="13.5" hidden="1" customHeight="1" x14ac:dyDescent="0.2">
      <c r="B847" s="67"/>
    </row>
    <row r="848" spans="2:2" ht="13.5" hidden="1" customHeight="1" x14ac:dyDescent="0.2">
      <c r="B848" s="67"/>
    </row>
    <row r="849" spans="2:2" ht="13.5" hidden="1" customHeight="1" x14ac:dyDescent="0.2">
      <c r="B849" s="67"/>
    </row>
    <row r="850" spans="2:2" ht="13.5" hidden="1" customHeight="1" x14ac:dyDescent="0.2">
      <c r="B850" s="67"/>
    </row>
    <row r="851" spans="2:2" ht="13.5" hidden="1" customHeight="1" x14ac:dyDescent="0.2">
      <c r="B851" s="67"/>
    </row>
    <row r="852" spans="2:2" ht="13.5" hidden="1" customHeight="1" x14ac:dyDescent="0.2">
      <c r="B852" s="67"/>
    </row>
    <row r="853" spans="2:2" ht="13.5" hidden="1" customHeight="1" x14ac:dyDescent="0.2">
      <c r="B853" s="67"/>
    </row>
    <row r="854" spans="2:2" ht="13.5" hidden="1" customHeight="1" x14ac:dyDescent="0.2">
      <c r="B854" s="67"/>
    </row>
    <row r="855" spans="2:2" ht="13.5" hidden="1" customHeight="1" x14ac:dyDescent="0.2">
      <c r="B855" s="67"/>
    </row>
    <row r="856" spans="2:2" ht="13.5" hidden="1" customHeight="1" x14ac:dyDescent="0.2">
      <c r="B856" s="67"/>
    </row>
    <row r="857" spans="2:2" ht="13.5" hidden="1" customHeight="1" x14ac:dyDescent="0.2">
      <c r="B857" s="67"/>
    </row>
    <row r="858" spans="2:2" ht="13.5" hidden="1" customHeight="1" x14ac:dyDescent="0.2">
      <c r="B858" s="67"/>
    </row>
    <row r="859" spans="2:2" ht="13.5" hidden="1" customHeight="1" x14ac:dyDescent="0.2">
      <c r="B859" s="67"/>
    </row>
    <row r="860" spans="2:2" ht="13.5" hidden="1" customHeight="1" x14ac:dyDescent="0.2">
      <c r="B860" s="67"/>
    </row>
    <row r="861" spans="2:2" ht="13.5" hidden="1" customHeight="1" x14ac:dyDescent="0.2">
      <c r="B861" s="67"/>
    </row>
    <row r="862" spans="2:2" ht="13.5" hidden="1" customHeight="1" x14ac:dyDescent="0.2">
      <c r="B862" s="67"/>
    </row>
    <row r="863" spans="2:2" ht="13.5" hidden="1" customHeight="1" x14ac:dyDescent="0.2">
      <c r="B863" s="67"/>
    </row>
    <row r="864" spans="2:2" ht="13.5" hidden="1" customHeight="1" x14ac:dyDescent="0.2">
      <c r="B864" s="67"/>
    </row>
    <row r="865" spans="2:2" ht="13.5" hidden="1" customHeight="1" x14ac:dyDescent="0.2">
      <c r="B865" s="67"/>
    </row>
    <row r="866" spans="2:2" ht="13.5" hidden="1" customHeight="1" x14ac:dyDescent="0.2">
      <c r="B866" s="67"/>
    </row>
    <row r="867" spans="2:2" ht="13.5" hidden="1" customHeight="1" x14ac:dyDescent="0.2">
      <c r="B867" s="67"/>
    </row>
    <row r="868" spans="2:2" ht="13.5" hidden="1" customHeight="1" x14ac:dyDescent="0.2">
      <c r="B868" s="67"/>
    </row>
    <row r="869" spans="2:2" ht="13.5" hidden="1" customHeight="1" x14ac:dyDescent="0.2">
      <c r="B869" s="67"/>
    </row>
    <row r="870" spans="2:2" ht="13.5" hidden="1" customHeight="1" x14ac:dyDescent="0.2">
      <c r="B870" s="67"/>
    </row>
    <row r="871" spans="2:2" ht="13.5" hidden="1" customHeight="1" x14ac:dyDescent="0.2">
      <c r="B871" s="67"/>
    </row>
    <row r="872" spans="2:2" ht="13.5" hidden="1" customHeight="1" x14ac:dyDescent="0.2">
      <c r="B872" s="67"/>
    </row>
    <row r="873" spans="2:2" ht="13.5" hidden="1" customHeight="1" x14ac:dyDescent="0.2">
      <c r="B873" s="67"/>
    </row>
    <row r="874" spans="2:2" ht="13.5" hidden="1" customHeight="1" x14ac:dyDescent="0.2">
      <c r="B874" s="67"/>
    </row>
    <row r="875" spans="2:2" ht="13.5" hidden="1" customHeight="1" x14ac:dyDescent="0.2">
      <c r="B875" s="67"/>
    </row>
    <row r="876" spans="2:2" ht="13.5" hidden="1" customHeight="1" x14ac:dyDescent="0.2">
      <c r="B876" s="67"/>
    </row>
    <row r="877" spans="2:2" ht="13.5" hidden="1" customHeight="1" x14ac:dyDescent="0.2">
      <c r="B877" s="67"/>
    </row>
    <row r="878" spans="2:2" ht="13.5" hidden="1" customHeight="1" x14ac:dyDescent="0.2">
      <c r="B878" s="67"/>
    </row>
    <row r="879" spans="2:2" ht="13.5" hidden="1" customHeight="1" x14ac:dyDescent="0.2">
      <c r="B879" s="67"/>
    </row>
    <row r="880" spans="2:2" ht="13.5" hidden="1" customHeight="1" x14ac:dyDescent="0.2">
      <c r="B880" s="67"/>
    </row>
    <row r="881" spans="2:2" ht="13.5" hidden="1" customHeight="1" x14ac:dyDescent="0.2">
      <c r="B881" s="67"/>
    </row>
    <row r="882" spans="2:2" ht="13.5" hidden="1" customHeight="1" x14ac:dyDescent="0.2">
      <c r="B882" s="67"/>
    </row>
    <row r="883" spans="2:2" ht="13.5" hidden="1" customHeight="1" x14ac:dyDescent="0.2">
      <c r="B883" s="67"/>
    </row>
    <row r="884" spans="2:2" ht="13.5" hidden="1" customHeight="1" x14ac:dyDescent="0.2">
      <c r="B884" s="67"/>
    </row>
    <row r="885" spans="2:2" ht="13.5" hidden="1" customHeight="1" x14ac:dyDescent="0.2">
      <c r="B885" s="67"/>
    </row>
    <row r="886" spans="2:2" ht="13.5" hidden="1" customHeight="1" x14ac:dyDescent="0.2">
      <c r="B886" s="67"/>
    </row>
    <row r="887" spans="2:2" ht="13.5" hidden="1" customHeight="1" x14ac:dyDescent="0.2">
      <c r="B887" s="67"/>
    </row>
    <row r="888" spans="2:2" ht="13.5" hidden="1" customHeight="1" x14ac:dyDescent="0.2">
      <c r="B888" s="67"/>
    </row>
    <row r="889" spans="2:2" ht="13.5" hidden="1" customHeight="1" x14ac:dyDescent="0.2">
      <c r="B889" s="67"/>
    </row>
    <row r="890" spans="2:2" ht="13.5" hidden="1" customHeight="1" x14ac:dyDescent="0.2">
      <c r="B890" s="67"/>
    </row>
    <row r="891" spans="2:2" ht="13.5" hidden="1" customHeight="1" x14ac:dyDescent="0.2">
      <c r="B891" s="67"/>
    </row>
    <row r="892" spans="2:2" ht="13.5" hidden="1" customHeight="1" x14ac:dyDescent="0.2">
      <c r="B892" s="67"/>
    </row>
    <row r="893" spans="2:2" ht="13.5" hidden="1" customHeight="1" x14ac:dyDescent="0.2">
      <c r="B893" s="67"/>
    </row>
    <row r="894" spans="2:2" ht="13.5" hidden="1" customHeight="1" x14ac:dyDescent="0.2">
      <c r="B894" s="67"/>
    </row>
    <row r="895" spans="2:2" ht="13.5" hidden="1" customHeight="1" x14ac:dyDescent="0.2">
      <c r="B895" s="67"/>
    </row>
    <row r="896" spans="2:2" ht="13.5" hidden="1" customHeight="1" x14ac:dyDescent="0.2">
      <c r="B896" s="67"/>
    </row>
    <row r="897" spans="2:2" ht="13.5" hidden="1" customHeight="1" x14ac:dyDescent="0.2">
      <c r="B897" s="67"/>
    </row>
    <row r="898" spans="2:2" ht="13.5" hidden="1" customHeight="1" x14ac:dyDescent="0.2">
      <c r="B898" s="67"/>
    </row>
    <row r="899" spans="2:2" ht="13.5" hidden="1" customHeight="1" x14ac:dyDescent="0.2">
      <c r="B899" s="67"/>
    </row>
    <row r="900" spans="2:2" ht="13.5" hidden="1" customHeight="1" x14ac:dyDescent="0.2">
      <c r="B900" s="67"/>
    </row>
    <row r="901" spans="2:2" ht="13.5" hidden="1" customHeight="1" x14ac:dyDescent="0.2">
      <c r="B901" s="67"/>
    </row>
    <row r="902" spans="2:2" ht="13.5" hidden="1" customHeight="1" x14ac:dyDescent="0.2">
      <c r="B902" s="67"/>
    </row>
    <row r="903" spans="2:2" ht="13.5" hidden="1" customHeight="1" x14ac:dyDescent="0.2">
      <c r="B903" s="67"/>
    </row>
    <row r="904" spans="2:2" ht="13.5" hidden="1" customHeight="1" x14ac:dyDescent="0.2">
      <c r="B904" s="67"/>
    </row>
    <row r="905" spans="2:2" ht="13.5" hidden="1" customHeight="1" x14ac:dyDescent="0.2">
      <c r="B905" s="67"/>
    </row>
    <row r="906" spans="2:2" ht="13.5" hidden="1" customHeight="1" x14ac:dyDescent="0.2">
      <c r="B906" s="67"/>
    </row>
    <row r="907" spans="2:2" ht="13.5" hidden="1" customHeight="1" x14ac:dyDescent="0.2">
      <c r="B907" s="67"/>
    </row>
    <row r="908" spans="2:2" ht="13.5" hidden="1" customHeight="1" x14ac:dyDescent="0.2">
      <c r="B908" s="67"/>
    </row>
    <row r="909" spans="2:2" ht="13.5" hidden="1" customHeight="1" x14ac:dyDescent="0.2">
      <c r="B909" s="67"/>
    </row>
    <row r="910" spans="2:2" ht="13.5" hidden="1" customHeight="1" x14ac:dyDescent="0.2">
      <c r="B910" s="67"/>
    </row>
    <row r="911" spans="2:2" ht="13.5" hidden="1" customHeight="1" x14ac:dyDescent="0.2">
      <c r="B911" s="67"/>
    </row>
    <row r="912" spans="2:2" ht="13.5" hidden="1" customHeight="1" x14ac:dyDescent="0.2">
      <c r="B912" s="67"/>
    </row>
    <row r="913" spans="2:2" ht="13.5" hidden="1" customHeight="1" x14ac:dyDescent="0.2">
      <c r="B913" s="67"/>
    </row>
    <row r="914" spans="2:2" ht="13.5" hidden="1" customHeight="1" x14ac:dyDescent="0.2">
      <c r="B914" s="67"/>
    </row>
    <row r="915" spans="2:2" ht="13.5" hidden="1" customHeight="1" x14ac:dyDescent="0.2">
      <c r="B915" s="67"/>
    </row>
    <row r="916" spans="2:2" ht="13.5" hidden="1" customHeight="1" x14ac:dyDescent="0.2">
      <c r="B916" s="67"/>
    </row>
    <row r="917" spans="2:2" ht="13.5" hidden="1" customHeight="1" x14ac:dyDescent="0.2">
      <c r="B917" s="67"/>
    </row>
    <row r="918" spans="2:2" ht="13.5" hidden="1" customHeight="1" x14ac:dyDescent="0.2">
      <c r="B918" s="67"/>
    </row>
    <row r="919" spans="2:2" ht="13.5" hidden="1" customHeight="1" x14ac:dyDescent="0.2">
      <c r="B919" s="67"/>
    </row>
    <row r="920" spans="2:2" ht="13.5" hidden="1" customHeight="1" x14ac:dyDescent="0.2">
      <c r="B920" s="67"/>
    </row>
    <row r="921" spans="2:2" ht="13.5" hidden="1" customHeight="1" x14ac:dyDescent="0.2">
      <c r="B921" s="67"/>
    </row>
    <row r="922" spans="2:2" ht="13.5" hidden="1" customHeight="1" x14ac:dyDescent="0.2">
      <c r="B922" s="67"/>
    </row>
    <row r="923" spans="2:2" ht="13.5" hidden="1" customHeight="1" x14ac:dyDescent="0.2">
      <c r="B923" s="67"/>
    </row>
    <row r="924" spans="2:2" ht="13.5" hidden="1" customHeight="1" x14ac:dyDescent="0.2">
      <c r="B924" s="67"/>
    </row>
    <row r="925" spans="2:2" ht="13.5" hidden="1" customHeight="1" x14ac:dyDescent="0.2">
      <c r="B925" s="67"/>
    </row>
    <row r="926" spans="2:2" ht="13.5" hidden="1" customHeight="1" x14ac:dyDescent="0.2">
      <c r="B926" s="67"/>
    </row>
    <row r="927" spans="2:2" ht="13.5" hidden="1" customHeight="1" x14ac:dyDescent="0.2">
      <c r="B927" s="67"/>
    </row>
    <row r="928" spans="2:2" ht="13.5" hidden="1" customHeight="1" x14ac:dyDescent="0.2">
      <c r="B928" s="67"/>
    </row>
    <row r="929" spans="2:2" ht="13.5" hidden="1" customHeight="1" x14ac:dyDescent="0.2">
      <c r="B929" s="67"/>
    </row>
    <row r="930" spans="2:2" ht="13.5" hidden="1" customHeight="1" x14ac:dyDescent="0.2">
      <c r="B930" s="67"/>
    </row>
    <row r="931" spans="2:2" ht="13.5" hidden="1" customHeight="1" x14ac:dyDescent="0.2">
      <c r="B931" s="67"/>
    </row>
    <row r="932" spans="2:2" ht="13.5" hidden="1" customHeight="1" x14ac:dyDescent="0.2">
      <c r="B932" s="67"/>
    </row>
    <row r="933" spans="2:2" ht="13.5" hidden="1" customHeight="1" x14ac:dyDescent="0.2">
      <c r="B933" s="67"/>
    </row>
    <row r="934" spans="2:2" ht="13.5" hidden="1" customHeight="1" x14ac:dyDescent="0.2">
      <c r="B934" s="67"/>
    </row>
    <row r="935" spans="2:2" ht="13.5" hidden="1" customHeight="1" x14ac:dyDescent="0.2">
      <c r="B935" s="67"/>
    </row>
    <row r="936" spans="2:2" ht="13.5" hidden="1" customHeight="1" x14ac:dyDescent="0.2">
      <c r="B936" s="67"/>
    </row>
    <row r="937" spans="2:2" ht="13.5" hidden="1" customHeight="1" x14ac:dyDescent="0.2">
      <c r="B937" s="67"/>
    </row>
    <row r="938" spans="2:2" ht="13.5" hidden="1" customHeight="1" x14ac:dyDescent="0.2">
      <c r="B938" s="67"/>
    </row>
    <row r="939" spans="2:2" ht="13.5" hidden="1" customHeight="1" x14ac:dyDescent="0.2">
      <c r="B939" s="67"/>
    </row>
    <row r="940" spans="2:2" ht="13.5" hidden="1" customHeight="1" x14ac:dyDescent="0.2">
      <c r="B940" s="67"/>
    </row>
    <row r="941" spans="2:2" ht="13.5" hidden="1" customHeight="1" x14ac:dyDescent="0.2">
      <c r="B941" s="67"/>
    </row>
    <row r="942" spans="2:2" ht="13.5" hidden="1" customHeight="1" x14ac:dyDescent="0.2">
      <c r="B942" s="67"/>
    </row>
    <row r="943" spans="2:2" ht="13.5" hidden="1" customHeight="1" x14ac:dyDescent="0.2">
      <c r="B943" s="67"/>
    </row>
    <row r="944" spans="2:2" ht="13.5" hidden="1" customHeight="1" x14ac:dyDescent="0.2">
      <c r="B944" s="67"/>
    </row>
    <row r="945" spans="2:2" ht="13.5" hidden="1" customHeight="1" x14ac:dyDescent="0.2">
      <c r="B945" s="67"/>
    </row>
    <row r="946" spans="2:2" ht="13.5" hidden="1" customHeight="1" x14ac:dyDescent="0.2">
      <c r="B946" s="67"/>
    </row>
    <row r="947" spans="2:2" ht="13.5" hidden="1" customHeight="1" x14ac:dyDescent="0.2">
      <c r="B947" s="67"/>
    </row>
    <row r="948" spans="2:2" ht="13.5" hidden="1" customHeight="1" x14ac:dyDescent="0.2">
      <c r="B948" s="67"/>
    </row>
    <row r="949" spans="2:2" ht="13.5" hidden="1" customHeight="1" x14ac:dyDescent="0.2">
      <c r="B949" s="67"/>
    </row>
    <row r="950" spans="2:2" ht="13.5" hidden="1" customHeight="1" x14ac:dyDescent="0.2">
      <c r="B950" s="67"/>
    </row>
    <row r="951" spans="2:2" ht="13.5" hidden="1" customHeight="1" x14ac:dyDescent="0.2">
      <c r="B951" s="67"/>
    </row>
    <row r="952" spans="2:2" ht="13.5" hidden="1" customHeight="1" x14ac:dyDescent="0.2">
      <c r="B952" s="67"/>
    </row>
    <row r="953" spans="2:2" ht="13.5" hidden="1" customHeight="1" x14ac:dyDescent="0.2">
      <c r="B953" s="67"/>
    </row>
    <row r="954" spans="2:2" ht="13.5" hidden="1" customHeight="1" x14ac:dyDescent="0.2">
      <c r="B954" s="67"/>
    </row>
    <row r="955" spans="2:2" ht="13.5" hidden="1" customHeight="1" x14ac:dyDescent="0.2">
      <c r="B955" s="67"/>
    </row>
    <row r="956" spans="2:2" ht="13.5" hidden="1" customHeight="1" x14ac:dyDescent="0.2">
      <c r="B956" s="67"/>
    </row>
    <row r="957" spans="2:2" ht="13.5" hidden="1" customHeight="1" x14ac:dyDescent="0.2">
      <c r="B957" s="67"/>
    </row>
    <row r="958" spans="2:2" ht="13.5" hidden="1" customHeight="1" x14ac:dyDescent="0.2">
      <c r="B958" s="67"/>
    </row>
    <row r="959" spans="2:2" ht="13.5" hidden="1" customHeight="1" x14ac:dyDescent="0.2">
      <c r="B959" s="67"/>
    </row>
    <row r="960" spans="2:2" ht="13.5" hidden="1" customHeight="1" x14ac:dyDescent="0.2">
      <c r="B960" s="67"/>
    </row>
    <row r="961" spans="2:2" ht="13.5" hidden="1" customHeight="1" x14ac:dyDescent="0.2">
      <c r="B961" s="67"/>
    </row>
    <row r="962" spans="2:2" ht="13.5" hidden="1" customHeight="1" x14ac:dyDescent="0.2">
      <c r="B962" s="67"/>
    </row>
    <row r="963" spans="2:2" ht="13.5" hidden="1" customHeight="1" x14ac:dyDescent="0.2">
      <c r="B963" s="67"/>
    </row>
    <row r="964" spans="2:2" ht="13.5" hidden="1" customHeight="1" x14ac:dyDescent="0.2">
      <c r="B964" s="67"/>
    </row>
    <row r="965" spans="2:2" ht="13.5" hidden="1" customHeight="1" x14ac:dyDescent="0.2">
      <c r="B965" s="67"/>
    </row>
    <row r="966" spans="2:2" ht="13.5" hidden="1" customHeight="1" x14ac:dyDescent="0.2">
      <c r="B966" s="67"/>
    </row>
    <row r="967" spans="2:2" ht="13.5" hidden="1" customHeight="1" x14ac:dyDescent="0.2">
      <c r="B967" s="67"/>
    </row>
    <row r="968" spans="2:2" ht="13.5" hidden="1" customHeight="1" x14ac:dyDescent="0.2">
      <c r="B968" s="67"/>
    </row>
    <row r="969" spans="2:2" ht="13.5" hidden="1" customHeight="1" x14ac:dyDescent="0.2">
      <c r="B969" s="67"/>
    </row>
    <row r="970" spans="2:2" ht="13.5" hidden="1" customHeight="1" x14ac:dyDescent="0.2">
      <c r="B970" s="67"/>
    </row>
    <row r="971" spans="2:2" ht="13.5" hidden="1" customHeight="1" x14ac:dyDescent="0.2">
      <c r="B971" s="67"/>
    </row>
    <row r="972" spans="2:2" ht="13.5" hidden="1" customHeight="1" x14ac:dyDescent="0.2">
      <c r="B972" s="67"/>
    </row>
    <row r="973" spans="2:2" ht="13.5" hidden="1" customHeight="1" x14ac:dyDescent="0.2">
      <c r="B973" s="67"/>
    </row>
    <row r="974" spans="2:2" ht="13.5" hidden="1" customHeight="1" x14ac:dyDescent="0.2">
      <c r="B974" s="67"/>
    </row>
    <row r="975" spans="2:2" ht="13.5" hidden="1" customHeight="1" x14ac:dyDescent="0.2">
      <c r="B975" s="67"/>
    </row>
    <row r="976" spans="2:2" ht="13.5" hidden="1" customHeight="1" x14ac:dyDescent="0.2">
      <c r="B976" s="67"/>
    </row>
    <row r="977" spans="2:2" ht="13.5" hidden="1" customHeight="1" x14ac:dyDescent="0.2">
      <c r="B977" s="67"/>
    </row>
    <row r="978" spans="2:2" ht="13.5" hidden="1" customHeight="1" x14ac:dyDescent="0.2">
      <c r="B978" s="67"/>
    </row>
    <row r="979" spans="2:2" ht="13.5" hidden="1" customHeight="1" x14ac:dyDescent="0.2">
      <c r="B979" s="67"/>
    </row>
    <row r="980" spans="2:2" ht="13.5" hidden="1" customHeight="1" x14ac:dyDescent="0.2">
      <c r="B980" s="67"/>
    </row>
    <row r="981" spans="2:2" ht="13.5" hidden="1" customHeight="1" x14ac:dyDescent="0.2">
      <c r="B981" s="67"/>
    </row>
    <row r="982" spans="2:2" ht="13.5" hidden="1" customHeight="1" x14ac:dyDescent="0.2">
      <c r="B982" s="67"/>
    </row>
    <row r="983" spans="2:2" ht="13.5" hidden="1" customHeight="1" x14ac:dyDescent="0.2">
      <c r="B983" s="67"/>
    </row>
    <row r="984" spans="2:2" ht="13.5" hidden="1" customHeight="1" x14ac:dyDescent="0.2">
      <c r="B984" s="67"/>
    </row>
    <row r="985" spans="2:2" ht="13.5" hidden="1" customHeight="1" x14ac:dyDescent="0.2">
      <c r="B985" s="67"/>
    </row>
    <row r="986" spans="2:2" ht="13.5" hidden="1" customHeight="1" x14ac:dyDescent="0.2">
      <c r="B986" s="67"/>
    </row>
    <row r="987" spans="2:2" ht="13.5" hidden="1" customHeight="1" x14ac:dyDescent="0.2">
      <c r="B987" s="67"/>
    </row>
    <row r="988" spans="2:2" ht="13.5" hidden="1" customHeight="1" x14ac:dyDescent="0.2">
      <c r="B988" s="67"/>
    </row>
    <row r="989" spans="2:2" ht="13.5" hidden="1" customHeight="1" x14ac:dyDescent="0.2">
      <c r="B989" s="67"/>
    </row>
    <row r="990" spans="2:2" ht="13.5" hidden="1" customHeight="1" x14ac:dyDescent="0.2">
      <c r="B990" s="67"/>
    </row>
    <row r="991" spans="2:2" ht="13.5" hidden="1" customHeight="1" x14ac:dyDescent="0.2">
      <c r="B991" s="67"/>
    </row>
    <row r="992" spans="2:2" ht="13.5" hidden="1" customHeight="1" x14ac:dyDescent="0.2">
      <c r="B992" s="67"/>
    </row>
    <row r="993" spans="2:2" ht="13.5" hidden="1" customHeight="1" x14ac:dyDescent="0.2">
      <c r="B993" s="67"/>
    </row>
    <row r="994" spans="2:2" ht="13.5" hidden="1" customHeight="1" x14ac:dyDescent="0.2">
      <c r="B994" s="67"/>
    </row>
    <row r="995" spans="2:2" ht="13.5" hidden="1" customHeight="1" x14ac:dyDescent="0.2">
      <c r="B995" s="67"/>
    </row>
    <row r="996" spans="2:2" ht="13.5" hidden="1" customHeight="1" x14ac:dyDescent="0.2">
      <c r="B996" s="67"/>
    </row>
    <row r="997" spans="2:2" ht="13.5" hidden="1" customHeight="1" x14ac:dyDescent="0.2">
      <c r="B997" s="67"/>
    </row>
    <row r="998" spans="2:2" ht="13.5" hidden="1" customHeight="1" x14ac:dyDescent="0.2">
      <c r="B998" s="67"/>
    </row>
    <row r="999" spans="2:2" ht="13.5" hidden="1" customHeight="1" x14ac:dyDescent="0.2">
      <c r="B999" s="67"/>
    </row>
    <row r="1000" spans="2:2" ht="13.5" hidden="1" customHeight="1" x14ac:dyDescent="0.2">
      <c r="B1000" s="67"/>
    </row>
  </sheetData>
  <autoFilter ref="B1:B1000" xr:uid="{00000000-0001-0000-0600-000000000000}">
    <filterColumn colId="0">
      <filters>
        <filter val="17053103"/>
      </filters>
    </filterColumn>
  </autoFilter>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rightToLeft="1" workbookViewId="0"/>
  </sheetViews>
  <sheetFormatPr defaultColWidth="12.625" defaultRowHeight="15" customHeight="1" x14ac:dyDescent="0.2"/>
  <cols>
    <col min="1" max="1" width="4.75" customWidth="1"/>
    <col min="2" max="2" width="30" customWidth="1"/>
    <col min="3" max="3" width="18.25" customWidth="1"/>
    <col min="4" max="5" width="17.75" customWidth="1"/>
    <col min="6" max="6" width="11.375" customWidth="1"/>
    <col min="7" max="7" width="26.75" customWidth="1"/>
    <col min="8" max="8" width="9" customWidth="1"/>
    <col min="9" max="11" width="8.75" customWidth="1"/>
  </cols>
  <sheetData>
    <row r="1" spans="1:11" ht="14.25" customHeight="1" x14ac:dyDescent="0.25">
      <c r="A1" s="145" t="s">
        <v>470</v>
      </c>
      <c r="B1" s="145" t="s">
        <v>3710</v>
      </c>
      <c r="C1" s="145" t="s">
        <v>3711</v>
      </c>
      <c r="D1" s="145" t="s">
        <v>1854</v>
      </c>
      <c r="E1" s="145" t="s">
        <v>1637</v>
      </c>
      <c r="F1" s="145" t="s">
        <v>1550</v>
      </c>
      <c r="G1" s="145" t="s">
        <v>3712</v>
      </c>
      <c r="H1" s="259" t="s">
        <v>3713</v>
      </c>
      <c r="I1" s="260"/>
      <c r="J1" s="260"/>
    </row>
    <row r="2" spans="1:11" ht="14.25" customHeight="1" x14ac:dyDescent="0.25">
      <c r="A2" s="29">
        <v>1</v>
      </c>
      <c r="B2" s="29" t="s">
        <v>3714</v>
      </c>
      <c r="C2" s="261">
        <v>55</v>
      </c>
      <c r="D2" s="261"/>
      <c r="E2" s="261"/>
      <c r="F2" s="261"/>
      <c r="G2" s="261"/>
      <c r="H2" s="262" t="s">
        <v>3715</v>
      </c>
      <c r="I2" s="262"/>
      <c r="J2" s="262"/>
      <c r="K2" s="262"/>
    </row>
    <row r="3" spans="1:11" ht="14.25" customHeight="1" x14ac:dyDescent="0.25">
      <c r="A3" s="29">
        <v>2</v>
      </c>
      <c r="B3" s="29" t="s">
        <v>3716</v>
      </c>
      <c r="C3" s="261">
        <v>120</v>
      </c>
      <c r="D3" s="261"/>
      <c r="E3" s="261"/>
      <c r="F3" s="261"/>
      <c r="G3" s="261"/>
      <c r="H3" s="262"/>
      <c r="I3" s="262"/>
      <c r="J3" s="262"/>
      <c r="K3" s="262"/>
    </row>
    <row r="4" spans="1:11" ht="14.25" customHeight="1" x14ac:dyDescent="0.25">
      <c r="A4" s="29">
        <v>3</v>
      </c>
      <c r="B4" s="29" t="s">
        <v>3717</v>
      </c>
      <c r="C4" s="261">
        <v>340</v>
      </c>
      <c r="D4" s="261"/>
      <c r="E4" s="261"/>
      <c r="F4" s="261"/>
      <c r="G4" s="261"/>
      <c r="H4" s="262" t="s">
        <v>3718</v>
      </c>
      <c r="I4" s="262"/>
      <c r="J4" s="262"/>
      <c r="K4" s="262"/>
    </row>
    <row r="5" spans="1:11" ht="14.25" customHeight="1" x14ac:dyDescent="0.25">
      <c r="A5" s="29">
        <v>4</v>
      </c>
      <c r="B5" s="29" t="s">
        <v>3719</v>
      </c>
      <c r="C5" s="261">
        <v>320</v>
      </c>
      <c r="D5" s="261"/>
      <c r="E5" s="261"/>
      <c r="F5" s="261"/>
      <c r="G5" s="261"/>
      <c r="H5" s="262"/>
      <c r="I5" s="262"/>
      <c r="J5" s="262"/>
      <c r="K5" s="262"/>
    </row>
    <row r="6" spans="1:11" ht="14.25" customHeight="1" x14ac:dyDescent="0.25">
      <c r="A6" s="29">
        <v>5</v>
      </c>
      <c r="B6" s="29" t="s">
        <v>3720</v>
      </c>
      <c r="C6" s="261">
        <v>420</v>
      </c>
      <c r="D6" s="261"/>
      <c r="E6" s="261"/>
      <c r="F6" s="261"/>
      <c r="G6" s="261"/>
      <c r="H6" s="262" t="s">
        <v>3721</v>
      </c>
      <c r="I6" s="262"/>
      <c r="J6" s="262"/>
      <c r="K6" s="262"/>
    </row>
    <row r="7" spans="1:11" ht="14.25" customHeight="1" x14ac:dyDescent="0.25">
      <c r="A7" s="29">
        <v>6</v>
      </c>
      <c r="B7" s="29" t="s">
        <v>3722</v>
      </c>
      <c r="C7" s="261">
        <v>460</v>
      </c>
      <c r="D7" s="261"/>
      <c r="E7" s="261"/>
      <c r="F7" s="261"/>
      <c r="G7" s="261"/>
      <c r="H7" s="262" t="s">
        <v>3723</v>
      </c>
      <c r="I7" s="262"/>
      <c r="J7" s="262"/>
      <c r="K7" s="262"/>
    </row>
    <row r="8" spans="1:11" ht="14.25" customHeight="1" x14ac:dyDescent="0.25">
      <c r="A8" s="29">
        <v>7</v>
      </c>
      <c r="B8" s="29" t="s">
        <v>3724</v>
      </c>
      <c r="C8" s="261">
        <v>168</v>
      </c>
      <c r="D8" s="261"/>
      <c r="E8" s="261"/>
      <c r="F8" s="261"/>
      <c r="G8" s="261"/>
      <c r="H8" s="262"/>
      <c r="I8" s="262"/>
      <c r="J8" s="262"/>
      <c r="K8" s="262"/>
    </row>
    <row r="9" spans="1:11" ht="14.25" customHeight="1" x14ac:dyDescent="0.25">
      <c r="A9" s="29">
        <v>8</v>
      </c>
      <c r="B9" s="29" t="s">
        <v>3725</v>
      </c>
      <c r="C9" s="261">
        <v>133</v>
      </c>
      <c r="D9" s="261"/>
      <c r="E9" s="261"/>
      <c r="F9" s="261"/>
      <c r="G9" s="261"/>
      <c r="H9" s="262"/>
      <c r="I9" s="262"/>
      <c r="J9" s="262"/>
      <c r="K9" s="262"/>
    </row>
    <row r="10" spans="1:11" ht="14.25" customHeight="1" x14ac:dyDescent="0.2">
      <c r="A10" s="29">
        <v>9</v>
      </c>
      <c r="B10" s="29" t="s">
        <v>3726</v>
      </c>
      <c r="C10" s="261">
        <v>980</v>
      </c>
      <c r="D10" s="261"/>
      <c r="E10" s="261"/>
      <c r="F10" s="261"/>
      <c r="G10" s="261"/>
    </row>
    <row r="11" spans="1:11" ht="14.25" customHeight="1" x14ac:dyDescent="0.2">
      <c r="A11" s="29">
        <v>10</v>
      </c>
      <c r="B11" s="29" t="s">
        <v>3727</v>
      </c>
      <c r="C11" s="261">
        <v>25</v>
      </c>
      <c r="D11" s="261"/>
      <c r="E11" s="261"/>
      <c r="F11" s="261"/>
      <c r="G11" s="261"/>
    </row>
    <row r="12" spans="1:11" ht="14.25" customHeight="1" x14ac:dyDescent="0.2">
      <c r="A12" s="29">
        <v>11</v>
      </c>
      <c r="B12" s="29" t="s">
        <v>3728</v>
      </c>
      <c r="C12" s="261">
        <v>30</v>
      </c>
      <c r="D12" s="261"/>
      <c r="E12" s="261"/>
      <c r="F12" s="261">
        <v>28.5</v>
      </c>
      <c r="G12" s="261"/>
    </row>
    <row r="13" spans="1:11" ht="14.25" customHeight="1" x14ac:dyDescent="0.2">
      <c r="A13" s="29">
        <v>12</v>
      </c>
      <c r="B13" s="29" t="s">
        <v>3729</v>
      </c>
      <c r="C13" s="261">
        <v>385</v>
      </c>
      <c r="D13" s="261"/>
      <c r="E13" s="261"/>
      <c r="F13" s="261"/>
      <c r="G13" s="261"/>
    </row>
    <row r="14" spans="1:11" ht="14.25" customHeight="1" x14ac:dyDescent="0.2">
      <c r="A14" s="29">
        <v>13</v>
      </c>
      <c r="B14" s="29" t="s">
        <v>3730</v>
      </c>
      <c r="C14" s="261">
        <v>310</v>
      </c>
      <c r="D14" s="261"/>
      <c r="E14" s="261"/>
      <c r="F14" s="261"/>
      <c r="G14" s="261"/>
    </row>
    <row r="15" spans="1:11" ht="14.25" customHeight="1" x14ac:dyDescent="0.2">
      <c r="A15" s="29">
        <v>14</v>
      </c>
      <c r="B15" s="29" t="s">
        <v>3731</v>
      </c>
      <c r="C15" s="261">
        <v>400</v>
      </c>
      <c r="D15" s="261"/>
      <c r="E15" s="261"/>
      <c r="F15" s="261"/>
      <c r="G15" s="261"/>
    </row>
    <row r="16" spans="1:11" ht="14.25" customHeight="1" x14ac:dyDescent="0.2">
      <c r="A16" s="29">
        <v>15</v>
      </c>
      <c r="B16" s="29" t="s">
        <v>3732</v>
      </c>
      <c r="C16" s="261">
        <v>155</v>
      </c>
      <c r="D16" s="261"/>
      <c r="E16" s="261"/>
      <c r="F16" s="261"/>
      <c r="G16" s="261"/>
    </row>
    <row r="17" spans="1:7" ht="14.25" customHeight="1" x14ac:dyDescent="0.2">
      <c r="A17" s="29">
        <v>16</v>
      </c>
      <c r="B17" s="29" t="s">
        <v>3733</v>
      </c>
      <c r="C17" s="261">
        <v>55</v>
      </c>
      <c r="D17" s="261"/>
      <c r="E17" s="261">
        <v>38</v>
      </c>
      <c r="F17" s="261"/>
      <c r="G17" s="261"/>
    </row>
    <row r="18" spans="1:7" ht="14.25" customHeight="1" x14ac:dyDescent="0.2">
      <c r="A18" s="29">
        <v>17</v>
      </c>
      <c r="B18" s="29" t="s">
        <v>3734</v>
      </c>
      <c r="C18" s="261">
        <v>115</v>
      </c>
      <c r="D18" s="261"/>
      <c r="E18" s="261"/>
      <c r="F18" s="261"/>
      <c r="G18" s="261"/>
    </row>
    <row r="19" spans="1:7" ht="14.25" customHeight="1" x14ac:dyDescent="0.2">
      <c r="A19" s="29">
        <v>18</v>
      </c>
      <c r="B19" s="29" t="s">
        <v>3735</v>
      </c>
      <c r="C19" s="261"/>
      <c r="D19" s="261"/>
      <c r="E19" s="261"/>
      <c r="F19" s="261">
        <v>219</v>
      </c>
      <c r="G19" s="261"/>
    </row>
    <row r="20" spans="1:7" ht="14.25" customHeight="1" x14ac:dyDescent="0.2">
      <c r="A20" s="29">
        <v>19</v>
      </c>
      <c r="B20" s="29" t="s">
        <v>3736</v>
      </c>
      <c r="C20" s="261">
        <v>120</v>
      </c>
      <c r="D20" s="261"/>
      <c r="E20" s="261"/>
      <c r="F20" s="261">
        <v>100</v>
      </c>
      <c r="G20" s="261"/>
    </row>
    <row r="21" spans="1:7" ht="14.25" customHeight="1" x14ac:dyDescent="0.2">
      <c r="A21" s="29">
        <v>20</v>
      </c>
      <c r="B21" s="29" t="s">
        <v>3737</v>
      </c>
      <c r="C21" s="261"/>
      <c r="D21" s="261"/>
      <c r="E21" s="261"/>
      <c r="F21" s="261">
        <v>89</v>
      </c>
      <c r="G21" s="261"/>
    </row>
    <row r="22" spans="1:7" ht="14.25" customHeight="1" x14ac:dyDescent="0.2">
      <c r="A22" s="29">
        <v>21</v>
      </c>
      <c r="B22" s="29" t="s">
        <v>3738</v>
      </c>
      <c r="C22" s="261">
        <v>10</v>
      </c>
      <c r="D22" s="261"/>
      <c r="E22" s="261"/>
      <c r="F22" s="261"/>
      <c r="G22" s="261"/>
    </row>
    <row r="23" spans="1:7" ht="14.25" customHeight="1" x14ac:dyDescent="0.2">
      <c r="A23" s="29">
        <v>22</v>
      </c>
      <c r="B23" s="29" t="s">
        <v>3739</v>
      </c>
      <c r="C23" s="261">
        <v>120</v>
      </c>
      <c r="D23" s="261">
        <v>106.45</v>
      </c>
      <c r="E23" s="261">
        <v>102.79</v>
      </c>
      <c r="F23" s="261">
        <v>100</v>
      </c>
      <c r="G23" s="261"/>
    </row>
    <row r="24" spans="1:7" ht="14.25" customHeight="1" x14ac:dyDescent="0.2">
      <c r="A24" s="29">
        <v>23</v>
      </c>
      <c r="B24" s="29" t="s">
        <v>3740</v>
      </c>
      <c r="C24" s="261"/>
      <c r="D24" s="261"/>
      <c r="E24" s="261"/>
      <c r="F24" s="261">
        <v>265</v>
      </c>
      <c r="G24" s="261"/>
    </row>
    <row r="25" spans="1:7" ht="14.25" customHeight="1" x14ac:dyDescent="0.2">
      <c r="A25" s="29">
        <v>24</v>
      </c>
      <c r="B25" s="29" t="s">
        <v>3741</v>
      </c>
      <c r="C25" s="261"/>
      <c r="D25" s="261"/>
      <c r="E25" s="261">
        <v>210</v>
      </c>
      <c r="F25" s="261">
        <v>195</v>
      </c>
      <c r="G25" s="261"/>
    </row>
    <row r="26" spans="1:7" ht="14.25" customHeight="1" x14ac:dyDescent="0.2">
      <c r="A26" s="29">
        <v>25</v>
      </c>
      <c r="B26" s="29" t="s">
        <v>3742</v>
      </c>
      <c r="C26" s="261">
        <v>120</v>
      </c>
      <c r="D26" s="261"/>
      <c r="E26" s="261"/>
      <c r="F26" s="261"/>
      <c r="G26" s="261"/>
    </row>
    <row r="27" spans="1:7" ht="14.25" customHeight="1" x14ac:dyDescent="0.2">
      <c r="A27" s="29">
        <v>26</v>
      </c>
      <c r="B27" s="29" t="s">
        <v>3743</v>
      </c>
      <c r="C27" s="261">
        <v>188</v>
      </c>
      <c r="D27" s="261"/>
      <c r="E27" s="261"/>
      <c r="F27" s="261"/>
      <c r="G27" s="261"/>
    </row>
    <row r="28" spans="1:7" ht="14.25" customHeight="1" x14ac:dyDescent="0.2">
      <c r="A28" s="29">
        <v>27</v>
      </c>
      <c r="B28" s="29" t="s">
        <v>3744</v>
      </c>
      <c r="C28" s="261">
        <v>183</v>
      </c>
      <c r="D28" s="261"/>
      <c r="E28" s="261"/>
      <c r="F28" s="261"/>
      <c r="G28" s="261"/>
    </row>
    <row r="29" spans="1:7" ht="14.25" customHeight="1" x14ac:dyDescent="0.2">
      <c r="A29" s="29">
        <v>28</v>
      </c>
      <c r="B29" s="29" t="s">
        <v>3745</v>
      </c>
      <c r="C29" s="261">
        <v>130</v>
      </c>
      <c r="D29" s="261"/>
      <c r="E29" s="261">
        <v>98</v>
      </c>
      <c r="F29" s="261">
        <v>85.77</v>
      </c>
      <c r="G29" s="261"/>
    </row>
    <row r="30" spans="1:7" ht="14.25" customHeight="1" x14ac:dyDescent="0.2">
      <c r="A30" s="29">
        <v>29</v>
      </c>
      <c r="B30" s="29" t="s">
        <v>3746</v>
      </c>
      <c r="C30" s="261">
        <v>156</v>
      </c>
      <c r="D30" s="261"/>
      <c r="E30" s="261">
        <v>70</v>
      </c>
      <c r="F30" s="261">
        <v>156.53</v>
      </c>
      <c r="G30" s="261"/>
    </row>
    <row r="31" spans="1:7" ht="14.25" customHeight="1" x14ac:dyDescent="0.2">
      <c r="A31" s="29">
        <v>30</v>
      </c>
      <c r="B31" s="29" t="s">
        <v>3747</v>
      </c>
      <c r="C31" s="261">
        <v>188</v>
      </c>
      <c r="D31" s="261"/>
      <c r="E31" s="261"/>
      <c r="F31" s="261"/>
      <c r="G31" s="261"/>
    </row>
    <row r="32" spans="1:7" ht="14.25" customHeight="1" x14ac:dyDescent="0.2">
      <c r="A32" s="29">
        <v>31</v>
      </c>
      <c r="B32" s="29" t="s">
        <v>3748</v>
      </c>
      <c r="C32" s="261">
        <v>195</v>
      </c>
      <c r="D32" s="261"/>
      <c r="E32" s="261"/>
      <c r="F32" s="261"/>
      <c r="G32" s="261"/>
    </row>
    <row r="33" spans="1:7" ht="14.25" customHeight="1" x14ac:dyDescent="0.2">
      <c r="A33" s="29">
        <v>32</v>
      </c>
      <c r="B33" s="29" t="s">
        <v>3749</v>
      </c>
      <c r="C33" s="261">
        <v>285</v>
      </c>
      <c r="D33" s="261"/>
      <c r="E33" s="261"/>
      <c r="F33" s="261"/>
      <c r="G33" s="261"/>
    </row>
    <row r="34" spans="1:7" ht="14.25" customHeight="1" x14ac:dyDescent="0.2">
      <c r="A34" s="29">
        <v>33</v>
      </c>
      <c r="B34" s="29" t="s">
        <v>3750</v>
      </c>
      <c r="C34" s="261"/>
      <c r="D34" s="261"/>
      <c r="E34" s="261"/>
      <c r="F34" s="261">
        <v>624.95000000000005</v>
      </c>
      <c r="G34" s="261"/>
    </row>
    <row r="35" spans="1:7" ht="14.25" customHeight="1" x14ac:dyDescent="0.2">
      <c r="A35" s="29">
        <v>34</v>
      </c>
      <c r="B35" s="29" t="s">
        <v>3751</v>
      </c>
      <c r="C35" s="261">
        <v>55</v>
      </c>
      <c r="D35" s="261"/>
      <c r="E35" s="261"/>
      <c r="F35" s="261"/>
      <c r="G35" s="261"/>
    </row>
    <row r="36" spans="1:7" ht="14.25" customHeight="1" x14ac:dyDescent="0.2">
      <c r="A36" s="29">
        <v>35</v>
      </c>
      <c r="B36" s="29" t="s">
        <v>3752</v>
      </c>
      <c r="C36" s="261">
        <v>195</v>
      </c>
      <c r="D36" s="261">
        <v>195</v>
      </c>
      <c r="E36" s="261"/>
      <c r="F36" s="261"/>
      <c r="G36" s="261"/>
    </row>
    <row r="37" spans="1:7" ht="14.25" customHeight="1" x14ac:dyDescent="0.2">
      <c r="A37" s="29">
        <v>36</v>
      </c>
      <c r="B37" s="29" t="s">
        <v>3753</v>
      </c>
      <c r="C37" s="261">
        <v>310</v>
      </c>
      <c r="D37" s="261"/>
      <c r="E37" s="261"/>
      <c r="F37" s="261"/>
      <c r="G37" s="261"/>
    </row>
    <row r="38" spans="1:7" ht="14.25" customHeight="1" x14ac:dyDescent="0.2">
      <c r="A38" s="29">
        <v>37</v>
      </c>
      <c r="B38" s="29" t="s">
        <v>3754</v>
      </c>
      <c r="C38" s="261">
        <v>156</v>
      </c>
      <c r="D38" s="261"/>
      <c r="E38" s="261"/>
      <c r="F38" s="261"/>
      <c r="G38" s="261"/>
    </row>
    <row r="39" spans="1:7" ht="14.25" customHeight="1" x14ac:dyDescent="0.2">
      <c r="A39" s="29">
        <v>38</v>
      </c>
      <c r="B39" s="29" t="s">
        <v>3755</v>
      </c>
      <c r="C39" s="261">
        <v>188</v>
      </c>
      <c r="D39" s="261"/>
      <c r="E39" s="261"/>
      <c r="F39" s="261"/>
      <c r="G39" s="261"/>
    </row>
    <row r="40" spans="1:7" ht="14.25" customHeight="1" x14ac:dyDescent="0.2">
      <c r="A40" s="29">
        <v>39</v>
      </c>
      <c r="B40" s="29" t="s">
        <v>3756</v>
      </c>
      <c r="C40" s="261">
        <v>385</v>
      </c>
      <c r="D40" s="261"/>
      <c r="E40" s="261"/>
      <c r="F40" s="261"/>
      <c r="G40" s="261"/>
    </row>
    <row r="41" spans="1:7" ht="14.25" customHeight="1" x14ac:dyDescent="0.2">
      <c r="A41" s="29">
        <v>40</v>
      </c>
      <c r="B41" s="29" t="s">
        <v>3757</v>
      </c>
      <c r="C41" s="261">
        <v>345</v>
      </c>
      <c r="D41" s="261"/>
      <c r="E41" s="261"/>
      <c r="F41" s="261"/>
      <c r="G41" s="261"/>
    </row>
    <row r="42" spans="1:7" ht="14.25" customHeight="1" x14ac:dyDescent="0.2">
      <c r="A42" s="29">
        <v>41</v>
      </c>
      <c r="B42" s="29" t="s">
        <v>3758</v>
      </c>
      <c r="C42" s="261">
        <v>100</v>
      </c>
      <c r="D42" s="261"/>
      <c r="E42" s="261"/>
      <c r="F42" s="261"/>
      <c r="G42" s="261"/>
    </row>
    <row r="43" spans="1:7" ht="14.25" customHeight="1" x14ac:dyDescent="0.2">
      <c r="A43" s="29">
        <v>42</v>
      </c>
      <c r="B43" s="29" t="s">
        <v>3759</v>
      </c>
      <c r="C43" s="261">
        <v>168</v>
      </c>
      <c r="D43" s="261"/>
      <c r="E43" s="261"/>
      <c r="F43" s="261"/>
      <c r="G43" s="261"/>
    </row>
    <row r="44" spans="1:7" ht="14.25" customHeight="1" x14ac:dyDescent="0.2">
      <c r="A44" s="29">
        <v>43</v>
      </c>
      <c r="B44" s="29" t="s">
        <v>3760</v>
      </c>
      <c r="C44" s="261">
        <v>140</v>
      </c>
      <c r="D44" s="261"/>
      <c r="E44" s="261"/>
      <c r="F44" s="261"/>
      <c r="G44" s="261"/>
    </row>
    <row r="45" spans="1:7" ht="14.25" customHeight="1" x14ac:dyDescent="0.2">
      <c r="A45" s="29">
        <v>44</v>
      </c>
      <c r="B45" s="29" t="s">
        <v>3761</v>
      </c>
      <c r="C45" s="261">
        <v>385</v>
      </c>
      <c r="D45" s="261"/>
      <c r="E45" s="261">
        <v>294.48</v>
      </c>
      <c r="F45" s="261"/>
      <c r="G45" s="261"/>
    </row>
    <row r="46" spans="1:7" ht="14.25" customHeight="1" x14ac:dyDescent="0.2">
      <c r="A46" s="29">
        <v>45</v>
      </c>
      <c r="B46" s="29" t="s">
        <v>3762</v>
      </c>
      <c r="C46" s="261">
        <v>930</v>
      </c>
      <c r="D46" s="261"/>
      <c r="E46" s="261"/>
      <c r="F46" s="261"/>
      <c r="G46" s="261"/>
    </row>
    <row r="47" spans="1:7" ht="14.25" customHeight="1" x14ac:dyDescent="0.2">
      <c r="A47" s="29">
        <v>46</v>
      </c>
      <c r="B47" s="29" t="s">
        <v>3763</v>
      </c>
      <c r="C47" s="261"/>
      <c r="D47" s="261"/>
      <c r="E47" s="261">
        <v>400</v>
      </c>
      <c r="F47" s="261"/>
      <c r="G47" s="261"/>
    </row>
    <row r="48" spans="1:7" ht="14.25" customHeight="1" x14ac:dyDescent="0.2">
      <c r="A48" s="29">
        <v>47</v>
      </c>
      <c r="B48" s="29" t="s">
        <v>3764</v>
      </c>
      <c r="C48" s="261"/>
      <c r="D48" s="261"/>
      <c r="E48" s="261">
        <v>301.51</v>
      </c>
      <c r="F48" s="261"/>
      <c r="G48" s="261"/>
    </row>
    <row r="49" spans="1:7" ht="14.25" customHeight="1" x14ac:dyDescent="0.2">
      <c r="A49" s="29">
        <v>48</v>
      </c>
      <c r="B49" s="29" t="s">
        <v>3765</v>
      </c>
      <c r="C49" s="261">
        <v>170</v>
      </c>
      <c r="D49" s="261"/>
      <c r="E49" s="261">
        <v>134.12</v>
      </c>
      <c r="F49" s="261"/>
      <c r="G49" s="261"/>
    </row>
    <row r="50" spans="1:7" ht="14.25" customHeight="1" x14ac:dyDescent="0.2">
      <c r="A50" s="29">
        <v>49</v>
      </c>
      <c r="B50" s="29" t="s">
        <v>3766</v>
      </c>
      <c r="C50" s="261"/>
      <c r="D50" s="261"/>
      <c r="E50" s="261">
        <v>765.55</v>
      </c>
      <c r="F50" s="261"/>
      <c r="G50" s="261"/>
    </row>
    <row r="51" spans="1:7" ht="14.25" customHeight="1" x14ac:dyDescent="0.2">
      <c r="A51" s="29">
        <v>50</v>
      </c>
      <c r="B51" s="29" t="s">
        <v>3767</v>
      </c>
      <c r="C51" s="261"/>
      <c r="D51" s="261"/>
      <c r="E51" s="261">
        <v>677.77</v>
      </c>
      <c r="F51" s="261"/>
      <c r="G51" s="261"/>
    </row>
    <row r="52" spans="1:7" ht="14.25" customHeight="1" x14ac:dyDescent="0.2">
      <c r="A52" s="29">
        <v>51</v>
      </c>
      <c r="B52" s="29" t="s">
        <v>3768</v>
      </c>
      <c r="C52" s="261"/>
      <c r="D52" s="261"/>
      <c r="E52" s="261">
        <v>40.44</v>
      </c>
      <c r="F52" s="261"/>
      <c r="G52" s="261"/>
    </row>
    <row r="53" spans="1:7" ht="14.25" customHeight="1" x14ac:dyDescent="0.2">
      <c r="A53" s="29">
        <v>52</v>
      </c>
      <c r="B53" s="29" t="s">
        <v>3769</v>
      </c>
      <c r="C53" s="261">
        <v>188</v>
      </c>
      <c r="D53" s="261"/>
      <c r="E53" s="261"/>
      <c r="F53" s="261">
        <v>156.22999999999999</v>
      </c>
      <c r="G53" s="261"/>
    </row>
    <row r="54" spans="1:7" ht="14.25" customHeight="1" x14ac:dyDescent="0.2">
      <c r="A54" s="29">
        <v>53</v>
      </c>
      <c r="B54" s="29" t="s">
        <v>3770</v>
      </c>
      <c r="C54" s="261">
        <v>395</v>
      </c>
      <c r="D54" s="261"/>
      <c r="E54" s="261"/>
      <c r="F54" s="261">
        <v>160.78</v>
      </c>
      <c r="G54" s="261"/>
    </row>
    <row r="55" spans="1:7" ht="14.25" customHeight="1" x14ac:dyDescent="0.2">
      <c r="A55" s="29">
        <v>54</v>
      </c>
      <c r="B55" s="29" t="s">
        <v>3771</v>
      </c>
      <c r="C55" s="261"/>
      <c r="D55" s="261">
        <v>220</v>
      </c>
      <c r="E55" s="261">
        <v>220</v>
      </c>
      <c r="F55" s="261"/>
      <c r="G55" s="261"/>
    </row>
    <row r="56" spans="1:7" ht="14.25" customHeight="1" x14ac:dyDescent="0.2">
      <c r="A56" s="29">
        <v>55</v>
      </c>
      <c r="B56" s="29" t="s">
        <v>3772</v>
      </c>
      <c r="C56" s="261"/>
      <c r="D56" s="261">
        <v>192.14</v>
      </c>
      <c r="E56" s="261">
        <v>181.63</v>
      </c>
      <c r="F56" s="261"/>
      <c r="G56" s="261"/>
    </row>
    <row r="57" spans="1:7" ht="14.25" customHeight="1" x14ac:dyDescent="0.2">
      <c r="A57" s="29">
        <v>56</v>
      </c>
      <c r="B57" s="29" t="s">
        <v>3773</v>
      </c>
      <c r="C57" s="261"/>
      <c r="D57" s="261">
        <v>159.41</v>
      </c>
      <c r="E57" s="261">
        <v>150.49</v>
      </c>
      <c r="F57" s="261"/>
      <c r="G57" s="261"/>
    </row>
    <row r="58" spans="1:7" ht="14.25" customHeight="1" x14ac:dyDescent="0.2">
      <c r="A58" s="29">
        <v>57</v>
      </c>
      <c r="B58" s="29" t="s">
        <v>3774</v>
      </c>
      <c r="C58" s="261">
        <v>130</v>
      </c>
      <c r="D58" s="261"/>
      <c r="E58" s="261"/>
      <c r="F58" s="261"/>
      <c r="G58" s="261"/>
    </row>
    <row r="59" spans="1:7" ht="14.25" customHeight="1" x14ac:dyDescent="0.2">
      <c r="A59" s="29">
        <v>58</v>
      </c>
      <c r="B59" s="29" t="s">
        <v>3775</v>
      </c>
      <c r="C59" s="261">
        <v>236</v>
      </c>
      <c r="D59" s="261"/>
      <c r="E59" s="261"/>
      <c r="F59" s="261"/>
      <c r="G59" s="261"/>
    </row>
    <row r="60" spans="1:7" ht="14.25" customHeight="1" x14ac:dyDescent="0.2">
      <c r="A60" s="29">
        <v>59</v>
      </c>
      <c r="B60" s="29" t="s">
        <v>3776</v>
      </c>
      <c r="C60" s="261">
        <v>485</v>
      </c>
      <c r="D60" s="261"/>
      <c r="E60" s="261"/>
      <c r="F60" s="261"/>
      <c r="G60" s="261"/>
    </row>
    <row r="61" spans="1:7" ht="14.25" customHeight="1" x14ac:dyDescent="0.2">
      <c r="A61" s="29">
        <v>60</v>
      </c>
      <c r="B61" s="29" t="s">
        <v>3777</v>
      </c>
      <c r="C61" s="261">
        <v>520</v>
      </c>
      <c r="D61" s="261"/>
      <c r="E61" s="261"/>
      <c r="F61" s="261"/>
      <c r="G61" s="261"/>
    </row>
    <row r="62" spans="1:7" ht="14.25" customHeight="1" x14ac:dyDescent="0.2">
      <c r="A62" s="29">
        <v>61</v>
      </c>
      <c r="B62" s="29" t="s">
        <v>3778</v>
      </c>
      <c r="C62" s="261">
        <v>380</v>
      </c>
      <c r="D62" s="261"/>
      <c r="E62" s="261"/>
      <c r="F62" s="261"/>
      <c r="G62" s="261"/>
    </row>
    <row r="63" spans="1:7" ht="14.25" customHeight="1" x14ac:dyDescent="0.2">
      <c r="A63" s="29">
        <v>62</v>
      </c>
      <c r="B63" s="29" t="s">
        <v>3779</v>
      </c>
      <c r="C63" s="261">
        <v>485</v>
      </c>
      <c r="D63" s="261"/>
      <c r="E63" s="261"/>
      <c r="F63" s="261"/>
      <c r="G63" s="261"/>
    </row>
    <row r="64" spans="1:7" ht="14.25" customHeight="1" x14ac:dyDescent="0.2">
      <c r="A64" s="29">
        <v>63</v>
      </c>
      <c r="B64" s="29" t="s">
        <v>3780</v>
      </c>
      <c r="C64" s="261">
        <v>185</v>
      </c>
      <c r="D64" s="261">
        <v>74</v>
      </c>
      <c r="E64" s="261"/>
      <c r="F64" s="261"/>
      <c r="G64" s="261"/>
    </row>
    <row r="65" spans="1:7" ht="14.25" customHeight="1" x14ac:dyDescent="0.2">
      <c r="A65" s="29">
        <v>64</v>
      </c>
      <c r="B65" s="29" t="s">
        <v>3781</v>
      </c>
      <c r="C65" s="261">
        <v>175</v>
      </c>
      <c r="D65" s="261"/>
      <c r="E65" s="261"/>
      <c r="F65" s="261"/>
      <c r="G65" s="261"/>
    </row>
    <row r="66" spans="1:7" ht="14.25" customHeight="1" x14ac:dyDescent="0.2">
      <c r="A66" s="29">
        <v>65</v>
      </c>
      <c r="B66" s="29" t="s">
        <v>3782</v>
      </c>
      <c r="C66" s="261">
        <v>145</v>
      </c>
      <c r="D66" s="261"/>
      <c r="E66" s="261"/>
      <c r="F66" s="261"/>
      <c r="G66" s="261"/>
    </row>
    <row r="67" spans="1:7" ht="14.25" customHeight="1" x14ac:dyDescent="0.2">
      <c r="A67" s="29">
        <v>66</v>
      </c>
      <c r="B67" s="29" t="s">
        <v>3783</v>
      </c>
      <c r="C67" s="261">
        <v>330</v>
      </c>
      <c r="D67" s="261"/>
      <c r="E67" s="261"/>
      <c r="F67" s="261"/>
      <c r="G67" s="261"/>
    </row>
    <row r="68" spans="1:7" ht="14.25" customHeight="1" x14ac:dyDescent="0.2">
      <c r="A68" s="29">
        <v>67</v>
      </c>
      <c r="B68" s="29" t="s">
        <v>3784</v>
      </c>
      <c r="C68" s="261">
        <v>450</v>
      </c>
      <c r="D68" s="261"/>
      <c r="E68" s="261"/>
      <c r="F68" s="261"/>
      <c r="G68" s="261"/>
    </row>
    <row r="69" spans="1:7" ht="14.25" customHeight="1" x14ac:dyDescent="0.2">
      <c r="A69" s="29">
        <v>68</v>
      </c>
      <c r="B69" s="29" t="s">
        <v>3785</v>
      </c>
      <c r="C69" s="261"/>
      <c r="D69" s="261"/>
      <c r="E69" s="261">
        <v>140.66</v>
      </c>
      <c r="F69" s="261"/>
      <c r="G69" s="261"/>
    </row>
    <row r="70" spans="1:7" ht="14.25" customHeight="1" x14ac:dyDescent="0.2">
      <c r="A70" s="29">
        <v>69</v>
      </c>
      <c r="B70" s="29" t="s">
        <v>3786</v>
      </c>
      <c r="C70" s="261"/>
      <c r="D70" s="261">
        <v>103.51</v>
      </c>
      <c r="E70" s="261">
        <v>95.07</v>
      </c>
      <c r="F70" s="261"/>
      <c r="G70" s="261"/>
    </row>
    <row r="71" spans="1:7" ht="14.25" customHeight="1" x14ac:dyDescent="0.2">
      <c r="A71" s="29">
        <v>70</v>
      </c>
      <c r="B71" s="29" t="s">
        <v>3787</v>
      </c>
      <c r="C71" s="261"/>
      <c r="D71" s="261">
        <v>105.09</v>
      </c>
      <c r="E71" s="261">
        <v>101.15</v>
      </c>
      <c r="F71" s="261"/>
      <c r="G71" s="261"/>
    </row>
    <row r="72" spans="1:7" ht="14.25" customHeight="1" x14ac:dyDescent="0.2">
      <c r="A72" s="29">
        <v>71</v>
      </c>
      <c r="B72" s="29" t="s">
        <v>3788</v>
      </c>
      <c r="C72" s="261"/>
      <c r="D72" s="261"/>
      <c r="E72" s="261">
        <v>405.7</v>
      </c>
      <c r="F72" s="261"/>
      <c r="G72" s="261"/>
    </row>
    <row r="73" spans="1:7" ht="14.25" customHeight="1" x14ac:dyDescent="0.2">
      <c r="A73" s="29">
        <v>72</v>
      </c>
      <c r="B73" s="29" t="s">
        <v>3789</v>
      </c>
      <c r="C73" s="261"/>
      <c r="D73" s="261">
        <v>80</v>
      </c>
      <c r="E73" s="261"/>
      <c r="F73" s="261"/>
      <c r="G73" s="261"/>
    </row>
    <row r="74" spans="1:7" ht="14.25" customHeight="1" x14ac:dyDescent="0.2">
      <c r="A74" s="29">
        <v>73</v>
      </c>
      <c r="B74" s="29" t="s">
        <v>3790</v>
      </c>
      <c r="C74" s="261"/>
      <c r="D74" s="261">
        <v>120</v>
      </c>
      <c r="E74" s="261"/>
      <c r="F74" s="261"/>
      <c r="G74" s="261"/>
    </row>
    <row r="75" spans="1:7" ht="14.25" customHeight="1" x14ac:dyDescent="0.2">
      <c r="A75" s="29">
        <v>74</v>
      </c>
      <c r="B75" s="29" t="s">
        <v>3791</v>
      </c>
      <c r="C75" s="261"/>
      <c r="D75" s="261"/>
      <c r="E75" s="261">
        <v>580</v>
      </c>
      <c r="F75" s="261"/>
      <c r="G75" s="261"/>
    </row>
    <row r="76" spans="1:7" ht="14.25" customHeight="1" x14ac:dyDescent="0.2">
      <c r="A76" s="29">
        <v>75</v>
      </c>
      <c r="B76" s="29" t="s">
        <v>3792</v>
      </c>
      <c r="C76" s="261"/>
      <c r="D76" s="261"/>
      <c r="E76" s="261">
        <v>290</v>
      </c>
      <c r="F76" s="261"/>
      <c r="G76" s="261"/>
    </row>
    <row r="77" spans="1:7" ht="14.25" customHeight="1" x14ac:dyDescent="0.2">
      <c r="A77" s="29">
        <v>76</v>
      </c>
      <c r="B77" s="29" t="s">
        <v>3793</v>
      </c>
      <c r="C77" s="261"/>
      <c r="D77" s="261"/>
      <c r="E77" s="261">
        <v>260</v>
      </c>
      <c r="F77" s="261"/>
      <c r="G77" s="261"/>
    </row>
    <row r="78" spans="1:7" ht="14.25" customHeight="1" x14ac:dyDescent="0.2">
      <c r="A78" s="29">
        <v>77</v>
      </c>
      <c r="B78" s="29" t="s">
        <v>3794</v>
      </c>
      <c r="C78" s="261"/>
      <c r="D78" s="261">
        <v>153.04</v>
      </c>
      <c r="E78" s="261"/>
      <c r="F78" s="261"/>
      <c r="G78" s="261"/>
    </row>
    <row r="79" spans="1:7" ht="14.25" customHeight="1" x14ac:dyDescent="0.2">
      <c r="A79" s="29">
        <v>78</v>
      </c>
      <c r="B79" s="29" t="s">
        <v>3795</v>
      </c>
      <c r="C79" s="261"/>
      <c r="D79" s="261">
        <v>131.57</v>
      </c>
      <c r="E79" s="261"/>
      <c r="F79" s="261"/>
      <c r="G79" s="261"/>
    </row>
    <row r="80" spans="1:7" ht="14.25" customHeight="1" x14ac:dyDescent="0.2">
      <c r="A80" s="29">
        <v>79</v>
      </c>
      <c r="B80" s="29" t="s">
        <v>3796</v>
      </c>
      <c r="C80" s="261"/>
      <c r="D80" s="261">
        <v>101.15</v>
      </c>
      <c r="E80" s="261"/>
      <c r="F80" s="261"/>
      <c r="G80" s="261"/>
    </row>
    <row r="81" spans="1:7" ht="14.25" customHeight="1" x14ac:dyDescent="0.2">
      <c r="A81" s="29">
        <v>80</v>
      </c>
      <c r="B81" s="29" t="s">
        <v>3797</v>
      </c>
      <c r="C81" s="261">
        <v>295</v>
      </c>
      <c r="D81" s="261"/>
      <c r="E81" s="261"/>
      <c r="F81" s="261"/>
      <c r="G81" s="261"/>
    </row>
    <row r="82" spans="1:7" ht="14.25" customHeight="1" x14ac:dyDescent="0.2">
      <c r="A82" s="29">
        <v>81</v>
      </c>
      <c r="B82" s="29" t="s">
        <v>3798</v>
      </c>
      <c r="C82" s="261"/>
      <c r="D82" s="261"/>
      <c r="E82" s="261">
        <v>220</v>
      </c>
      <c r="F82" s="261"/>
      <c r="G82" s="261"/>
    </row>
    <row r="83" spans="1:7" ht="14.25" customHeight="1" x14ac:dyDescent="0.2">
      <c r="A83" s="29">
        <v>82</v>
      </c>
      <c r="B83" s="29" t="s">
        <v>3799</v>
      </c>
      <c r="C83" s="261"/>
      <c r="D83" s="261"/>
      <c r="E83" s="261">
        <v>280</v>
      </c>
      <c r="F83" s="261"/>
      <c r="G83" s="261"/>
    </row>
    <row r="84" spans="1:7" ht="14.25" customHeight="1" x14ac:dyDescent="0.2">
      <c r="A84" s="29">
        <v>83</v>
      </c>
      <c r="B84" s="29" t="s">
        <v>3800</v>
      </c>
      <c r="C84" s="261"/>
      <c r="D84" s="261"/>
      <c r="E84" s="261">
        <v>120</v>
      </c>
      <c r="F84" s="261"/>
      <c r="G84" s="261"/>
    </row>
    <row r="85" spans="1:7" ht="14.25" customHeight="1" x14ac:dyDescent="0.2">
      <c r="A85" s="29">
        <v>84</v>
      </c>
      <c r="B85" s="29" t="s">
        <v>3801</v>
      </c>
      <c r="C85" s="261">
        <v>593</v>
      </c>
      <c r="D85" s="261"/>
      <c r="E85" s="261"/>
      <c r="F85" s="261"/>
      <c r="G85" s="261"/>
    </row>
    <row r="86" spans="1:7" ht="14.25" customHeight="1" x14ac:dyDescent="0.2">
      <c r="A86" s="29">
        <v>85</v>
      </c>
      <c r="B86" s="29" t="s">
        <v>3802</v>
      </c>
      <c r="C86" s="261">
        <v>178</v>
      </c>
      <c r="D86" s="261"/>
      <c r="E86" s="261"/>
      <c r="F86" s="261"/>
      <c r="G86" s="261"/>
    </row>
    <row r="87" spans="1:7" ht="14.25" customHeight="1" x14ac:dyDescent="0.2">
      <c r="A87" s="29">
        <v>86</v>
      </c>
      <c r="B87" s="29" t="s">
        <v>3803</v>
      </c>
      <c r="C87" s="261">
        <v>450</v>
      </c>
      <c r="D87" s="261"/>
      <c r="E87" s="261"/>
      <c r="F87" s="261"/>
      <c r="G87" s="261"/>
    </row>
    <row r="88" spans="1:7" ht="14.25" customHeight="1" x14ac:dyDescent="0.2">
      <c r="A88" s="29">
        <v>87</v>
      </c>
      <c r="B88" s="29" t="s">
        <v>3804</v>
      </c>
      <c r="C88" s="261">
        <v>210</v>
      </c>
      <c r="D88" s="261"/>
      <c r="E88" s="261"/>
      <c r="F88" s="261"/>
      <c r="G88" s="261"/>
    </row>
    <row r="89" spans="1:7" ht="14.25" customHeight="1" x14ac:dyDescent="0.2">
      <c r="A89" s="29">
        <v>88</v>
      </c>
      <c r="B89" s="29" t="s">
        <v>3805</v>
      </c>
      <c r="C89" s="261">
        <v>185</v>
      </c>
      <c r="D89" s="261"/>
      <c r="E89" s="261"/>
      <c r="F89" s="261"/>
      <c r="G89" s="261"/>
    </row>
    <row r="90" spans="1:7" ht="14.25" customHeight="1" x14ac:dyDescent="0.2">
      <c r="A90" s="29">
        <v>89</v>
      </c>
      <c r="B90" s="29" t="s">
        <v>3806</v>
      </c>
      <c r="C90" s="261">
        <v>365</v>
      </c>
      <c r="D90" s="261"/>
      <c r="E90" s="261"/>
      <c r="F90" s="261"/>
      <c r="G90" s="261"/>
    </row>
    <row r="91" spans="1:7" ht="14.25" customHeight="1" x14ac:dyDescent="0.2">
      <c r="A91" s="29">
        <v>90</v>
      </c>
      <c r="B91" s="29" t="s">
        <v>3807</v>
      </c>
      <c r="C91" s="261">
        <v>340</v>
      </c>
      <c r="D91" s="261"/>
      <c r="E91" s="261"/>
      <c r="F91" s="261"/>
      <c r="G91" s="261"/>
    </row>
    <row r="92" spans="1:7" ht="14.25" customHeight="1" x14ac:dyDescent="0.2">
      <c r="A92" s="29">
        <v>91</v>
      </c>
      <c r="B92" s="29" t="s">
        <v>3808</v>
      </c>
      <c r="C92" s="261"/>
      <c r="D92" s="261">
        <v>150</v>
      </c>
      <c r="E92" s="261"/>
      <c r="F92" s="261"/>
      <c r="G92" s="261"/>
    </row>
    <row r="93" spans="1:7" ht="14.25" customHeight="1" x14ac:dyDescent="0.2">
      <c r="A93" s="29">
        <v>92</v>
      </c>
      <c r="B93" s="29" t="s">
        <v>3809</v>
      </c>
      <c r="C93" s="261">
        <v>344</v>
      </c>
      <c r="D93" s="261"/>
      <c r="E93" s="261"/>
      <c r="F93" s="261"/>
      <c r="G93" s="261"/>
    </row>
    <row r="94" spans="1:7" ht="14.25" customHeight="1" x14ac:dyDescent="0.2">
      <c r="A94" s="29">
        <v>93</v>
      </c>
      <c r="B94" s="29" t="s">
        <v>3810</v>
      </c>
      <c r="C94" s="261">
        <v>355</v>
      </c>
      <c r="D94" s="261"/>
      <c r="E94" s="261"/>
      <c r="F94" s="261"/>
      <c r="G94" s="261"/>
    </row>
    <row r="95" spans="1:7" ht="14.25" customHeight="1" x14ac:dyDescent="0.2">
      <c r="A95" s="29">
        <v>94</v>
      </c>
      <c r="B95" s="29" t="s">
        <v>3811</v>
      </c>
      <c r="C95" s="261">
        <v>485</v>
      </c>
      <c r="D95" s="261"/>
      <c r="E95" s="261"/>
      <c r="F95" s="261"/>
      <c r="G95" s="261"/>
    </row>
    <row r="96" spans="1:7" ht="14.25" customHeight="1" x14ac:dyDescent="0.2">
      <c r="A96" s="29">
        <v>95</v>
      </c>
      <c r="B96" s="29" t="s">
        <v>3812</v>
      </c>
      <c r="C96" s="261">
        <v>963</v>
      </c>
      <c r="D96" s="261"/>
      <c r="E96" s="261"/>
      <c r="F96" s="261"/>
      <c r="G96" s="261"/>
    </row>
    <row r="97" spans="1:7" ht="14.25" customHeight="1" x14ac:dyDescent="0.2">
      <c r="A97" s="29">
        <v>96</v>
      </c>
      <c r="B97" s="29" t="s">
        <v>3813</v>
      </c>
      <c r="C97" s="261">
        <v>195</v>
      </c>
      <c r="D97" s="261"/>
      <c r="E97" s="261"/>
      <c r="F97" s="261"/>
      <c r="G97" s="261"/>
    </row>
    <row r="98" spans="1:7" ht="14.25" customHeight="1" x14ac:dyDescent="0.2">
      <c r="A98" s="29">
        <v>97</v>
      </c>
      <c r="B98" s="29" t="s">
        <v>3814</v>
      </c>
      <c r="C98" s="261">
        <v>410</v>
      </c>
      <c r="D98" s="261"/>
      <c r="E98" s="261"/>
      <c r="F98" s="261"/>
      <c r="G98" s="261"/>
    </row>
    <row r="99" spans="1:7" ht="14.25" customHeight="1" x14ac:dyDescent="0.2">
      <c r="A99" s="29">
        <v>98</v>
      </c>
      <c r="B99" s="29" t="s">
        <v>3815</v>
      </c>
      <c r="C99" s="261">
        <v>390</v>
      </c>
      <c r="D99" s="261"/>
      <c r="E99" s="261"/>
      <c r="F99" s="261"/>
      <c r="G99" s="261"/>
    </row>
    <row r="100" spans="1:7" ht="14.25" customHeight="1" x14ac:dyDescent="0.2">
      <c r="A100" s="29">
        <v>99</v>
      </c>
      <c r="B100" s="29" t="s">
        <v>3816</v>
      </c>
      <c r="C100" s="261">
        <v>380</v>
      </c>
      <c r="D100" s="261"/>
      <c r="E100" s="261"/>
      <c r="F100" s="261"/>
      <c r="G100" s="261"/>
    </row>
    <row r="101" spans="1:7" ht="14.25" customHeight="1" x14ac:dyDescent="0.2">
      <c r="A101" s="29">
        <v>100</v>
      </c>
      <c r="B101" s="29" t="s">
        <v>3817</v>
      </c>
      <c r="C101" s="261">
        <v>1820</v>
      </c>
      <c r="D101" s="261"/>
      <c r="E101" s="261"/>
      <c r="F101" s="261"/>
      <c r="G101" s="261"/>
    </row>
    <row r="102" spans="1:7" ht="14.25" customHeight="1" x14ac:dyDescent="0.2">
      <c r="A102" s="29">
        <v>101</v>
      </c>
      <c r="B102" s="29" t="s">
        <v>3818</v>
      </c>
      <c r="C102" s="261"/>
      <c r="D102" s="261">
        <v>119</v>
      </c>
      <c r="E102" s="261"/>
      <c r="F102" s="261"/>
      <c r="G102" s="261"/>
    </row>
    <row r="103" spans="1:7" ht="14.25" customHeight="1" x14ac:dyDescent="0.2">
      <c r="A103" s="29">
        <v>102</v>
      </c>
      <c r="B103" s="29" t="s">
        <v>3819</v>
      </c>
      <c r="C103" s="261"/>
      <c r="D103" s="261">
        <v>95.24</v>
      </c>
      <c r="E103" s="261"/>
      <c r="F103" s="261"/>
      <c r="G103" s="261"/>
    </row>
    <row r="104" spans="1:7" ht="14.25" customHeight="1" x14ac:dyDescent="0.2">
      <c r="A104" s="29">
        <v>103</v>
      </c>
      <c r="B104" s="29" t="s">
        <v>3820</v>
      </c>
      <c r="C104" s="261">
        <v>120</v>
      </c>
      <c r="D104" s="261"/>
      <c r="E104" s="261"/>
      <c r="F104" s="261"/>
      <c r="G104" s="261"/>
    </row>
    <row r="105" spans="1:7" ht="14.25" customHeight="1" x14ac:dyDescent="0.2">
      <c r="A105" s="29">
        <v>104</v>
      </c>
      <c r="B105" s="29" t="s">
        <v>3821</v>
      </c>
      <c r="C105" s="261">
        <v>265</v>
      </c>
      <c r="D105" s="261"/>
      <c r="E105" s="261"/>
      <c r="F105" s="261"/>
      <c r="G105" s="261"/>
    </row>
    <row r="106" spans="1:7" ht="14.25" customHeight="1" x14ac:dyDescent="0.2">
      <c r="A106" s="29">
        <v>105</v>
      </c>
      <c r="B106" s="29" t="s">
        <v>3822</v>
      </c>
      <c r="C106" s="29"/>
      <c r="D106" s="261">
        <v>210</v>
      </c>
      <c r="E106" s="29"/>
      <c r="F106" s="29"/>
      <c r="G106" s="29"/>
    </row>
    <row r="107" spans="1:7" ht="14.25" customHeight="1" x14ac:dyDescent="0.2">
      <c r="A107" s="29">
        <v>106</v>
      </c>
      <c r="B107" s="29"/>
      <c r="C107" s="29"/>
      <c r="D107" s="29"/>
      <c r="E107" s="29"/>
      <c r="F107" s="29"/>
      <c r="G107" s="29"/>
    </row>
    <row r="108" spans="1:7" ht="14.25" customHeight="1" x14ac:dyDescent="0.2">
      <c r="A108" s="29">
        <v>107</v>
      </c>
      <c r="B108" s="29"/>
      <c r="C108" s="29"/>
      <c r="D108" s="29"/>
      <c r="E108" s="29"/>
      <c r="F108" s="29"/>
      <c r="G108" s="29"/>
    </row>
    <row r="109" spans="1:7" ht="14.25" customHeight="1" x14ac:dyDescent="0.2">
      <c r="A109" s="29">
        <v>108</v>
      </c>
      <c r="B109" s="29"/>
      <c r="C109" s="29"/>
      <c r="D109" s="29"/>
      <c r="E109" s="29"/>
      <c r="F109" s="29"/>
      <c r="G109" s="29"/>
    </row>
    <row r="110" spans="1:7" ht="14.25" customHeight="1" x14ac:dyDescent="0.2">
      <c r="A110" s="29">
        <v>109</v>
      </c>
      <c r="B110" s="29"/>
      <c r="C110" s="29"/>
      <c r="D110" s="29"/>
      <c r="E110" s="29"/>
      <c r="F110" s="29"/>
      <c r="G110" s="29"/>
    </row>
    <row r="111" spans="1:7" ht="14.25" customHeight="1" x14ac:dyDescent="0.2">
      <c r="A111" s="29">
        <v>110</v>
      </c>
      <c r="B111" s="29"/>
      <c r="C111" s="29"/>
      <c r="D111" s="29"/>
      <c r="E111" s="29"/>
      <c r="F111" s="29"/>
      <c r="G111" s="29"/>
    </row>
    <row r="112" spans="1:7" ht="14.25" customHeight="1" x14ac:dyDescent="0.2">
      <c r="A112" s="29">
        <v>111</v>
      </c>
      <c r="B112" s="29"/>
      <c r="C112" s="29"/>
      <c r="D112" s="29"/>
      <c r="E112" s="29"/>
      <c r="F112" s="29"/>
      <c r="G112" s="29"/>
    </row>
    <row r="113" spans="1:7" ht="14.25" customHeight="1" x14ac:dyDescent="0.2">
      <c r="A113" s="29">
        <v>112</v>
      </c>
      <c r="B113" s="29"/>
      <c r="C113" s="29"/>
      <c r="D113" s="29"/>
      <c r="E113" s="29"/>
      <c r="F113" s="29"/>
      <c r="G113" s="29"/>
    </row>
    <row r="114" spans="1:7" ht="14.25" customHeight="1" x14ac:dyDescent="0.2">
      <c r="A114" s="29">
        <v>113</v>
      </c>
      <c r="B114" s="29"/>
      <c r="C114" s="29"/>
      <c r="D114" s="29"/>
      <c r="E114" s="29"/>
      <c r="F114" s="29"/>
      <c r="G114" s="29"/>
    </row>
    <row r="115" spans="1:7" ht="14.25" customHeight="1" x14ac:dyDescent="0.2">
      <c r="A115" s="29">
        <v>114</v>
      </c>
      <c r="B115" s="29"/>
      <c r="C115" s="29"/>
      <c r="D115" s="29"/>
      <c r="E115" s="29"/>
      <c r="F115" s="29"/>
      <c r="G115" s="29"/>
    </row>
    <row r="116" spans="1:7" ht="14.25" customHeight="1" x14ac:dyDescent="0.2">
      <c r="A116" s="29">
        <v>115</v>
      </c>
      <c r="B116" s="29"/>
      <c r="C116" s="29"/>
      <c r="D116" s="29"/>
      <c r="E116" s="29"/>
      <c r="F116" s="29"/>
      <c r="G116" s="29"/>
    </row>
    <row r="117" spans="1:7" ht="14.25" customHeight="1" x14ac:dyDescent="0.2">
      <c r="A117" s="29">
        <v>116</v>
      </c>
      <c r="B117" s="29"/>
      <c r="C117" s="29"/>
      <c r="D117" s="29"/>
      <c r="E117" s="29"/>
      <c r="F117" s="29"/>
      <c r="G117" s="29"/>
    </row>
    <row r="118" spans="1:7" ht="14.25" customHeight="1" x14ac:dyDescent="0.2">
      <c r="A118" s="29">
        <v>117</v>
      </c>
      <c r="B118" s="29"/>
      <c r="C118" s="29"/>
      <c r="D118" s="29"/>
      <c r="E118" s="29"/>
      <c r="F118" s="29"/>
      <c r="G118" s="29"/>
    </row>
    <row r="119" spans="1:7" ht="14.25" customHeight="1" x14ac:dyDescent="0.2">
      <c r="A119" s="29">
        <v>118</v>
      </c>
      <c r="B119" s="29"/>
      <c r="C119" s="29"/>
      <c r="D119" s="29"/>
      <c r="E119" s="29"/>
      <c r="F119" s="29"/>
      <c r="G119" s="29"/>
    </row>
    <row r="120" spans="1:7" ht="14.25" customHeight="1" x14ac:dyDescent="0.2">
      <c r="A120" s="29">
        <v>119</v>
      </c>
      <c r="B120" s="29"/>
      <c r="C120" s="29"/>
      <c r="D120" s="29"/>
      <c r="E120" s="29"/>
      <c r="F120" s="29"/>
      <c r="G120" s="29"/>
    </row>
    <row r="121" spans="1:7" ht="14.25" customHeight="1" x14ac:dyDescent="0.2">
      <c r="A121" s="29">
        <v>120</v>
      </c>
      <c r="B121" s="29"/>
      <c r="C121" s="29"/>
      <c r="D121" s="29"/>
      <c r="E121" s="29"/>
      <c r="F121" s="29"/>
      <c r="G121" s="29"/>
    </row>
    <row r="122" spans="1:7" ht="14.25" customHeight="1" x14ac:dyDescent="0.2">
      <c r="A122" s="29">
        <v>121</v>
      </c>
      <c r="B122" s="29"/>
      <c r="C122" s="29"/>
      <c r="D122" s="29"/>
      <c r="E122" s="29"/>
      <c r="F122" s="29"/>
      <c r="G122" s="29"/>
    </row>
    <row r="123" spans="1:7" ht="14.25" customHeight="1" x14ac:dyDescent="0.2">
      <c r="A123" s="29">
        <v>122</v>
      </c>
      <c r="B123" s="29"/>
      <c r="C123" s="29"/>
      <c r="D123" s="29"/>
      <c r="E123" s="29"/>
      <c r="F123" s="29"/>
      <c r="G123" s="29"/>
    </row>
    <row r="124" spans="1:7" ht="14.25" customHeight="1" x14ac:dyDescent="0.2">
      <c r="A124" s="29">
        <v>123</v>
      </c>
      <c r="B124" s="29"/>
      <c r="C124" s="29"/>
      <c r="D124" s="29"/>
      <c r="E124" s="29"/>
      <c r="F124" s="29"/>
      <c r="G124" s="29"/>
    </row>
    <row r="125" spans="1:7" ht="14.25" customHeight="1" x14ac:dyDescent="0.2">
      <c r="A125" s="29">
        <v>124</v>
      </c>
      <c r="B125" s="29"/>
      <c r="C125" s="29"/>
      <c r="D125" s="29"/>
      <c r="E125" s="29"/>
      <c r="F125" s="29"/>
      <c r="G125" s="29"/>
    </row>
    <row r="126" spans="1:7" ht="14.25" customHeight="1" x14ac:dyDescent="0.2">
      <c r="A126" s="29">
        <v>125</v>
      </c>
      <c r="B126" s="29"/>
      <c r="C126" s="29"/>
      <c r="D126" s="29"/>
      <c r="E126" s="29"/>
      <c r="F126" s="29"/>
      <c r="G126" s="29"/>
    </row>
    <row r="127" spans="1:7" ht="14.25" customHeight="1" x14ac:dyDescent="0.2">
      <c r="A127" s="29">
        <v>126</v>
      </c>
      <c r="B127" s="29"/>
      <c r="C127" s="29"/>
      <c r="D127" s="29"/>
      <c r="E127" s="29"/>
      <c r="F127" s="29"/>
      <c r="G127" s="29"/>
    </row>
    <row r="128" spans="1:7" ht="14.25" customHeight="1" x14ac:dyDescent="0.2">
      <c r="A128" s="29">
        <v>127</v>
      </c>
      <c r="B128" s="29"/>
      <c r="C128" s="29"/>
      <c r="D128" s="29"/>
      <c r="E128" s="29"/>
      <c r="F128" s="29"/>
      <c r="G128" s="29"/>
    </row>
    <row r="129" spans="1:7" ht="14.25" customHeight="1" x14ac:dyDescent="0.2">
      <c r="A129" s="29">
        <v>128</v>
      </c>
      <c r="B129" s="29"/>
      <c r="C129" s="29"/>
      <c r="D129" s="29"/>
      <c r="E129" s="29"/>
      <c r="F129" s="29"/>
      <c r="G129" s="29"/>
    </row>
    <row r="130" spans="1:7" ht="14.25" customHeight="1" x14ac:dyDescent="0.2">
      <c r="A130" s="29">
        <v>129</v>
      </c>
      <c r="B130" s="29"/>
      <c r="C130" s="29"/>
      <c r="D130" s="29"/>
      <c r="E130" s="29"/>
      <c r="F130" s="29"/>
      <c r="G130" s="29"/>
    </row>
    <row r="131" spans="1:7" ht="14.25" customHeight="1" x14ac:dyDescent="0.2">
      <c r="A131" s="29">
        <v>130</v>
      </c>
      <c r="B131" s="29"/>
      <c r="C131" s="29"/>
      <c r="D131" s="29"/>
      <c r="E131" s="29"/>
      <c r="F131" s="29"/>
      <c r="G131" s="29"/>
    </row>
    <row r="132" spans="1:7" ht="14.25" customHeight="1" x14ac:dyDescent="0.2">
      <c r="A132" s="29">
        <v>131</v>
      </c>
      <c r="B132" s="29"/>
      <c r="C132" s="29"/>
      <c r="D132" s="29"/>
      <c r="E132" s="29"/>
      <c r="F132" s="29"/>
      <c r="G132" s="29"/>
    </row>
    <row r="133" spans="1:7" ht="14.25" customHeight="1" x14ac:dyDescent="0.2">
      <c r="A133" s="29">
        <v>132</v>
      </c>
      <c r="B133" s="29"/>
      <c r="C133" s="29"/>
      <c r="D133" s="29"/>
      <c r="E133" s="29"/>
      <c r="F133" s="29"/>
      <c r="G133" s="29"/>
    </row>
    <row r="134" spans="1:7" ht="14.25" customHeight="1" x14ac:dyDescent="0.2">
      <c r="A134" s="29">
        <v>133</v>
      </c>
      <c r="B134" s="29"/>
      <c r="C134" s="29"/>
      <c r="D134" s="29"/>
      <c r="E134" s="29"/>
      <c r="F134" s="29"/>
      <c r="G134" s="29"/>
    </row>
    <row r="135" spans="1:7" ht="14.25" customHeight="1" x14ac:dyDescent="0.2">
      <c r="A135" s="29">
        <v>134</v>
      </c>
      <c r="B135" s="29"/>
      <c r="C135" s="29"/>
      <c r="D135" s="29"/>
      <c r="E135" s="29"/>
      <c r="F135" s="29"/>
      <c r="G135" s="29"/>
    </row>
    <row r="136" spans="1:7" ht="14.25" customHeight="1" x14ac:dyDescent="0.2">
      <c r="A136" s="29">
        <v>135</v>
      </c>
      <c r="B136" s="29"/>
      <c r="C136" s="29"/>
      <c r="D136" s="29"/>
      <c r="E136" s="29"/>
      <c r="F136" s="29"/>
      <c r="G136" s="29"/>
    </row>
    <row r="137" spans="1:7" ht="14.25" customHeight="1" x14ac:dyDescent="0.2">
      <c r="A137" s="29">
        <v>136</v>
      </c>
      <c r="B137" s="29"/>
      <c r="C137" s="29"/>
      <c r="D137" s="29"/>
      <c r="E137" s="29"/>
      <c r="F137" s="29"/>
      <c r="G137" s="29"/>
    </row>
    <row r="138" spans="1:7" ht="14.25" customHeight="1" x14ac:dyDescent="0.2">
      <c r="A138" s="29">
        <v>137</v>
      </c>
      <c r="B138" s="29"/>
      <c r="C138" s="29"/>
      <c r="D138" s="29"/>
      <c r="E138" s="29"/>
      <c r="F138" s="29"/>
      <c r="G138" s="29"/>
    </row>
    <row r="139" spans="1:7" ht="14.25" customHeight="1" x14ac:dyDescent="0.2">
      <c r="A139" s="29">
        <v>138</v>
      </c>
      <c r="B139" s="29"/>
      <c r="C139" s="29"/>
      <c r="D139" s="29"/>
      <c r="E139" s="29"/>
      <c r="F139" s="29"/>
      <c r="G139" s="29"/>
    </row>
    <row r="140" spans="1:7" ht="14.25" customHeight="1" x14ac:dyDescent="0.2">
      <c r="A140" s="29">
        <v>139</v>
      </c>
      <c r="B140" s="29"/>
      <c r="C140" s="29"/>
      <c r="D140" s="29"/>
      <c r="E140" s="29"/>
      <c r="F140" s="29"/>
      <c r="G140" s="29"/>
    </row>
    <row r="141" spans="1:7" ht="14.25" customHeight="1" x14ac:dyDescent="0.2">
      <c r="A141" s="29">
        <v>140</v>
      </c>
      <c r="B141" s="29"/>
      <c r="C141" s="29"/>
      <c r="D141" s="29"/>
      <c r="E141" s="29"/>
      <c r="F141" s="29"/>
      <c r="G141" s="29"/>
    </row>
    <row r="142" spans="1:7" ht="14.25" customHeight="1" x14ac:dyDescent="0.2">
      <c r="A142" s="29">
        <v>141</v>
      </c>
      <c r="B142" s="29"/>
      <c r="C142" s="29"/>
      <c r="D142" s="29"/>
      <c r="E142" s="29"/>
      <c r="F142" s="29"/>
      <c r="G142" s="29"/>
    </row>
    <row r="143" spans="1:7" ht="14.25" customHeight="1" x14ac:dyDescent="0.2">
      <c r="A143" s="29">
        <v>142</v>
      </c>
      <c r="B143" s="29"/>
      <c r="C143" s="29"/>
      <c r="D143" s="29"/>
      <c r="E143" s="29"/>
      <c r="F143" s="29"/>
      <c r="G143" s="29"/>
    </row>
    <row r="144" spans="1:7" ht="14.25" customHeight="1" x14ac:dyDescent="0.2">
      <c r="A144" s="29">
        <v>143</v>
      </c>
      <c r="B144" s="29"/>
      <c r="C144" s="29"/>
      <c r="D144" s="29"/>
      <c r="E144" s="29"/>
      <c r="F144" s="29"/>
      <c r="G144" s="29"/>
    </row>
    <row r="145" spans="1:7" ht="14.25" customHeight="1" x14ac:dyDescent="0.2">
      <c r="A145" s="29">
        <v>144</v>
      </c>
      <c r="B145" s="29"/>
      <c r="C145" s="29"/>
      <c r="D145" s="29"/>
      <c r="E145" s="29"/>
      <c r="F145" s="29"/>
      <c r="G145" s="29"/>
    </row>
    <row r="146" spans="1:7" ht="14.25" customHeight="1" x14ac:dyDescent="0.2">
      <c r="A146" s="29">
        <v>145</v>
      </c>
      <c r="B146" s="29"/>
      <c r="C146" s="29"/>
      <c r="D146" s="29"/>
      <c r="E146" s="29"/>
      <c r="F146" s="29"/>
      <c r="G146" s="29"/>
    </row>
    <row r="147" spans="1:7" ht="14.25" customHeight="1" x14ac:dyDescent="0.2">
      <c r="A147" s="29">
        <v>146</v>
      </c>
      <c r="B147" s="29"/>
      <c r="C147" s="29"/>
      <c r="D147" s="29"/>
      <c r="E147" s="29"/>
      <c r="F147" s="29"/>
      <c r="G147" s="29"/>
    </row>
    <row r="148" spans="1:7" ht="14.25" customHeight="1" x14ac:dyDescent="0.2">
      <c r="A148" s="29">
        <v>147</v>
      </c>
      <c r="B148" s="29"/>
      <c r="C148" s="29"/>
      <c r="D148" s="29"/>
      <c r="E148" s="29"/>
      <c r="F148" s="29"/>
      <c r="G148" s="29"/>
    </row>
    <row r="149" spans="1:7" ht="14.25" customHeight="1" x14ac:dyDescent="0.2">
      <c r="A149" s="29">
        <v>148</v>
      </c>
      <c r="B149" s="29"/>
      <c r="C149" s="29"/>
      <c r="D149" s="29"/>
      <c r="E149" s="29"/>
      <c r="F149" s="29"/>
      <c r="G149" s="29"/>
    </row>
    <row r="150" spans="1:7" ht="14.25" customHeight="1" x14ac:dyDescent="0.2">
      <c r="A150" s="29">
        <v>149</v>
      </c>
      <c r="B150" s="29"/>
      <c r="C150" s="29"/>
      <c r="D150" s="29"/>
      <c r="E150" s="29"/>
      <c r="F150" s="29"/>
      <c r="G150" s="29"/>
    </row>
    <row r="151" spans="1:7" ht="14.25" customHeight="1" x14ac:dyDescent="0.2">
      <c r="A151" s="29">
        <v>150</v>
      </c>
      <c r="B151" s="29"/>
      <c r="C151" s="29"/>
      <c r="D151" s="29"/>
      <c r="E151" s="29"/>
      <c r="F151" s="29"/>
      <c r="G151" s="29"/>
    </row>
    <row r="152" spans="1:7" ht="14.25" customHeight="1" x14ac:dyDescent="0.2">
      <c r="A152" s="29">
        <v>151</v>
      </c>
      <c r="B152" s="29"/>
      <c r="C152" s="29"/>
      <c r="D152" s="29"/>
      <c r="E152" s="29"/>
      <c r="F152" s="29"/>
      <c r="G152" s="29"/>
    </row>
    <row r="153" spans="1:7" ht="14.25" customHeight="1" x14ac:dyDescent="0.2">
      <c r="A153" s="29">
        <v>152</v>
      </c>
      <c r="B153" s="29"/>
      <c r="C153" s="29"/>
      <c r="D153" s="29"/>
      <c r="E153" s="29"/>
      <c r="F153" s="29"/>
      <c r="G153" s="29"/>
    </row>
    <row r="154" spans="1:7" ht="14.25" customHeight="1" x14ac:dyDescent="0.2">
      <c r="A154" s="29">
        <v>153</v>
      </c>
      <c r="B154" s="29"/>
      <c r="C154" s="29"/>
      <c r="D154" s="29"/>
      <c r="E154" s="29"/>
      <c r="F154" s="29"/>
      <c r="G154" s="29"/>
    </row>
    <row r="155" spans="1:7" ht="14.25" customHeight="1" x14ac:dyDescent="0.2">
      <c r="A155" s="29">
        <v>154</v>
      </c>
      <c r="B155" s="29"/>
      <c r="C155" s="29"/>
      <c r="D155" s="29"/>
      <c r="E155" s="29"/>
      <c r="F155" s="29"/>
      <c r="G155" s="29"/>
    </row>
    <row r="156" spans="1:7" ht="14.25" customHeight="1" x14ac:dyDescent="0.2">
      <c r="A156" s="29">
        <v>155</v>
      </c>
      <c r="B156" s="29"/>
      <c r="C156" s="29"/>
      <c r="D156" s="29"/>
      <c r="E156" s="29"/>
      <c r="F156" s="29"/>
      <c r="G156" s="29"/>
    </row>
    <row r="157" spans="1:7" ht="14.25" customHeight="1" x14ac:dyDescent="0.2">
      <c r="A157" s="29">
        <v>156</v>
      </c>
      <c r="B157" s="29"/>
      <c r="C157" s="29"/>
      <c r="D157" s="29"/>
      <c r="E157" s="29"/>
      <c r="F157" s="29"/>
      <c r="G157" s="29"/>
    </row>
    <row r="158" spans="1:7" ht="14.25" customHeight="1" x14ac:dyDescent="0.2">
      <c r="A158" s="29">
        <v>157</v>
      </c>
      <c r="B158" s="29"/>
      <c r="C158" s="29"/>
      <c r="D158" s="29"/>
      <c r="E158" s="29"/>
      <c r="F158" s="29"/>
      <c r="G158" s="29"/>
    </row>
    <row r="159" spans="1:7" ht="14.25" customHeight="1" x14ac:dyDescent="0.2">
      <c r="A159" s="29">
        <v>158</v>
      </c>
      <c r="B159" s="29"/>
      <c r="C159" s="29"/>
      <c r="D159" s="29"/>
      <c r="E159" s="29"/>
      <c r="F159" s="29"/>
      <c r="G159" s="29"/>
    </row>
    <row r="160" spans="1:7" ht="14.25" customHeight="1" x14ac:dyDescent="0.2">
      <c r="A160" s="29">
        <v>159</v>
      </c>
      <c r="B160" s="29"/>
      <c r="C160" s="29"/>
      <c r="D160" s="29"/>
      <c r="E160" s="29"/>
      <c r="F160" s="29"/>
      <c r="G160" s="29"/>
    </row>
    <row r="161" spans="1:7" ht="14.25" customHeight="1" x14ac:dyDescent="0.2">
      <c r="A161" s="29">
        <v>160</v>
      </c>
      <c r="B161" s="29"/>
      <c r="C161" s="29"/>
      <c r="D161" s="29"/>
      <c r="E161" s="29"/>
      <c r="F161" s="29"/>
      <c r="G161" s="29"/>
    </row>
    <row r="162" spans="1:7" ht="14.25" customHeight="1" x14ac:dyDescent="0.2">
      <c r="A162" s="29">
        <v>161</v>
      </c>
      <c r="B162" s="29"/>
      <c r="C162" s="29"/>
      <c r="D162" s="29"/>
      <c r="E162" s="29"/>
      <c r="F162" s="29"/>
      <c r="G162" s="29"/>
    </row>
    <row r="163" spans="1:7" ht="14.25" customHeight="1" x14ac:dyDescent="0.2">
      <c r="A163" s="29">
        <v>162</v>
      </c>
      <c r="B163" s="29"/>
      <c r="C163" s="29"/>
      <c r="D163" s="29"/>
      <c r="E163" s="29"/>
      <c r="F163" s="29"/>
      <c r="G163" s="29"/>
    </row>
    <row r="164" spans="1:7" ht="14.25" customHeight="1" x14ac:dyDescent="0.2">
      <c r="A164" s="29">
        <v>163</v>
      </c>
      <c r="B164" s="29"/>
      <c r="C164" s="29"/>
      <c r="D164" s="29"/>
      <c r="E164" s="29"/>
      <c r="F164" s="29"/>
      <c r="G164" s="29"/>
    </row>
    <row r="165" spans="1:7" ht="14.25" customHeight="1" x14ac:dyDescent="0.2">
      <c r="A165" s="29">
        <v>164</v>
      </c>
      <c r="B165" s="29"/>
      <c r="C165" s="29"/>
      <c r="D165" s="29"/>
      <c r="E165" s="29"/>
      <c r="F165" s="29"/>
      <c r="G165" s="29"/>
    </row>
    <row r="166" spans="1:7" ht="14.25" customHeight="1" x14ac:dyDescent="0.2">
      <c r="A166" s="29">
        <v>165</v>
      </c>
      <c r="B166" s="29"/>
      <c r="C166" s="29"/>
      <c r="D166" s="29"/>
      <c r="E166" s="29"/>
      <c r="F166" s="29"/>
      <c r="G166" s="29"/>
    </row>
    <row r="167" spans="1:7" ht="14.25" customHeight="1" x14ac:dyDescent="0.2">
      <c r="A167" s="29">
        <v>166</v>
      </c>
      <c r="B167" s="29"/>
      <c r="C167" s="29"/>
      <c r="D167" s="29"/>
      <c r="E167" s="29"/>
      <c r="F167" s="29"/>
      <c r="G167" s="29"/>
    </row>
    <row r="168" spans="1:7" ht="14.25" customHeight="1" x14ac:dyDescent="0.2">
      <c r="A168" s="29">
        <v>167</v>
      </c>
      <c r="B168" s="29"/>
      <c r="C168" s="29"/>
      <c r="D168" s="29"/>
      <c r="E168" s="29"/>
      <c r="F168" s="29"/>
      <c r="G168" s="29"/>
    </row>
    <row r="169" spans="1:7" ht="14.25" customHeight="1" x14ac:dyDescent="0.2">
      <c r="A169" s="29">
        <v>168</v>
      </c>
      <c r="B169" s="29"/>
      <c r="C169" s="29"/>
      <c r="D169" s="29"/>
      <c r="E169" s="29"/>
      <c r="F169" s="29"/>
      <c r="G169" s="29"/>
    </row>
    <row r="170" spans="1:7" ht="14.25" customHeight="1" x14ac:dyDescent="0.2">
      <c r="A170" s="29">
        <v>169</v>
      </c>
      <c r="B170" s="29"/>
      <c r="C170" s="29"/>
      <c r="D170" s="29"/>
      <c r="E170" s="29"/>
      <c r="F170" s="29"/>
      <c r="G170" s="29"/>
    </row>
    <row r="171" spans="1:7" ht="14.25" customHeight="1" x14ac:dyDescent="0.2">
      <c r="A171" s="29">
        <v>170</v>
      </c>
      <c r="B171" s="29"/>
      <c r="C171" s="29"/>
      <c r="D171" s="29"/>
      <c r="E171" s="29"/>
      <c r="F171" s="29"/>
      <c r="G171" s="29"/>
    </row>
    <row r="172" spans="1:7" ht="14.25" customHeight="1" x14ac:dyDescent="0.2">
      <c r="A172" s="29">
        <v>171</v>
      </c>
      <c r="B172" s="29"/>
      <c r="C172" s="29"/>
      <c r="D172" s="29"/>
      <c r="E172" s="29"/>
      <c r="F172" s="29"/>
      <c r="G172" s="29"/>
    </row>
    <row r="173" spans="1:7" ht="14.25" customHeight="1" x14ac:dyDescent="0.2">
      <c r="A173" s="29">
        <v>172</v>
      </c>
      <c r="B173" s="29"/>
      <c r="C173" s="29"/>
      <c r="D173" s="29"/>
      <c r="E173" s="29"/>
      <c r="F173" s="29"/>
      <c r="G173" s="29"/>
    </row>
    <row r="174" spans="1:7" ht="14.25" customHeight="1" x14ac:dyDescent="0.2">
      <c r="A174" s="29">
        <v>173</v>
      </c>
      <c r="B174" s="29"/>
      <c r="C174" s="29"/>
      <c r="D174" s="29"/>
      <c r="E174" s="29"/>
      <c r="F174" s="29"/>
      <c r="G174" s="29"/>
    </row>
    <row r="175" spans="1:7" ht="14.25" customHeight="1" x14ac:dyDescent="0.2">
      <c r="A175" s="29">
        <v>174</v>
      </c>
      <c r="B175" s="29"/>
      <c r="C175" s="29"/>
      <c r="D175" s="29"/>
      <c r="E175" s="29"/>
      <c r="F175" s="29"/>
      <c r="G175" s="29"/>
    </row>
    <row r="176" spans="1:7" ht="14.25" customHeight="1" x14ac:dyDescent="0.2">
      <c r="A176" s="29">
        <v>175</v>
      </c>
      <c r="B176" s="29"/>
      <c r="C176" s="29"/>
      <c r="D176" s="29"/>
      <c r="E176" s="29"/>
      <c r="F176" s="29"/>
      <c r="G176" s="29"/>
    </row>
    <row r="177" spans="1:7" ht="135.75" customHeight="1" x14ac:dyDescent="0.2">
      <c r="A177" s="29">
        <v>176</v>
      </c>
      <c r="B177" s="29"/>
      <c r="C177" s="29"/>
      <c r="D177" s="29"/>
      <c r="E177" s="29"/>
      <c r="F177" s="29"/>
      <c r="G177" s="29"/>
    </row>
    <row r="178" spans="1:7" ht="14.25" customHeight="1" x14ac:dyDescent="0.2"/>
    <row r="179" spans="1:7" ht="14.25" customHeight="1" x14ac:dyDescent="0.2"/>
    <row r="180" spans="1:7" ht="14.25" customHeight="1" x14ac:dyDescent="0.2"/>
    <row r="181" spans="1:7" ht="14.25" customHeight="1" x14ac:dyDescent="0.2"/>
    <row r="182" spans="1:7" ht="14.25" customHeight="1" x14ac:dyDescent="0.2"/>
    <row r="183" spans="1:7" ht="14.25" customHeight="1" x14ac:dyDescent="0.2"/>
    <row r="184" spans="1:7" ht="14.25" customHeight="1" x14ac:dyDescent="0.2"/>
    <row r="185" spans="1:7" ht="14.25" customHeight="1" x14ac:dyDescent="0.2"/>
    <row r="186" spans="1:7" ht="14.25" customHeight="1" x14ac:dyDescent="0.2"/>
    <row r="187" spans="1:7" ht="14.25" customHeight="1" x14ac:dyDescent="0.2"/>
    <row r="188" spans="1:7" ht="14.25" customHeight="1" x14ac:dyDescent="0.2"/>
    <row r="189" spans="1:7" ht="14.25" customHeight="1" x14ac:dyDescent="0.2"/>
    <row r="190" spans="1:7" ht="14.25" customHeight="1" x14ac:dyDescent="0.2"/>
    <row r="191" spans="1:7" ht="14.25" customHeight="1" x14ac:dyDescent="0.2"/>
    <row r="192" spans="1:7"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rightToLeft="1" workbookViewId="0"/>
  </sheetViews>
  <sheetFormatPr defaultColWidth="12.625" defaultRowHeight="15" customHeight="1" x14ac:dyDescent="0.2"/>
  <cols>
    <col min="1" max="1" width="6.875" customWidth="1"/>
    <col min="2" max="3" width="8.75" customWidth="1"/>
    <col min="4" max="4" width="13.625" customWidth="1"/>
    <col min="5" max="5" width="8.75" customWidth="1"/>
    <col min="6" max="6" width="12.25" customWidth="1"/>
    <col min="7" max="7" width="13" customWidth="1"/>
    <col min="8" max="8" width="21.875" customWidth="1"/>
    <col min="9" max="9" width="16.75" customWidth="1"/>
    <col min="10" max="10" width="76" customWidth="1"/>
    <col min="11" max="26" width="8.75" customWidth="1"/>
  </cols>
  <sheetData>
    <row r="1" spans="1:10" ht="14.25" customHeight="1" x14ac:dyDescent="0.3">
      <c r="B1" s="263" t="s">
        <v>3823</v>
      </c>
      <c r="C1" s="264"/>
      <c r="D1" s="264"/>
      <c r="E1" s="265"/>
      <c r="F1" s="266"/>
      <c r="G1" s="266"/>
    </row>
    <row r="2" spans="1:10" ht="14.25" customHeight="1" x14ac:dyDescent="0.25">
      <c r="A2" s="267" t="s">
        <v>3824</v>
      </c>
      <c r="B2" s="268" t="s">
        <v>3825</v>
      </c>
      <c r="C2" s="267" t="s">
        <v>3826</v>
      </c>
      <c r="D2" s="267" t="s">
        <v>3827</v>
      </c>
      <c r="E2" s="269" t="s">
        <v>3828</v>
      </c>
      <c r="F2" s="267" t="s">
        <v>473</v>
      </c>
      <c r="G2" s="267" t="s">
        <v>3829</v>
      </c>
      <c r="H2" s="270" t="s">
        <v>3830</v>
      </c>
      <c r="I2" s="270" t="s">
        <v>3831</v>
      </c>
      <c r="J2" s="267" t="s">
        <v>3832</v>
      </c>
    </row>
    <row r="3" spans="1:10" ht="14.25" customHeight="1" x14ac:dyDescent="0.2">
      <c r="A3" s="29">
        <v>1</v>
      </c>
      <c r="B3" s="271" t="s">
        <v>19</v>
      </c>
      <c r="C3" s="272" t="s">
        <v>20</v>
      </c>
      <c r="D3" s="12" t="s">
        <v>21</v>
      </c>
      <c r="E3" s="13">
        <v>11.24</v>
      </c>
      <c r="F3" s="38">
        <v>83945203</v>
      </c>
      <c r="G3" s="272" t="s">
        <v>3833</v>
      </c>
      <c r="H3" s="16" t="s">
        <v>567</v>
      </c>
      <c r="I3" s="17" t="s">
        <v>3834</v>
      </c>
      <c r="J3" s="29" t="s">
        <v>3835</v>
      </c>
    </row>
    <row r="4" spans="1:10" ht="14.25" customHeight="1" x14ac:dyDescent="0.2">
      <c r="A4" s="29">
        <v>2</v>
      </c>
      <c r="B4" s="12" t="s">
        <v>19</v>
      </c>
      <c r="C4" s="272" t="s">
        <v>183</v>
      </c>
      <c r="D4" s="12" t="s">
        <v>184</v>
      </c>
      <c r="E4" s="13">
        <v>10.23</v>
      </c>
      <c r="F4" s="12">
        <v>59032903</v>
      </c>
      <c r="G4" s="12" t="s">
        <v>3836</v>
      </c>
      <c r="H4" s="12" t="s">
        <v>539</v>
      </c>
      <c r="I4" s="17" t="s">
        <v>3837</v>
      </c>
      <c r="J4" s="29" t="s">
        <v>3838</v>
      </c>
    </row>
    <row r="5" spans="1:10" ht="14.25" customHeight="1" x14ac:dyDescent="0.2">
      <c r="A5" s="29">
        <v>3</v>
      </c>
      <c r="B5" s="273" t="s">
        <v>35</v>
      </c>
      <c r="C5" s="272" t="s">
        <v>57</v>
      </c>
      <c r="D5" s="12" t="s">
        <v>3839</v>
      </c>
      <c r="E5" s="13">
        <v>6.23</v>
      </c>
      <c r="F5" s="12">
        <v>44480903</v>
      </c>
      <c r="G5" s="272" t="s">
        <v>3840</v>
      </c>
      <c r="H5" s="272" t="s">
        <v>3841</v>
      </c>
      <c r="I5" s="12" t="s">
        <v>3842</v>
      </c>
      <c r="J5" s="29" t="s">
        <v>3843</v>
      </c>
    </row>
    <row r="6" spans="1:10" ht="14.25" customHeight="1" x14ac:dyDescent="0.2">
      <c r="A6" s="29">
        <v>4</v>
      </c>
      <c r="B6" s="273" t="s">
        <v>35</v>
      </c>
      <c r="C6" s="272" t="s">
        <v>82</v>
      </c>
      <c r="D6" s="12" t="s">
        <v>3844</v>
      </c>
      <c r="E6" s="13" t="s">
        <v>3845</v>
      </c>
      <c r="F6" s="12">
        <v>30327902</v>
      </c>
      <c r="G6" s="12" t="s">
        <v>3846</v>
      </c>
      <c r="H6" s="272" t="s">
        <v>3847</v>
      </c>
      <c r="I6" s="12" t="s">
        <v>3848</v>
      </c>
      <c r="J6" s="29" t="s">
        <v>3849</v>
      </c>
    </row>
    <row r="7" spans="1:10" ht="14.25" customHeight="1" x14ac:dyDescent="0.2">
      <c r="A7" s="29">
        <v>5</v>
      </c>
      <c r="B7" s="273" t="s">
        <v>35</v>
      </c>
      <c r="C7" s="272" t="s">
        <v>36</v>
      </c>
      <c r="D7" s="12" t="s">
        <v>37</v>
      </c>
      <c r="E7" s="13"/>
      <c r="F7" s="12">
        <v>65178203</v>
      </c>
      <c r="G7" s="12"/>
      <c r="H7" s="274" t="s">
        <v>3850</v>
      </c>
      <c r="I7" s="17" t="s">
        <v>3848</v>
      </c>
      <c r="J7" s="29" t="s">
        <v>3851</v>
      </c>
    </row>
    <row r="8" spans="1:10" ht="14.25" customHeight="1" x14ac:dyDescent="0.2">
      <c r="A8" s="29">
        <v>6</v>
      </c>
      <c r="B8" s="12" t="s">
        <v>35</v>
      </c>
      <c r="C8" s="272" t="s">
        <v>36</v>
      </c>
      <c r="D8" s="12" t="s">
        <v>37</v>
      </c>
      <c r="E8" s="13">
        <v>4.24</v>
      </c>
      <c r="F8" s="38">
        <v>65388703</v>
      </c>
      <c r="G8" s="12" t="s">
        <v>43</v>
      </c>
      <c r="H8" s="17" t="s">
        <v>3841</v>
      </c>
      <c r="I8" s="17" t="s">
        <v>3848</v>
      </c>
      <c r="J8" s="29" t="s">
        <v>3852</v>
      </c>
    </row>
    <row r="9" spans="1:10" ht="14.25" customHeight="1" x14ac:dyDescent="0.2">
      <c r="A9" s="29">
        <v>7</v>
      </c>
      <c r="B9" s="273" t="s">
        <v>35</v>
      </c>
      <c r="C9" s="272" t="s">
        <v>3853</v>
      </c>
      <c r="D9" s="12" t="s">
        <v>3854</v>
      </c>
      <c r="E9" s="13">
        <v>6.22</v>
      </c>
      <c r="F9" s="12">
        <v>31404502</v>
      </c>
      <c r="G9" s="12" t="s">
        <v>3855</v>
      </c>
      <c r="H9" s="272" t="s">
        <v>1123</v>
      </c>
      <c r="I9" s="12" t="s">
        <v>3848</v>
      </c>
      <c r="J9" s="29" t="s">
        <v>3856</v>
      </c>
    </row>
    <row r="10" spans="1:10" ht="14.25" customHeight="1" x14ac:dyDescent="0.2">
      <c r="A10" s="29">
        <v>8</v>
      </c>
      <c r="B10" s="273" t="s">
        <v>35</v>
      </c>
      <c r="C10" s="272" t="s">
        <v>3853</v>
      </c>
      <c r="D10" s="12" t="s">
        <v>3854</v>
      </c>
      <c r="E10" s="13">
        <v>6.22</v>
      </c>
      <c r="F10" s="12">
        <v>31404802</v>
      </c>
      <c r="G10" s="12" t="s">
        <v>3855</v>
      </c>
      <c r="H10" s="272" t="s">
        <v>3857</v>
      </c>
      <c r="I10" s="12" t="s">
        <v>3848</v>
      </c>
      <c r="J10" s="29" t="s">
        <v>3858</v>
      </c>
    </row>
    <row r="11" spans="1:10" ht="14.25" customHeight="1" x14ac:dyDescent="0.2">
      <c r="A11" s="29">
        <v>9</v>
      </c>
      <c r="B11" s="273" t="s">
        <v>19</v>
      </c>
      <c r="C11" s="272" t="s">
        <v>63</v>
      </c>
      <c r="D11" s="12" t="s">
        <v>3859</v>
      </c>
      <c r="E11" s="13"/>
      <c r="F11" s="12">
        <v>89072103</v>
      </c>
      <c r="G11" s="12"/>
      <c r="H11" s="272" t="s">
        <v>3860</v>
      </c>
      <c r="I11" s="12" t="s">
        <v>3861</v>
      </c>
      <c r="J11" s="29" t="s">
        <v>3862</v>
      </c>
    </row>
    <row r="12" spans="1:10" ht="14.25" customHeight="1" x14ac:dyDescent="0.2">
      <c r="A12" s="29">
        <v>10</v>
      </c>
      <c r="B12" s="12" t="s">
        <v>19</v>
      </c>
      <c r="C12" s="272" t="s">
        <v>20</v>
      </c>
      <c r="D12" s="12" t="s">
        <v>70</v>
      </c>
      <c r="E12" s="13">
        <v>11.24</v>
      </c>
      <c r="F12" s="38">
        <v>83945303</v>
      </c>
      <c r="G12" s="12" t="s">
        <v>3833</v>
      </c>
      <c r="H12" s="275" t="s">
        <v>1139</v>
      </c>
      <c r="I12" s="17" t="s">
        <v>3863</v>
      </c>
      <c r="J12" s="29" t="s">
        <v>3864</v>
      </c>
    </row>
    <row r="13" spans="1:10" ht="14.25" customHeight="1" x14ac:dyDescent="0.2">
      <c r="A13" s="29">
        <v>11</v>
      </c>
      <c r="B13" s="273" t="s">
        <v>35</v>
      </c>
      <c r="C13" s="272" t="s">
        <v>57</v>
      </c>
      <c r="D13" s="12" t="s">
        <v>3865</v>
      </c>
      <c r="E13" s="13">
        <v>3.21</v>
      </c>
      <c r="F13" s="12">
        <v>41222702</v>
      </c>
      <c r="G13" s="12" t="s">
        <v>3866</v>
      </c>
      <c r="H13" s="272" t="s">
        <v>3867</v>
      </c>
      <c r="I13" s="12" t="s">
        <v>3848</v>
      </c>
      <c r="J13" s="29" t="s">
        <v>3868</v>
      </c>
    </row>
    <row r="14" spans="1:10" ht="14.25" customHeight="1" x14ac:dyDescent="0.2">
      <c r="A14" s="29">
        <v>12</v>
      </c>
      <c r="B14" s="273" t="s">
        <v>35</v>
      </c>
      <c r="C14" s="272" t="s">
        <v>57</v>
      </c>
      <c r="D14" s="12" t="s">
        <v>3865</v>
      </c>
      <c r="E14" s="13">
        <v>3.21</v>
      </c>
      <c r="F14" s="12">
        <v>41222802</v>
      </c>
      <c r="G14" s="12" t="s">
        <v>3866</v>
      </c>
      <c r="H14" s="272" t="s">
        <v>3869</v>
      </c>
      <c r="I14" s="12" t="s">
        <v>3848</v>
      </c>
      <c r="J14" s="29" t="s">
        <v>3870</v>
      </c>
    </row>
    <row r="15" spans="1:10" ht="14.25" customHeight="1" x14ac:dyDescent="0.2">
      <c r="A15" s="29">
        <v>13</v>
      </c>
      <c r="B15" s="273" t="s">
        <v>35</v>
      </c>
      <c r="C15" s="272" t="s">
        <v>82</v>
      </c>
      <c r="D15" s="12" t="s">
        <v>83</v>
      </c>
      <c r="E15" s="13">
        <v>1.21</v>
      </c>
      <c r="F15" s="12">
        <v>42008802</v>
      </c>
      <c r="G15" s="12" t="s">
        <v>3871</v>
      </c>
      <c r="H15" s="272" t="s">
        <v>994</v>
      </c>
      <c r="I15" s="12" t="s">
        <v>3848</v>
      </c>
      <c r="J15" s="29" t="s">
        <v>3872</v>
      </c>
    </row>
    <row r="16" spans="1:10" ht="14.25" customHeight="1" x14ac:dyDescent="0.2">
      <c r="A16" s="29">
        <v>14</v>
      </c>
      <c r="B16" s="12" t="s">
        <v>35</v>
      </c>
      <c r="C16" s="272" t="s">
        <v>82</v>
      </c>
      <c r="D16" s="12" t="s">
        <v>83</v>
      </c>
      <c r="E16" s="13">
        <v>1.24</v>
      </c>
      <c r="F16" s="38">
        <v>59347603</v>
      </c>
      <c r="G16" s="12" t="s">
        <v>89</v>
      </c>
      <c r="H16" s="17" t="s">
        <v>1450</v>
      </c>
      <c r="I16" s="45" t="s">
        <v>3842</v>
      </c>
      <c r="J16" s="29" t="s">
        <v>3873</v>
      </c>
    </row>
    <row r="17" spans="1:26" ht="14.25" customHeight="1" x14ac:dyDescent="0.2">
      <c r="A17" s="29">
        <v>15</v>
      </c>
      <c r="B17" s="273" t="s">
        <v>35</v>
      </c>
      <c r="C17" s="272" t="s">
        <v>82</v>
      </c>
      <c r="D17" s="12" t="s">
        <v>83</v>
      </c>
      <c r="E17" s="13">
        <v>1.21</v>
      </c>
      <c r="F17" s="12">
        <v>42009002</v>
      </c>
      <c r="G17" s="12" t="s">
        <v>3871</v>
      </c>
      <c r="H17" s="272" t="s">
        <v>3874</v>
      </c>
      <c r="I17" s="12" t="s">
        <v>3848</v>
      </c>
      <c r="J17" s="29" t="s">
        <v>3875</v>
      </c>
    </row>
    <row r="18" spans="1:26" ht="14.25" customHeight="1" x14ac:dyDescent="0.2">
      <c r="A18" s="29">
        <v>16</v>
      </c>
      <c r="B18" s="273" t="s">
        <v>35</v>
      </c>
      <c r="C18" s="272" t="s">
        <v>82</v>
      </c>
      <c r="D18" s="12" t="s">
        <v>83</v>
      </c>
      <c r="E18" s="13">
        <v>1.21</v>
      </c>
      <c r="F18" s="12">
        <v>42948502</v>
      </c>
      <c r="G18" s="12" t="s">
        <v>3871</v>
      </c>
      <c r="H18" s="272" t="s">
        <v>3876</v>
      </c>
      <c r="I18" s="12" t="s">
        <v>3848</v>
      </c>
      <c r="J18" s="29" t="s">
        <v>3877</v>
      </c>
    </row>
    <row r="19" spans="1:26" ht="14.25" customHeight="1" x14ac:dyDescent="0.2">
      <c r="A19" s="29">
        <v>17</v>
      </c>
      <c r="B19" s="273" t="s">
        <v>35</v>
      </c>
      <c r="C19" s="272" t="s">
        <v>82</v>
      </c>
      <c r="D19" s="12" t="s">
        <v>83</v>
      </c>
      <c r="E19" s="13">
        <v>1.21</v>
      </c>
      <c r="F19" s="12">
        <v>42949102</v>
      </c>
      <c r="G19" s="12" t="s">
        <v>3871</v>
      </c>
      <c r="H19" s="272" t="s">
        <v>3878</v>
      </c>
      <c r="I19" s="12" t="s">
        <v>3848</v>
      </c>
      <c r="J19" s="29" t="s">
        <v>3872</v>
      </c>
    </row>
    <row r="20" spans="1:26" ht="14.25" customHeight="1" x14ac:dyDescent="0.2">
      <c r="A20" s="29">
        <v>18</v>
      </c>
      <c r="B20" s="273" t="s">
        <v>35</v>
      </c>
      <c r="C20" s="272" t="s">
        <v>82</v>
      </c>
      <c r="D20" s="12" t="s">
        <v>83</v>
      </c>
      <c r="E20" s="13">
        <v>1.21</v>
      </c>
      <c r="F20" s="12">
        <v>42949202</v>
      </c>
      <c r="G20" s="12" t="s">
        <v>3871</v>
      </c>
      <c r="H20" s="272" t="s">
        <v>3879</v>
      </c>
      <c r="I20" s="12" t="s">
        <v>3848</v>
      </c>
      <c r="J20" s="29" t="s">
        <v>3880</v>
      </c>
    </row>
    <row r="21" spans="1:26" ht="14.25" customHeight="1" x14ac:dyDescent="0.2">
      <c r="A21" s="29">
        <v>19</v>
      </c>
      <c r="B21" s="273" t="s">
        <v>35</v>
      </c>
      <c r="C21" s="272" t="s">
        <v>82</v>
      </c>
      <c r="D21" s="12" t="s">
        <v>83</v>
      </c>
      <c r="E21" s="13">
        <v>1.21</v>
      </c>
      <c r="F21" s="12">
        <v>42950702</v>
      </c>
      <c r="G21" s="12" t="s">
        <v>3871</v>
      </c>
      <c r="H21" s="274" t="s">
        <v>3881</v>
      </c>
      <c r="I21" s="17" t="s">
        <v>3848</v>
      </c>
      <c r="J21" s="29"/>
    </row>
    <row r="22" spans="1:26" ht="14.25" customHeight="1" x14ac:dyDescent="0.25">
      <c r="A22" s="29">
        <v>20</v>
      </c>
      <c r="B22" s="273" t="s">
        <v>19</v>
      </c>
      <c r="C22" s="276" t="s">
        <v>63</v>
      </c>
      <c r="D22" s="33" t="s">
        <v>93</v>
      </c>
      <c r="E22" s="34">
        <v>5.21</v>
      </c>
      <c r="F22" s="12">
        <v>45366502</v>
      </c>
      <c r="G22" s="56" t="s">
        <v>3882</v>
      </c>
      <c r="H22" s="272" t="s">
        <v>1066</v>
      </c>
      <c r="I22" s="12" t="s">
        <v>587</v>
      </c>
      <c r="J22" s="29" t="s">
        <v>3883</v>
      </c>
    </row>
    <row r="23" spans="1:26" ht="14.25" customHeight="1" x14ac:dyDescent="0.25">
      <c r="A23" s="29">
        <v>21</v>
      </c>
      <c r="B23" s="273" t="s">
        <v>19</v>
      </c>
      <c r="C23" s="276" t="s">
        <v>63</v>
      </c>
      <c r="D23" s="33" t="s">
        <v>93</v>
      </c>
      <c r="E23" s="34">
        <v>5.21</v>
      </c>
      <c r="F23" s="12">
        <v>45366702</v>
      </c>
      <c r="G23" s="12" t="s">
        <v>3882</v>
      </c>
      <c r="H23" s="272" t="s">
        <v>3884</v>
      </c>
      <c r="I23" s="12" t="s">
        <v>3566</v>
      </c>
      <c r="J23" s="29" t="s">
        <v>3885</v>
      </c>
    </row>
    <row r="24" spans="1:26" ht="14.25" customHeight="1" x14ac:dyDescent="0.25">
      <c r="A24" s="29">
        <v>22</v>
      </c>
      <c r="B24" s="273" t="s">
        <v>19</v>
      </c>
      <c r="C24" s="276" t="s">
        <v>63</v>
      </c>
      <c r="D24" s="33" t="s">
        <v>93</v>
      </c>
      <c r="E24" s="34">
        <v>5.21</v>
      </c>
      <c r="F24" s="12">
        <v>45366802</v>
      </c>
      <c r="G24" s="45" t="s">
        <v>3882</v>
      </c>
      <c r="H24" s="272" t="s">
        <v>2049</v>
      </c>
      <c r="I24" s="12" t="s">
        <v>587</v>
      </c>
      <c r="J24" s="29" t="s">
        <v>3886</v>
      </c>
    </row>
    <row r="25" spans="1:26" ht="14.25" customHeight="1" x14ac:dyDescent="0.2">
      <c r="A25" s="29">
        <v>23</v>
      </c>
      <c r="B25" s="273" t="s">
        <v>35</v>
      </c>
      <c r="C25" s="272" t="s">
        <v>249</v>
      </c>
      <c r="D25" s="12" t="s">
        <v>3887</v>
      </c>
      <c r="E25" s="13">
        <v>3.21</v>
      </c>
      <c r="F25" s="12">
        <v>52150302</v>
      </c>
      <c r="G25" s="12" t="s">
        <v>3888</v>
      </c>
      <c r="H25" s="272" t="s">
        <v>3889</v>
      </c>
      <c r="I25" s="12" t="s">
        <v>3848</v>
      </c>
      <c r="J25" s="29" t="s">
        <v>3890</v>
      </c>
    </row>
    <row r="26" spans="1:26" ht="14.25" customHeight="1" x14ac:dyDescent="0.2">
      <c r="A26" s="29">
        <v>24</v>
      </c>
      <c r="B26" s="273" t="s">
        <v>35</v>
      </c>
      <c r="C26" s="272" t="s">
        <v>20</v>
      </c>
      <c r="D26" s="12" t="s">
        <v>70</v>
      </c>
      <c r="E26" s="13">
        <v>11.24</v>
      </c>
      <c r="F26" s="63">
        <v>83945503</v>
      </c>
      <c r="G26" s="12" t="s">
        <v>3833</v>
      </c>
      <c r="H26" s="272" t="s">
        <v>3891</v>
      </c>
      <c r="I26" s="12" t="s">
        <v>3863</v>
      </c>
      <c r="J26" s="29" t="s">
        <v>3892</v>
      </c>
    </row>
    <row r="27" spans="1:26" ht="14.25" customHeight="1" x14ac:dyDescent="0.2">
      <c r="A27" s="29">
        <v>25</v>
      </c>
      <c r="B27" s="12" t="s">
        <v>35</v>
      </c>
      <c r="C27" s="12" t="s">
        <v>76</v>
      </c>
      <c r="D27" s="12" t="s">
        <v>77</v>
      </c>
      <c r="E27" s="13">
        <v>4.25</v>
      </c>
      <c r="F27" s="38">
        <v>19958504</v>
      </c>
      <c r="G27" s="12" t="s">
        <v>368</v>
      </c>
      <c r="H27" s="29" t="s">
        <v>881</v>
      </c>
      <c r="I27" s="29" t="s">
        <v>3842</v>
      </c>
      <c r="J27" s="29" t="s">
        <v>3893</v>
      </c>
    </row>
    <row r="28" spans="1:26" ht="14.25" customHeight="1" x14ac:dyDescent="0.2">
      <c r="A28" s="29">
        <v>26</v>
      </c>
      <c r="B28" s="273" t="s">
        <v>35</v>
      </c>
      <c r="C28" s="272" t="s">
        <v>297</v>
      </c>
      <c r="D28" s="12" t="s">
        <v>298</v>
      </c>
      <c r="E28" s="13">
        <v>10.220000000000001</v>
      </c>
      <c r="F28" s="12">
        <v>21898003</v>
      </c>
      <c r="G28" s="12" t="s">
        <v>3894</v>
      </c>
      <c r="H28" s="272" t="s">
        <v>3895</v>
      </c>
      <c r="I28" s="12" t="s">
        <v>3848</v>
      </c>
      <c r="J28" s="63" t="s">
        <v>3896</v>
      </c>
    </row>
    <row r="29" spans="1:26" ht="14.25" customHeight="1" x14ac:dyDescent="0.2">
      <c r="A29" s="29">
        <v>27</v>
      </c>
      <c r="B29" s="273" t="s">
        <v>19</v>
      </c>
      <c r="C29" s="272" t="s">
        <v>63</v>
      </c>
      <c r="D29" s="12" t="s">
        <v>113</v>
      </c>
      <c r="E29" s="13">
        <v>3.19</v>
      </c>
      <c r="F29" s="12">
        <v>59321401</v>
      </c>
      <c r="G29" s="12"/>
      <c r="H29" s="272" t="s">
        <v>3897</v>
      </c>
      <c r="I29" s="272" t="s">
        <v>3861</v>
      </c>
      <c r="J29" s="29" t="s">
        <v>3898</v>
      </c>
    </row>
    <row r="30" spans="1:26" ht="14.25" customHeight="1" x14ac:dyDescent="0.2">
      <c r="A30" s="29">
        <v>28</v>
      </c>
      <c r="B30" s="273" t="s">
        <v>19</v>
      </c>
      <c r="C30" s="272" t="s">
        <v>3899</v>
      </c>
      <c r="D30" s="12" t="s">
        <v>3900</v>
      </c>
      <c r="E30" s="13">
        <v>6.21</v>
      </c>
      <c r="F30" s="12">
        <v>61872202</v>
      </c>
      <c r="G30" s="12" t="s">
        <v>3901</v>
      </c>
      <c r="H30" s="272" t="s">
        <v>892</v>
      </c>
      <c r="I30" s="272" t="s">
        <v>3902</v>
      </c>
      <c r="J30" s="29" t="s">
        <v>3903</v>
      </c>
    </row>
    <row r="31" spans="1:26" ht="14.25" customHeight="1" x14ac:dyDescent="0.2">
      <c r="A31" s="26">
        <v>29</v>
      </c>
      <c r="B31" s="277" t="s">
        <v>35</v>
      </c>
      <c r="C31" s="274" t="s">
        <v>20</v>
      </c>
      <c r="D31" s="17" t="s">
        <v>70</v>
      </c>
      <c r="E31" s="13">
        <v>11.21</v>
      </c>
      <c r="F31" s="17">
        <v>63109602</v>
      </c>
      <c r="G31" s="17" t="s">
        <v>3904</v>
      </c>
      <c r="H31" s="274" t="s">
        <v>1604</v>
      </c>
      <c r="I31" s="274" t="s">
        <v>3848</v>
      </c>
      <c r="J31" s="26" t="s">
        <v>3905</v>
      </c>
      <c r="K31" s="36"/>
      <c r="L31" s="36"/>
      <c r="M31" s="36"/>
      <c r="N31" s="36"/>
      <c r="O31" s="36"/>
      <c r="P31" s="36"/>
      <c r="Q31" s="36"/>
      <c r="R31" s="36"/>
      <c r="S31" s="36"/>
      <c r="T31" s="36"/>
      <c r="U31" s="36"/>
      <c r="V31" s="36"/>
      <c r="W31" s="36"/>
      <c r="X31" s="36"/>
      <c r="Y31" s="36"/>
      <c r="Z31" s="36"/>
    </row>
    <row r="32" spans="1:26" ht="14.25" customHeight="1" x14ac:dyDescent="0.2">
      <c r="A32" s="29">
        <v>30</v>
      </c>
      <c r="B32" s="273" t="s">
        <v>35</v>
      </c>
      <c r="C32" s="272" t="s">
        <v>20</v>
      </c>
      <c r="D32" s="12" t="s">
        <v>70</v>
      </c>
      <c r="E32" s="13">
        <v>1.22</v>
      </c>
      <c r="F32" s="12">
        <v>63765702</v>
      </c>
      <c r="G32" s="12" t="s">
        <v>3906</v>
      </c>
      <c r="H32" s="272" t="s">
        <v>3907</v>
      </c>
      <c r="I32" s="272" t="s">
        <v>3848</v>
      </c>
      <c r="J32" s="29"/>
    </row>
    <row r="33" spans="1:10" ht="14.25" customHeight="1" x14ac:dyDescent="0.2">
      <c r="A33" s="29">
        <v>31</v>
      </c>
      <c r="B33" s="273" t="s">
        <v>19</v>
      </c>
      <c r="C33" s="272" t="s">
        <v>389</v>
      </c>
      <c r="D33" s="12" t="s">
        <v>390</v>
      </c>
      <c r="E33" s="13"/>
      <c r="F33" s="12">
        <v>13738004</v>
      </c>
      <c r="G33" s="12"/>
      <c r="H33" s="272" t="s">
        <v>3908</v>
      </c>
      <c r="I33" s="272" t="s">
        <v>3909</v>
      </c>
      <c r="J33" s="29" t="s">
        <v>3910</v>
      </c>
    </row>
    <row r="34" spans="1:10" ht="14.25" customHeight="1" x14ac:dyDescent="0.2">
      <c r="A34" s="29">
        <v>32</v>
      </c>
      <c r="B34" s="273" t="s">
        <v>35</v>
      </c>
      <c r="C34" s="272" t="s">
        <v>57</v>
      </c>
      <c r="D34" s="12" t="s">
        <v>58</v>
      </c>
      <c r="E34" s="13">
        <v>7.22</v>
      </c>
      <c r="F34" s="12">
        <v>17053003</v>
      </c>
      <c r="G34" s="12" t="s">
        <v>132</v>
      </c>
      <c r="H34" s="272" t="s">
        <v>3911</v>
      </c>
      <c r="I34" s="12" t="s">
        <v>3848</v>
      </c>
      <c r="J34" s="152" t="s">
        <v>3912</v>
      </c>
    </row>
    <row r="35" spans="1:10" ht="14.25" customHeight="1" x14ac:dyDescent="0.2">
      <c r="A35" s="29">
        <v>33</v>
      </c>
      <c r="B35" s="273" t="s">
        <v>35</v>
      </c>
      <c r="C35" s="272" t="s">
        <v>135</v>
      </c>
      <c r="D35" s="12" t="s">
        <v>136</v>
      </c>
      <c r="E35" s="13">
        <v>7.21</v>
      </c>
      <c r="F35" s="12">
        <v>64782302</v>
      </c>
      <c r="G35" s="12" t="s">
        <v>3913</v>
      </c>
      <c r="H35" s="272" t="s">
        <v>3914</v>
      </c>
      <c r="I35" s="12" t="s">
        <v>3848</v>
      </c>
      <c r="J35" s="29" t="s">
        <v>3915</v>
      </c>
    </row>
    <row r="36" spans="1:10" ht="14.25" customHeight="1" x14ac:dyDescent="0.2">
      <c r="A36" s="29">
        <v>34</v>
      </c>
      <c r="B36" s="273" t="s">
        <v>35</v>
      </c>
      <c r="C36" s="272" t="s">
        <v>142</v>
      </c>
      <c r="D36" s="12" t="s">
        <v>143</v>
      </c>
      <c r="E36" s="13">
        <v>4.1900000000000004</v>
      </c>
      <c r="F36" s="12">
        <v>76376601</v>
      </c>
      <c r="G36" s="12" t="s">
        <v>3916</v>
      </c>
      <c r="H36" s="272" t="s">
        <v>971</v>
      </c>
      <c r="I36" s="12" t="s">
        <v>3848</v>
      </c>
      <c r="J36" s="29" t="s">
        <v>3917</v>
      </c>
    </row>
    <row r="37" spans="1:10" ht="14.25" customHeight="1" x14ac:dyDescent="0.2">
      <c r="A37" s="29">
        <v>35</v>
      </c>
      <c r="B37" s="273" t="s">
        <v>35</v>
      </c>
      <c r="C37" s="272" t="s">
        <v>3918</v>
      </c>
      <c r="D37" s="12" t="s">
        <v>610</v>
      </c>
      <c r="E37" s="13">
        <v>11.22</v>
      </c>
      <c r="F37" s="12">
        <v>22045903</v>
      </c>
      <c r="G37" s="12" t="s">
        <v>3919</v>
      </c>
      <c r="H37" s="272" t="s">
        <v>1394</v>
      </c>
      <c r="I37" s="12" t="s">
        <v>3848</v>
      </c>
      <c r="J37" s="29" t="s">
        <v>3920</v>
      </c>
    </row>
    <row r="38" spans="1:10" ht="14.25" customHeight="1" x14ac:dyDescent="0.2">
      <c r="A38" s="29">
        <v>36</v>
      </c>
      <c r="B38" s="273" t="s">
        <v>511</v>
      </c>
      <c r="C38" s="272" t="s">
        <v>3899</v>
      </c>
      <c r="D38" s="12" t="s">
        <v>3921</v>
      </c>
      <c r="E38" s="13">
        <v>6.21</v>
      </c>
      <c r="F38" s="12">
        <v>66723902</v>
      </c>
      <c r="G38" s="12" t="s">
        <v>3922</v>
      </c>
      <c r="H38" s="274" t="s">
        <v>3923</v>
      </c>
      <c r="I38" s="17" t="s">
        <v>3848</v>
      </c>
      <c r="J38" s="29" t="s">
        <v>3924</v>
      </c>
    </row>
    <row r="39" spans="1:10" ht="14.25" customHeight="1" x14ac:dyDescent="0.2">
      <c r="A39" s="29">
        <v>37</v>
      </c>
      <c r="B39" s="273" t="s">
        <v>35</v>
      </c>
      <c r="C39" s="272" t="s">
        <v>160</v>
      </c>
      <c r="D39" s="12">
        <v>5008</v>
      </c>
      <c r="E39" s="13">
        <v>2.2200000000000002</v>
      </c>
      <c r="F39" s="12">
        <v>75169702</v>
      </c>
      <c r="G39" s="12" t="s">
        <v>3925</v>
      </c>
      <c r="H39" s="272" t="s">
        <v>1039</v>
      </c>
      <c r="I39" s="12" t="s">
        <v>3848</v>
      </c>
      <c r="J39" s="29" t="s">
        <v>3926</v>
      </c>
    </row>
    <row r="40" spans="1:10" ht="14.25" customHeight="1" x14ac:dyDescent="0.2">
      <c r="A40" s="29">
        <v>38</v>
      </c>
      <c r="B40" s="273" t="s">
        <v>35</v>
      </c>
      <c r="C40" s="272" t="s">
        <v>160</v>
      </c>
      <c r="D40" s="12">
        <v>5008</v>
      </c>
      <c r="E40" s="13">
        <v>2.2200000000000002</v>
      </c>
      <c r="F40" s="12">
        <v>75169802</v>
      </c>
      <c r="G40" s="12" t="s">
        <v>3925</v>
      </c>
      <c r="H40" s="272" t="s">
        <v>3927</v>
      </c>
      <c r="I40" s="12" t="s">
        <v>3848</v>
      </c>
      <c r="J40" s="29" t="s">
        <v>3928</v>
      </c>
    </row>
    <row r="41" spans="1:10" ht="14.25" customHeight="1" x14ac:dyDescent="0.2">
      <c r="A41" s="29">
        <v>39</v>
      </c>
      <c r="B41" s="273" t="s">
        <v>35</v>
      </c>
      <c r="C41" s="272" t="s">
        <v>160</v>
      </c>
      <c r="D41" s="12">
        <v>5008</v>
      </c>
      <c r="E41" s="13">
        <v>2.2200000000000002</v>
      </c>
      <c r="F41" s="12">
        <v>75170102</v>
      </c>
      <c r="G41" s="12" t="s">
        <v>3925</v>
      </c>
      <c r="H41" s="272" t="s">
        <v>3929</v>
      </c>
      <c r="I41" s="12" t="s">
        <v>3848</v>
      </c>
      <c r="J41" s="29" t="s">
        <v>3930</v>
      </c>
    </row>
    <row r="42" spans="1:10" ht="14.25" customHeight="1" x14ac:dyDescent="0.2">
      <c r="A42" s="29">
        <v>40</v>
      </c>
      <c r="B42" s="273" t="s">
        <v>35</v>
      </c>
      <c r="C42" s="272" t="s">
        <v>3931</v>
      </c>
      <c r="D42" s="12" t="s">
        <v>143</v>
      </c>
      <c r="E42" s="13"/>
      <c r="F42" s="12">
        <v>59317903</v>
      </c>
      <c r="G42" s="12"/>
      <c r="H42" s="274" t="s">
        <v>2436</v>
      </c>
      <c r="I42" s="12" t="s">
        <v>3848</v>
      </c>
      <c r="J42" s="29" t="s">
        <v>3932</v>
      </c>
    </row>
    <row r="43" spans="1:10" ht="14.25" customHeight="1" x14ac:dyDescent="0.2">
      <c r="A43" s="29">
        <v>41</v>
      </c>
      <c r="B43" s="12" t="s">
        <v>35</v>
      </c>
      <c r="C43" s="272" t="s">
        <v>183</v>
      </c>
      <c r="D43" s="12" t="s">
        <v>184</v>
      </c>
      <c r="E43" s="13">
        <v>10.23</v>
      </c>
      <c r="F43" s="12">
        <v>59124103</v>
      </c>
      <c r="G43" s="12" t="s">
        <v>3933</v>
      </c>
      <c r="H43" s="12" t="s">
        <v>774</v>
      </c>
      <c r="I43" s="17" t="s">
        <v>3848</v>
      </c>
      <c r="J43" s="29" t="s">
        <v>3934</v>
      </c>
    </row>
    <row r="44" spans="1:10" ht="14.25" customHeight="1" x14ac:dyDescent="0.2">
      <c r="A44" s="29">
        <v>42</v>
      </c>
      <c r="B44" s="273" t="s">
        <v>19</v>
      </c>
      <c r="C44" s="272" t="s">
        <v>3935</v>
      </c>
      <c r="D44" s="12" t="s">
        <v>3936</v>
      </c>
      <c r="E44" s="13">
        <v>2.2200000000000002</v>
      </c>
      <c r="F44" s="12">
        <v>83027002</v>
      </c>
      <c r="G44" s="12" t="s">
        <v>3937</v>
      </c>
      <c r="H44" s="272" t="s">
        <v>572</v>
      </c>
      <c r="I44" s="12" t="s">
        <v>3938</v>
      </c>
      <c r="J44" s="29" t="s">
        <v>3939</v>
      </c>
    </row>
    <row r="45" spans="1:10" ht="14.25" customHeight="1" x14ac:dyDescent="0.2">
      <c r="A45" s="29">
        <v>43</v>
      </c>
      <c r="B45" s="273" t="s">
        <v>35</v>
      </c>
      <c r="C45" s="272" t="s">
        <v>249</v>
      </c>
      <c r="D45" s="12" t="s">
        <v>298</v>
      </c>
      <c r="E45" s="13">
        <v>10.220000000000001</v>
      </c>
      <c r="F45" s="12">
        <v>21897903</v>
      </c>
      <c r="G45" s="12" t="s">
        <v>3894</v>
      </c>
      <c r="H45" s="272" t="s">
        <v>3876</v>
      </c>
      <c r="I45" s="12" t="s">
        <v>3848</v>
      </c>
      <c r="J45" s="29" t="s">
        <v>3920</v>
      </c>
    </row>
    <row r="46" spans="1:10" ht="14.25" customHeight="1" x14ac:dyDescent="0.2">
      <c r="A46" s="29">
        <v>44</v>
      </c>
      <c r="B46" s="273" t="s">
        <v>19</v>
      </c>
      <c r="C46" s="272" t="s">
        <v>183</v>
      </c>
      <c r="D46" s="12" t="s">
        <v>3940</v>
      </c>
      <c r="E46" s="13">
        <v>9.2200000000000006</v>
      </c>
      <c r="F46" s="12">
        <v>12198203</v>
      </c>
      <c r="G46" s="12" t="s">
        <v>3941</v>
      </c>
      <c r="H46" s="272" t="s">
        <v>3942</v>
      </c>
      <c r="I46" s="12" t="s">
        <v>3943</v>
      </c>
      <c r="J46" s="29" t="s">
        <v>3944</v>
      </c>
    </row>
    <row r="47" spans="1:10" ht="14.25" customHeight="1" x14ac:dyDescent="0.2">
      <c r="A47" s="29">
        <v>45</v>
      </c>
      <c r="B47" s="273" t="s">
        <v>35</v>
      </c>
      <c r="C47" s="272" t="s">
        <v>3945</v>
      </c>
      <c r="D47" s="12" t="s">
        <v>3946</v>
      </c>
      <c r="E47" s="13">
        <v>6.22</v>
      </c>
      <c r="F47" s="12">
        <v>83774102</v>
      </c>
      <c r="G47" s="12" t="s">
        <v>3947</v>
      </c>
      <c r="H47" s="272" t="s">
        <v>3948</v>
      </c>
      <c r="I47" s="12" t="s">
        <v>3848</v>
      </c>
      <c r="J47" s="29" t="s">
        <v>3949</v>
      </c>
    </row>
    <row r="48" spans="1:10" ht="14.25" customHeight="1" x14ac:dyDescent="0.2">
      <c r="A48" s="29">
        <v>46</v>
      </c>
      <c r="B48" s="273" t="s">
        <v>35</v>
      </c>
      <c r="C48" s="272" t="s">
        <v>249</v>
      </c>
      <c r="D48" s="12" t="s">
        <v>298</v>
      </c>
      <c r="E48" s="13">
        <v>9.2200000000000006</v>
      </c>
      <c r="F48" s="12">
        <v>21705703</v>
      </c>
      <c r="G48" s="12" t="s">
        <v>3950</v>
      </c>
      <c r="H48" s="272" t="s">
        <v>1417</v>
      </c>
      <c r="I48" s="12" t="s">
        <v>3848</v>
      </c>
      <c r="J48" s="29" t="s">
        <v>3951</v>
      </c>
    </row>
    <row r="49" spans="1:26" ht="14.25" customHeight="1" x14ac:dyDescent="0.2">
      <c r="A49" s="29">
        <v>47</v>
      </c>
      <c r="B49" s="278" t="s">
        <v>35</v>
      </c>
      <c r="C49" s="279" t="s">
        <v>3945</v>
      </c>
      <c r="D49" s="56" t="s">
        <v>3946</v>
      </c>
      <c r="E49" s="54">
        <v>6.22</v>
      </c>
      <c r="F49" s="56">
        <v>89137102</v>
      </c>
      <c r="G49" s="56" t="s">
        <v>3947</v>
      </c>
      <c r="H49" s="279" t="s">
        <v>3952</v>
      </c>
      <c r="I49" s="12" t="s">
        <v>3848</v>
      </c>
      <c r="J49" s="29" t="s">
        <v>3953</v>
      </c>
    </row>
    <row r="50" spans="1:26" ht="14.25" customHeight="1" x14ac:dyDescent="0.2">
      <c r="A50" s="155">
        <v>48</v>
      </c>
      <c r="B50" s="30" t="s">
        <v>19</v>
      </c>
      <c r="C50" s="119" t="s">
        <v>30</v>
      </c>
      <c r="D50" s="119" t="s">
        <v>3954</v>
      </c>
      <c r="E50" s="280"/>
      <c r="F50" s="30">
        <v>25062302</v>
      </c>
      <c r="G50" s="281"/>
      <c r="H50" s="281"/>
      <c r="I50" s="273" t="s">
        <v>3955</v>
      </c>
      <c r="J50" s="29" t="s">
        <v>3956</v>
      </c>
    </row>
    <row r="51" spans="1:26" ht="14.25" customHeight="1" x14ac:dyDescent="0.2">
      <c r="A51" s="29">
        <v>49</v>
      </c>
      <c r="B51" s="282" t="s">
        <v>35</v>
      </c>
      <c r="C51" s="283" t="s">
        <v>57</v>
      </c>
      <c r="D51" s="283" t="s">
        <v>58</v>
      </c>
      <c r="E51" s="284">
        <v>7.22</v>
      </c>
      <c r="F51" s="283">
        <v>17053103</v>
      </c>
      <c r="G51" s="283" t="s">
        <v>383</v>
      </c>
      <c r="H51" s="285" t="s">
        <v>919</v>
      </c>
      <c r="I51" s="12" t="s">
        <v>3848</v>
      </c>
      <c r="J51" s="29" t="s">
        <v>3957</v>
      </c>
    </row>
    <row r="52" spans="1:26" ht="14.25" customHeight="1" x14ac:dyDescent="0.2">
      <c r="A52" s="29">
        <v>50</v>
      </c>
      <c r="B52" s="120" t="s">
        <v>19</v>
      </c>
      <c r="C52" s="120" t="s">
        <v>20</v>
      </c>
      <c r="D52" s="120" t="s">
        <v>70</v>
      </c>
      <c r="E52" s="286">
        <v>11.24</v>
      </c>
      <c r="F52" s="121">
        <v>83945403</v>
      </c>
      <c r="G52" s="283" t="s">
        <v>3833</v>
      </c>
      <c r="H52" s="283" t="s">
        <v>1033</v>
      </c>
      <c r="I52" s="287" t="s">
        <v>3834</v>
      </c>
      <c r="J52" s="29" t="s">
        <v>3958</v>
      </c>
    </row>
    <row r="53" spans="1:26" ht="14.25" customHeight="1" x14ac:dyDescent="0.2">
      <c r="A53" s="29">
        <v>51</v>
      </c>
      <c r="B53" s="30" t="s">
        <v>19</v>
      </c>
      <c r="C53" s="30" t="s">
        <v>183</v>
      </c>
      <c r="D53" s="30" t="s">
        <v>184</v>
      </c>
      <c r="E53" s="253">
        <v>9.23</v>
      </c>
      <c r="F53" s="108">
        <v>58185503</v>
      </c>
      <c r="G53" s="30" t="s">
        <v>292</v>
      </c>
      <c r="H53" s="118" t="s">
        <v>3959</v>
      </c>
      <c r="I53" s="12" t="s">
        <v>3960</v>
      </c>
      <c r="J53" s="29" t="s">
        <v>3961</v>
      </c>
    </row>
    <row r="54" spans="1:26" ht="14.25" customHeight="1" x14ac:dyDescent="0.2">
      <c r="A54" s="29">
        <v>52</v>
      </c>
      <c r="B54" s="288" t="s">
        <v>19</v>
      </c>
      <c r="C54" s="120" t="s">
        <v>183</v>
      </c>
      <c r="D54" s="120" t="s">
        <v>184</v>
      </c>
      <c r="E54" s="286">
        <v>12.22</v>
      </c>
      <c r="F54" s="120">
        <v>28491903</v>
      </c>
      <c r="G54" s="120" t="s">
        <v>3962</v>
      </c>
      <c r="H54" s="289" t="s">
        <v>1152</v>
      </c>
      <c r="I54" s="56" t="s">
        <v>3960</v>
      </c>
      <c r="J54" s="63" t="s">
        <v>3963</v>
      </c>
    </row>
    <row r="55" spans="1:26" ht="14.25" customHeight="1" x14ac:dyDescent="0.2">
      <c r="A55" s="26">
        <v>53</v>
      </c>
      <c r="B55" s="61" t="s">
        <v>35</v>
      </c>
      <c r="C55" s="61" t="s">
        <v>142</v>
      </c>
      <c r="D55" s="61" t="s">
        <v>3964</v>
      </c>
      <c r="E55" s="60"/>
      <c r="F55" s="61">
        <v>83327901</v>
      </c>
      <c r="G55" s="61"/>
      <c r="H55" s="290" t="s">
        <v>3965</v>
      </c>
      <c r="I55" s="26" t="s">
        <v>3966</v>
      </c>
      <c r="J55" s="26" t="s">
        <v>3967</v>
      </c>
      <c r="K55" s="36"/>
      <c r="L55" s="36"/>
      <c r="M55" s="36"/>
      <c r="N55" s="36"/>
      <c r="O55" s="36"/>
      <c r="P55" s="36"/>
      <c r="Q55" s="36"/>
      <c r="R55" s="36"/>
      <c r="S55" s="36"/>
      <c r="T55" s="36"/>
      <c r="U55" s="36"/>
      <c r="V55" s="36"/>
      <c r="W55" s="36"/>
      <c r="X55" s="36"/>
      <c r="Y55" s="36"/>
      <c r="Z55" s="36"/>
    </row>
    <row r="56" spans="1:26" ht="14.25" customHeight="1" x14ac:dyDescent="0.2">
      <c r="A56" s="29">
        <v>54</v>
      </c>
      <c r="B56" s="30" t="s">
        <v>35</v>
      </c>
      <c r="C56" s="30" t="s">
        <v>160</v>
      </c>
      <c r="D56" s="29">
        <v>5008</v>
      </c>
      <c r="E56" s="253">
        <v>2.2200000000000002</v>
      </c>
      <c r="F56" s="30">
        <v>75019402</v>
      </c>
      <c r="G56" s="12" t="s">
        <v>3968</v>
      </c>
      <c r="H56" s="118" t="s">
        <v>1014</v>
      </c>
      <c r="I56" s="12" t="s">
        <v>3969</v>
      </c>
      <c r="J56" s="29" t="s">
        <v>3970</v>
      </c>
    </row>
    <row r="57" spans="1:26" ht="14.25" customHeight="1" x14ac:dyDescent="0.2">
      <c r="A57" s="29">
        <v>55</v>
      </c>
      <c r="B57" s="30" t="s">
        <v>35</v>
      </c>
      <c r="C57" s="30" t="s">
        <v>342</v>
      </c>
      <c r="D57" s="30" t="s">
        <v>343</v>
      </c>
      <c r="E57" s="253">
        <v>3.23</v>
      </c>
      <c r="F57" s="30">
        <v>40399103</v>
      </c>
      <c r="G57" s="12" t="s">
        <v>3971</v>
      </c>
      <c r="H57" s="118" t="s">
        <v>1626</v>
      </c>
      <c r="I57" s="12" t="s">
        <v>3969</v>
      </c>
      <c r="J57" s="29" t="s">
        <v>3972</v>
      </c>
    </row>
    <row r="58" spans="1:26" ht="14.25" customHeight="1" x14ac:dyDescent="0.2">
      <c r="A58" s="29">
        <v>56</v>
      </c>
      <c r="B58" s="30" t="s">
        <v>35</v>
      </c>
      <c r="C58" s="30" t="s">
        <v>119</v>
      </c>
      <c r="D58" s="30" t="s">
        <v>120</v>
      </c>
      <c r="E58" s="253">
        <v>2.23</v>
      </c>
      <c r="F58" s="30">
        <v>55423702</v>
      </c>
      <c r="G58" s="30" t="s">
        <v>3973</v>
      </c>
      <c r="H58" s="118" t="s">
        <v>897</v>
      </c>
      <c r="I58" s="12" t="s">
        <v>3969</v>
      </c>
      <c r="J58" s="29" t="s">
        <v>3974</v>
      </c>
    </row>
    <row r="59" spans="1:26" ht="14.25" customHeight="1" x14ac:dyDescent="0.2">
      <c r="A59" s="63">
        <v>57</v>
      </c>
      <c r="B59" s="120" t="s">
        <v>19</v>
      </c>
      <c r="C59" s="120" t="s">
        <v>183</v>
      </c>
      <c r="D59" s="120" t="s">
        <v>184</v>
      </c>
      <c r="E59" s="286">
        <v>6.23</v>
      </c>
      <c r="F59" s="120">
        <v>50574503</v>
      </c>
      <c r="G59" s="120" t="s">
        <v>3975</v>
      </c>
      <c r="H59" s="289" t="s">
        <v>937</v>
      </c>
      <c r="I59" s="291" t="s">
        <v>3976</v>
      </c>
      <c r="J59" s="30" t="s">
        <v>3977</v>
      </c>
      <c r="K59" s="72"/>
      <c r="L59" s="72"/>
      <c r="M59" s="292"/>
    </row>
    <row r="60" spans="1:26" ht="14.25" customHeight="1" x14ac:dyDescent="0.2">
      <c r="A60" s="63">
        <v>58</v>
      </c>
      <c r="B60" s="120" t="s">
        <v>35</v>
      </c>
      <c r="C60" s="120" t="s">
        <v>701</v>
      </c>
      <c r="D60" s="63"/>
      <c r="E60" s="64"/>
      <c r="F60" s="120">
        <v>66735302</v>
      </c>
      <c r="G60" s="63"/>
      <c r="H60" s="289" t="s">
        <v>1108</v>
      </c>
      <c r="I60" s="12" t="s">
        <v>3969</v>
      </c>
      <c r="J60" s="29" t="s">
        <v>3978</v>
      </c>
    </row>
    <row r="61" spans="1:26" ht="14.25" customHeight="1" x14ac:dyDescent="0.2">
      <c r="A61" s="63">
        <v>59</v>
      </c>
      <c r="B61" s="56" t="s">
        <v>19</v>
      </c>
      <c r="C61" s="56" t="s">
        <v>947</v>
      </c>
      <c r="D61" s="56" t="s">
        <v>184</v>
      </c>
      <c r="E61" s="54">
        <v>12.23</v>
      </c>
      <c r="F61" s="56">
        <v>59201203</v>
      </c>
      <c r="G61" s="56" t="s">
        <v>3836</v>
      </c>
      <c r="H61" s="289" t="s">
        <v>1017</v>
      </c>
      <c r="I61" s="56" t="s">
        <v>3979</v>
      </c>
      <c r="J61" s="63" t="s">
        <v>3980</v>
      </c>
    </row>
    <row r="62" spans="1:26" ht="14.25" customHeight="1" x14ac:dyDescent="0.2">
      <c r="A62" s="29">
        <v>60</v>
      </c>
      <c r="B62" s="30" t="s">
        <v>35</v>
      </c>
      <c r="C62" s="30" t="s">
        <v>57</v>
      </c>
      <c r="D62" s="30" t="s">
        <v>58</v>
      </c>
      <c r="E62" s="253">
        <v>4.2300000000000004</v>
      </c>
      <c r="F62" s="25">
        <v>43747603</v>
      </c>
      <c r="G62" s="30" t="s">
        <v>132</v>
      </c>
      <c r="H62" s="30" t="s">
        <v>1254</v>
      </c>
      <c r="I62" s="31" t="s">
        <v>3969</v>
      </c>
      <c r="J62" s="29" t="s">
        <v>3981</v>
      </c>
    </row>
    <row r="63" spans="1:26" ht="14.25" customHeight="1" x14ac:dyDescent="0.2">
      <c r="A63" s="29">
        <v>61</v>
      </c>
      <c r="B63" s="30" t="s">
        <v>35</v>
      </c>
      <c r="C63" s="30" t="s">
        <v>57</v>
      </c>
      <c r="D63" s="30" t="s">
        <v>58</v>
      </c>
      <c r="E63" s="253">
        <v>3.23</v>
      </c>
      <c r="F63" s="30">
        <v>43748203</v>
      </c>
      <c r="G63" s="30" t="s">
        <v>132</v>
      </c>
      <c r="H63" s="30" t="s">
        <v>877</v>
      </c>
      <c r="I63" s="31" t="s">
        <v>3969</v>
      </c>
      <c r="J63" s="29" t="s">
        <v>3982</v>
      </c>
    </row>
    <row r="64" spans="1:26" ht="14.25" customHeight="1" x14ac:dyDescent="0.2">
      <c r="A64" s="29">
        <v>62</v>
      </c>
      <c r="B64" s="12" t="s">
        <v>35</v>
      </c>
      <c r="C64" s="12" t="s">
        <v>57</v>
      </c>
      <c r="D64" s="12" t="s">
        <v>58</v>
      </c>
      <c r="E64" s="13">
        <v>3.23</v>
      </c>
      <c r="F64" s="12">
        <v>43748303</v>
      </c>
      <c r="G64" s="12" t="s">
        <v>132</v>
      </c>
      <c r="H64" s="12" t="s">
        <v>802</v>
      </c>
      <c r="I64" s="17" t="s">
        <v>3969</v>
      </c>
      <c r="J64" s="29" t="s">
        <v>3983</v>
      </c>
    </row>
    <row r="65" spans="1:10" ht="14.25" customHeight="1" x14ac:dyDescent="0.2">
      <c r="A65" s="63">
        <v>63</v>
      </c>
      <c r="B65" s="56" t="s">
        <v>19</v>
      </c>
      <c r="C65" s="120" t="s">
        <v>342</v>
      </c>
      <c r="D65" s="120" t="s">
        <v>343</v>
      </c>
      <c r="E65" s="286">
        <v>2.25</v>
      </c>
      <c r="F65" s="121">
        <v>24164804</v>
      </c>
      <c r="G65" s="120" t="s">
        <v>3984</v>
      </c>
      <c r="H65" s="120" t="s">
        <v>1212</v>
      </c>
      <c r="I65" s="287" t="s">
        <v>3985</v>
      </c>
      <c r="J65" s="63" t="s">
        <v>3986</v>
      </c>
    </row>
    <row r="66" spans="1:10" ht="14.25" customHeight="1" x14ac:dyDescent="0.2">
      <c r="A66" s="125">
        <v>64</v>
      </c>
      <c r="B66" s="56" t="s">
        <v>35</v>
      </c>
      <c r="C66" s="56" t="s">
        <v>36</v>
      </c>
      <c r="D66" s="56" t="s">
        <v>37</v>
      </c>
      <c r="E66" s="13">
        <v>3.24</v>
      </c>
      <c r="F66" s="38">
        <v>65144703</v>
      </c>
      <c r="G66" s="12" t="s">
        <v>3987</v>
      </c>
      <c r="H66" s="30" t="s">
        <v>2524</v>
      </c>
      <c r="I66" s="29" t="s">
        <v>3969</v>
      </c>
      <c r="J66" s="29" t="s">
        <v>3988</v>
      </c>
    </row>
    <row r="67" spans="1:10" ht="14.25" customHeight="1" x14ac:dyDescent="0.2">
      <c r="A67" s="29">
        <v>65</v>
      </c>
      <c r="B67" s="12" t="s">
        <v>35</v>
      </c>
      <c r="C67" s="12" t="s">
        <v>142</v>
      </c>
      <c r="D67" s="12" t="s">
        <v>143</v>
      </c>
      <c r="E67" s="293">
        <v>1.24</v>
      </c>
      <c r="F67" s="38">
        <v>59317703</v>
      </c>
      <c r="G67" s="12" t="s">
        <v>3989</v>
      </c>
      <c r="H67" s="30" t="s">
        <v>2150</v>
      </c>
      <c r="I67" s="29" t="s">
        <v>3969</v>
      </c>
      <c r="J67" s="29" t="s">
        <v>3932</v>
      </c>
    </row>
    <row r="68" spans="1:10" ht="14.25" customHeight="1" x14ac:dyDescent="0.2">
      <c r="A68" s="29">
        <v>66</v>
      </c>
      <c r="B68" s="12" t="s">
        <v>35</v>
      </c>
      <c r="C68" s="12" t="s">
        <v>389</v>
      </c>
      <c r="D68" s="12" t="s">
        <v>3990</v>
      </c>
      <c r="E68" s="293">
        <v>3.24</v>
      </c>
      <c r="F68" s="38">
        <v>73456703</v>
      </c>
      <c r="G68" s="29"/>
      <c r="H68" s="29" t="s">
        <v>1071</v>
      </c>
      <c r="I68" s="29" t="s">
        <v>3969</v>
      </c>
      <c r="J68" s="29" t="s">
        <v>3991</v>
      </c>
    </row>
    <row r="69" spans="1:10" ht="14.25" customHeight="1" x14ac:dyDescent="0.2">
      <c r="A69" s="63">
        <v>67</v>
      </c>
      <c r="B69" s="56" t="s">
        <v>35</v>
      </c>
      <c r="C69" s="56" t="s">
        <v>389</v>
      </c>
      <c r="D69" s="56" t="s">
        <v>390</v>
      </c>
      <c r="E69" s="294">
        <v>3.24</v>
      </c>
      <c r="F69" s="93">
        <v>73445703</v>
      </c>
      <c r="G69" s="56" t="s">
        <v>391</v>
      </c>
      <c r="H69" s="287" t="s">
        <v>1008</v>
      </c>
      <c r="I69" s="63" t="s">
        <v>3969</v>
      </c>
      <c r="J69" s="63" t="s">
        <v>3992</v>
      </c>
    </row>
    <row r="70" spans="1:10" ht="14.25" customHeight="1" x14ac:dyDescent="0.2">
      <c r="A70" s="29">
        <v>68</v>
      </c>
      <c r="B70" s="12" t="s">
        <v>35</v>
      </c>
      <c r="C70" s="12" t="s">
        <v>389</v>
      </c>
      <c r="D70" s="12" t="s">
        <v>3990</v>
      </c>
      <c r="E70" s="13">
        <v>7.24</v>
      </c>
      <c r="F70" s="38">
        <v>82754803</v>
      </c>
      <c r="G70" s="12" t="s">
        <v>3993</v>
      </c>
      <c r="H70" s="17" t="s">
        <v>1269</v>
      </c>
      <c r="I70" s="17" t="s">
        <v>3969</v>
      </c>
      <c r="J70" s="29" t="s">
        <v>3994</v>
      </c>
    </row>
    <row r="71" spans="1:10" ht="14.25" customHeight="1" x14ac:dyDescent="0.2">
      <c r="A71" s="63">
        <v>69</v>
      </c>
      <c r="B71" s="56" t="s">
        <v>35</v>
      </c>
      <c r="C71" s="56" t="s">
        <v>349</v>
      </c>
      <c r="D71" s="56" t="s">
        <v>350</v>
      </c>
      <c r="E71" s="54">
        <v>8.24</v>
      </c>
      <c r="F71" s="93">
        <v>83143703</v>
      </c>
      <c r="G71" s="56" t="s">
        <v>351</v>
      </c>
      <c r="H71" s="56" t="s">
        <v>1080</v>
      </c>
      <c r="I71" s="53" t="s">
        <v>3969</v>
      </c>
      <c r="J71" s="63" t="s">
        <v>3995</v>
      </c>
    </row>
    <row r="72" spans="1:10" ht="14.25" customHeight="1" x14ac:dyDescent="0.2">
      <c r="A72" s="63">
        <v>70</v>
      </c>
      <c r="B72" s="56" t="s">
        <v>35</v>
      </c>
      <c r="C72" s="56" t="s">
        <v>297</v>
      </c>
      <c r="D72" s="56" t="s">
        <v>3996</v>
      </c>
      <c r="E72" s="64"/>
      <c r="F72" s="93">
        <v>15539804</v>
      </c>
      <c r="G72" s="63"/>
      <c r="H72" s="63" t="s">
        <v>2304</v>
      </c>
      <c r="I72" s="63" t="s">
        <v>3969</v>
      </c>
      <c r="J72" s="63" t="s">
        <v>3997</v>
      </c>
    </row>
    <row r="73" spans="1:10" ht="14.25" customHeight="1" x14ac:dyDescent="0.2">
      <c r="A73" s="29">
        <v>71</v>
      </c>
      <c r="B73" s="12" t="s">
        <v>19</v>
      </c>
      <c r="C73" s="12" t="s">
        <v>947</v>
      </c>
      <c r="D73" s="12" t="s">
        <v>184</v>
      </c>
      <c r="E73" s="43"/>
      <c r="F73" s="38">
        <v>50258603</v>
      </c>
      <c r="G73" s="29"/>
      <c r="H73" s="29" t="s">
        <v>1450</v>
      </c>
      <c r="I73" s="29" t="s">
        <v>3998</v>
      </c>
      <c r="J73" s="29" t="s">
        <v>3999</v>
      </c>
    </row>
    <row r="74" spans="1:10" ht="14.25" customHeight="1" x14ac:dyDescent="0.2">
      <c r="E74" s="67"/>
    </row>
    <row r="75" spans="1:10" ht="14.25" customHeight="1" x14ac:dyDescent="0.2">
      <c r="E75" s="67"/>
    </row>
    <row r="76" spans="1:10" ht="14.25" customHeight="1" x14ac:dyDescent="0.2">
      <c r="E76" s="67"/>
    </row>
    <row r="77" spans="1:10" ht="14.25" customHeight="1" x14ac:dyDescent="0.2">
      <c r="E77" s="67"/>
    </row>
    <row r="78" spans="1:10" ht="14.25" customHeight="1" x14ac:dyDescent="0.2">
      <c r="E78" s="67"/>
    </row>
    <row r="79" spans="1:10" ht="14.25" customHeight="1" x14ac:dyDescent="0.2">
      <c r="E79" s="67"/>
    </row>
    <row r="80" spans="1:10" ht="14.25" customHeight="1" x14ac:dyDescent="0.2">
      <c r="E80" s="67"/>
    </row>
    <row r="81" spans="5:5" ht="14.25" customHeight="1" x14ac:dyDescent="0.2">
      <c r="E81" s="67"/>
    </row>
    <row r="82" spans="5:5" ht="14.25" customHeight="1" x14ac:dyDescent="0.2">
      <c r="E82" s="67"/>
    </row>
    <row r="83" spans="5:5" ht="14.25" customHeight="1" x14ac:dyDescent="0.2">
      <c r="E83" s="67"/>
    </row>
    <row r="84" spans="5:5" ht="14.25" customHeight="1" x14ac:dyDescent="0.2">
      <c r="E84" s="67"/>
    </row>
    <row r="85" spans="5:5" ht="14.25" customHeight="1" x14ac:dyDescent="0.2">
      <c r="E85" s="67"/>
    </row>
    <row r="86" spans="5:5" ht="14.25" customHeight="1" x14ac:dyDescent="0.2">
      <c r="E86" s="67"/>
    </row>
    <row r="87" spans="5:5" ht="14.25" customHeight="1" x14ac:dyDescent="0.2">
      <c r="E87" s="67"/>
    </row>
    <row r="88" spans="5:5" ht="14.25" customHeight="1" x14ac:dyDescent="0.2">
      <c r="E88" s="67"/>
    </row>
    <row r="89" spans="5:5" ht="14.25" customHeight="1" x14ac:dyDescent="0.2">
      <c r="E89" s="67"/>
    </row>
    <row r="90" spans="5:5" ht="14.25" customHeight="1" x14ac:dyDescent="0.2">
      <c r="E90" s="67"/>
    </row>
    <row r="91" spans="5:5" ht="14.25" customHeight="1" x14ac:dyDescent="0.2">
      <c r="E91" s="67"/>
    </row>
    <row r="92" spans="5:5" ht="14.25" customHeight="1" x14ac:dyDescent="0.2">
      <c r="E92" s="67"/>
    </row>
    <row r="93" spans="5:5" ht="14.25" customHeight="1" x14ac:dyDescent="0.2">
      <c r="E93" s="67"/>
    </row>
    <row r="94" spans="5:5" ht="14.25" customHeight="1" x14ac:dyDescent="0.2">
      <c r="E94" s="67"/>
    </row>
    <row r="95" spans="5:5" ht="14.25" customHeight="1" x14ac:dyDescent="0.2">
      <c r="E95" s="67"/>
    </row>
    <row r="96" spans="5:5" ht="14.25" customHeight="1" x14ac:dyDescent="0.2">
      <c r="E96" s="67"/>
    </row>
    <row r="97" spans="5:5" ht="14.25" customHeight="1" x14ac:dyDescent="0.2">
      <c r="E97" s="67"/>
    </row>
    <row r="98" spans="5:5" ht="14.25" customHeight="1" x14ac:dyDescent="0.2">
      <c r="E98" s="67"/>
    </row>
    <row r="99" spans="5:5" ht="14.25" customHeight="1" x14ac:dyDescent="0.2">
      <c r="E99" s="67"/>
    </row>
    <row r="100" spans="5:5" ht="14.25" customHeight="1" x14ac:dyDescent="0.2">
      <c r="E100" s="67"/>
    </row>
    <row r="101" spans="5:5" ht="14.25" customHeight="1" x14ac:dyDescent="0.2">
      <c r="E101" s="67"/>
    </row>
    <row r="102" spans="5:5" ht="14.25" customHeight="1" x14ac:dyDescent="0.2">
      <c r="E102" s="67"/>
    </row>
    <row r="103" spans="5:5" ht="14.25" customHeight="1" x14ac:dyDescent="0.2">
      <c r="E103" s="67"/>
    </row>
    <row r="104" spans="5:5" ht="14.25" customHeight="1" x14ac:dyDescent="0.2">
      <c r="E104" s="67"/>
    </row>
    <row r="105" spans="5:5" ht="14.25" customHeight="1" x14ac:dyDescent="0.2">
      <c r="E105" s="67"/>
    </row>
    <row r="106" spans="5:5" ht="14.25" customHeight="1" x14ac:dyDescent="0.2">
      <c r="E106" s="67"/>
    </row>
    <row r="107" spans="5:5" ht="14.25" customHeight="1" x14ac:dyDescent="0.2">
      <c r="E107" s="67"/>
    </row>
    <row r="108" spans="5:5" ht="14.25" customHeight="1" x14ac:dyDescent="0.2">
      <c r="E108" s="67"/>
    </row>
    <row r="109" spans="5:5" ht="14.25" customHeight="1" x14ac:dyDescent="0.2">
      <c r="E109" s="67"/>
    </row>
    <row r="110" spans="5:5" ht="14.25" customHeight="1" x14ac:dyDescent="0.2">
      <c r="E110" s="67"/>
    </row>
    <row r="111" spans="5:5" ht="14.25" customHeight="1" x14ac:dyDescent="0.2">
      <c r="E111" s="67"/>
    </row>
    <row r="112" spans="5:5" ht="14.25" customHeight="1" x14ac:dyDescent="0.2">
      <c r="E112" s="67"/>
    </row>
    <row r="113" spans="5:5" ht="14.25" customHeight="1" x14ac:dyDescent="0.2">
      <c r="E113" s="67"/>
    </row>
    <row r="114" spans="5:5" ht="14.25" customHeight="1" x14ac:dyDescent="0.2">
      <c r="E114" s="67"/>
    </row>
    <row r="115" spans="5:5" ht="14.25" customHeight="1" x14ac:dyDescent="0.2">
      <c r="E115" s="67"/>
    </row>
    <row r="116" spans="5:5" ht="14.25" customHeight="1" x14ac:dyDescent="0.2">
      <c r="E116" s="67"/>
    </row>
    <row r="117" spans="5:5" ht="14.25" customHeight="1" x14ac:dyDescent="0.2">
      <c r="E117" s="67"/>
    </row>
    <row r="118" spans="5:5" ht="14.25" customHeight="1" x14ac:dyDescent="0.2">
      <c r="E118" s="67"/>
    </row>
    <row r="119" spans="5:5" ht="14.25" customHeight="1" x14ac:dyDescent="0.2">
      <c r="E119" s="67"/>
    </row>
    <row r="120" spans="5:5" ht="14.25" customHeight="1" x14ac:dyDescent="0.2">
      <c r="E120" s="67"/>
    </row>
    <row r="121" spans="5:5" ht="14.25" customHeight="1" x14ac:dyDescent="0.2">
      <c r="E121" s="67"/>
    </row>
    <row r="122" spans="5:5" ht="14.25" customHeight="1" x14ac:dyDescent="0.2">
      <c r="E122" s="67"/>
    </row>
    <row r="123" spans="5:5" ht="14.25" customHeight="1" x14ac:dyDescent="0.2">
      <c r="E123" s="67"/>
    </row>
    <row r="124" spans="5:5" ht="14.25" customHeight="1" x14ac:dyDescent="0.2">
      <c r="E124" s="67"/>
    </row>
    <row r="125" spans="5:5" ht="14.25" customHeight="1" x14ac:dyDescent="0.2">
      <c r="E125" s="67"/>
    </row>
    <row r="126" spans="5:5" ht="14.25" customHeight="1" x14ac:dyDescent="0.2">
      <c r="E126" s="67"/>
    </row>
    <row r="127" spans="5:5" ht="14.25" customHeight="1" x14ac:dyDescent="0.2">
      <c r="E127" s="67"/>
    </row>
    <row r="128" spans="5:5" ht="14.25" customHeight="1" x14ac:dyDescent="0.2">
      <c r="E128" s="67"/>
    </row>
    <row r="129" spans="5:5" ht="14.25" customHeight="1" x14ac:dyDescent="0.2">
      <c r="E129" s="67"/>
    </row>
    <row r="130" spans="5:5" ht="14.25" customHeight="1" x14ac:dyDescent="0.2">
      <c r="E130" s="67"/>
    </row>
    <row r="131" spans="5:5" ht="14.25" customHeight="1" x14ac:dyDescent="0.2">
      <c r="E131" s="67"/>
    </row>
    <row r="132" spans="5:5" ht="14.25" customHeight="1" x14ac:dyDescent="0.2">
      <c r="E132" s="67"/>
    </row>
    <row r="133" spans="5:5" ht="14.25" customHeight="1" x14ac:dyDescent="0.2">
      <c r="E133" s="67"/>
    </row>
    <row r="134" spans="5:5" ht="14.25" customHeight="1" x14ac:dyDescent="0.2">
      <c r="E134" s="67"/>
    </row>
    <row r="135" spans="5:5" ht="14.25" customHeight="1" x14ac:dyDescent="0.2">
      <c r="E135" s="67"/>
    </row>
    <row r="136" spans="5:5" ht="14.25" customHeight="1" x14ac:dyDescent="0.2">
      <c r="E136" s="67"/>
    </row>
    <row r="137" spans="5:5" ht="14.25" customHeight="1" x14ac:dyDescent="0.2">
      <c r="E137" s="67"/>
    </row>
    <row r="138" spans="5:5" ht="14.25" customHeight="1" x14ac:dyDescent="0.2">
      <c r="E138" s="67"/>
    </row>
    <row r="139" spans="5:5" ht="14.25" customHeight="1" x14ac:dyDescent="0.2">
      <c r="E139" s="67"/>
    </row>
    <row r="140" spans="5:5" ht="14.25" customHeight="1" x14ac:dyDescent="0.2">
      <c r="E140" s="67"/>
    </row>
    <row r="141" spans="5:5" ht="14.25" customHeight="1" x14ac:dyDescent="0.2">
      <c r="E141" s="67"/>
    </row>
    <row r="142" spans="5:5" ht="14.25" customHeight="1" x14ac:dyDescent="0.2">
      <c r="E142" s="67"/>
    </row>
    <row r="143" spans="5:5" ht="14.25" customHeight="1" x14ac:dyDescent="0.2">
      <c r="E143" s="67"/>
    </row>
    <row r="144" spans="5:5" ht="14.25" customHeight="1" x14ac:dyDescent="0.2">
      <c r="E144" s="67"/>
    </row>
    <row r="145" spans="5:5" ht="14.25" customHeight="1" x14ac:dyDescent="0.2">
      <c r="E145" s="67"/>
    </row>
    <row r="146" spans="5:5" ht="14.25" customHeight="1" x14ac:dyDescent="0.2">
      <c r="E146" s="67"/>
    </row>
    <row r="147" spans="5:5" ht="14.25" customHeight="1" x14ac:dyDescent="0.2">
      <c r="E147" s="67"/>
    </row>
    <row r="148" spans="5:5" ht="14.25" customHeight="1" x14ac:dyDescent="0.2">
      <c r="E148" s="67"/>
    </row>
    <row r="149" spans="5:5" ht="14.25" customHeight="1" x14ac:dyDescent="0.2">
      <c r="E149" s="67"/>
    </row>
    <row r="150" spans="5:5" ht="14.25" customHeight="1" x14ac:dyDescent="0.2">
      <c r="E150" s="67"/>
    </row>
    <row r="151" spans="5:5" ht="14.25" customHeight="1" x14ac:dyDescent="0.2">
      <c r="E151" s="67"/>
    </row>
    <row r="152" spans="5:5" ht="14.25" customHeight="1" x14ac:dyDescent="0.2">
      <c r="E152" s="67"/>
    </row>
    <row r="153" spans="5:5" ht="14.25" customHeight="1" x14ac:dyDescent="0.2">
      <c r="E153" s="67"/>
    </row>
    <row r="154" spans="5:5" ht="14.25" customHeight="1" x14ac:dyDescent="0.2">
      <c r="E154" s="67"/>
    </row>
    <row r="155" spans="5:5" ht="14.25" customHeight="1" x14ac:dyDescent="0.2">
      <c r="E155" s="67"/>
    </row>
    <row r="156" spans="5:5" ht="14.25" customHeight="1" x14ac:dyDescent="0.2">
      <c r="E156" s="67"/>
    </row>
    <row r="157" spans="5:5" ht="14.25" customHeight="1" x14ac:dyDescent="0.2">
      <c r="E157" s="67"/>
    </row>
    <row r="158" spans="5:5" ht="14.25" customHeight="1" x14ac:dyDescent="0.2">
      <c r="E158" s="67"/>
    </row>
    <row r="159" spans="5:5" ht="14.25" customHeight="1" x14ac:dyDescent="0.2">
      <c r="E159" s="67"/>
    </row>
    <row r="160" spans="5:5" ht="14.25" customHeight="1" x14ac:dyDescent="0.2">
      <c r="E160" s="67"/>
    </row>
    <row r="161" spans="5:5" ht="14.25" customHeight="1" x14ac:dyDescent="0.2">
      <c r="E161" s="67"/>
    </row>
    <row r="162" spans="5:5" ht="14.25" customHeight="1" x14ac:dyDescent="0.2">
      <c r="E162" s="67"/>
    </row>
    <row r="163" spans="5:5" ht="14.25" customHeight="1" x14ac:dyDescent="0.2">
      <c r="E163" s="67"/>
    </row>
    <row r="164" spans="5:5" ht="14.25" customHeight="1" x14ac:dyDescent="0.2">
      <c r="E164" s="67"/>
    </row>
    <row r="165" spans="5:5" ht="14.25" customHeight="1" x14ac:dyDescent="0.2">
      <c r="E165" s="67"/>
    </row>
    <row r="166" spans="5:5" ht="14.25" customHeight="1" x14ac:dyDescent="0.2">
      <c r="E166" s="67"/>
    </row>
    <row r="167" spans="5:5" ht="14.25" customHeight="1" x14ac:dyDescent="0.2">
      <c r="E167" s="67"/>
    </row>
    <row r="168" spans="5:5" ht="14.25" customHeight="1" x14ac:dyDescent="0.2">
      <c r="E168" s="67"/>
    </row>
    <row r="169" spans="5:5" ht="14.25" customHeight="1" x14ac:dyDescent="0.2">
      <c r="E169" s="67"/>
    </row>
    <row r="170" spans="5:5" ht="14.25" customHeight="1" x14ac:dyDescent="0.2">
      <c r="E170" s="67"/>
    </row>
    <row r="171" spans="5:5" ht="14.25" customHeight="1" x14ac:dyDescent="0.2">
      <c r="E171" s="67"/>
    </row>
    <row r="172" spans="5:5" ht="14.25" customHeight="1" x14ac:dyDescent="0.2">
      <c r="E172" s="67"/>
    </row>
    <row r="173" spans="5:5" ht="14.25" customHeight="1" x14ac:dyDescent="0.2">
      <c r="E173" s="67"/>
    </row>
    <row r="174" spans="5:5" ht="14.25" customHeight="1" x14ac:dyDescent="0.2">
      <c r="E174" s="67"/>
    </row>
    <row r="175" spans="5:5" ht="14.25" customHeight="1" x14ac:dyDescent="0.2">
      <c r="E175" s="67"/>
    </row>
    <row r="176" spans="5:5" ht="14.25" customHeight="1" x14ac:dyDescent="0.2">
      <c r="E176" s="67"/>
    </row>
    <row r="177" spans="5:5" ht="14.25" customHeight="1" x14ac:dyDescent="0.2">
      <c r="E177" s="67"/>
    </row>
    <row r="178" spans="5:5" ht="14.25" customHeight="1" x14ac:dyDescent="0.2">
      <c r="E178" s="67"/>
    </row>
    <row r="179" spans="5:5" ht="14.25" customHeight="1" x14ac:dyDescent="0.2">
      <c r="E179" s="67"/>
    </row>
    <row r="180" spans="5:5" ht="14.25" customHeight="1" x14ac:dyDescent="0.2">
      <c r="E180" s="67"/>
    </row>
    <row r="181" spans="5:5" ht="14.25" customHeight="1" x14ac:dyDescent="0.2">
      <c r="E181" s="67"/>
    </row>
    <row r="182" spans="5:5" ht="14.25" customHeight="1" x14ac:dyDescent="0.2">
      <c r="E182" s="67"/>
    </row>
    <row r="183" spans="5:5" ht="14.25" customHeight="1" x14ac:dyDescent="0.2">
      <c r="E183" s="67"/>
    </row>
    <row r="184" spans="5:5" ht="14.25" customHeight="1" x14ac:dyDescent="0.2">
      <c r="E184" s="67"/>
    </row>
    <row r="185" spans="5:5" ht="14.25" customHeight="1" x14ac:dyDescent="0.2">
      <c r="E185" s="67"/>
    </row>
    <row r="186" spans="5:5" ht="14.25" customHeight="1" x14ac:dyDescent="0.2">
      <c r="E186" s="67"/>
    </row>
    <row r="187" spans="5:5" ht="14.25" customHeight="1" x14ac:dyDescent="0.2">
      <c r="E187" s="67"/>
    </row>
    <row r="188" spans="5:5" ht="14.25" customHeight="1" x14ac:dyDescent="0.2">
      <c r="E188" s="67"/>
    </row>
    <row r="189" spans="5:5" ht="14.25" customHeight="1" x14ac:dyDescent="0.2">
      <c r="E189" s="67"/>
    </row>
    <row r="190" spans="5:5" ht="14.25" customHeight="1" x14ac:dyDescent="0.2">
      <c r="E190" s="67"/>
    </row>
    <row r="191" spans="5:5" ht="14.25" customHeight="1" x14ac:dyDescent="0.2">
      <c r="E191" s="67"/>
    </row>
    <row r="192" spans="5:5" ht="14.25" customHeight="1" x14ac:dyDescent="0.2">
      <c r="E192" s="67"/>
    </row>
    <row r="193" spans="5:5" ht="14.25" customHeight="1" x14ac:dyDescent="0.2">
      <c r="E193" s="67"/>
    </row>
    <row r="194" spans="5:5" ht="14.25" customHeight="1" x14ac:dyDescent="0.2">
      <c r="E194" s="67"/>
    </row>
    <row r="195" spans="5:5" ht="14.25" customHeight="1" x14ac:dyDescent="0.2">
      <c r="E195" s="67"/>
    </row>
    <row r="196" spans="5:5" ht="14.25" customHeight="1" x14ac:dyDescent="0.2">
      <c r="E196" s="67"/>
    </row>
    <row r="197" spans="5:5" ht="14.25" customHeight="1" x14ac:dyDescent="0.2">
      <c r="E197" s="67"/>
    </row>
    <row r="198" spans="5:5" ht="14.25" customHeight="1" x14ac:dyDescent="0.2">
      <c r="E198" s="67"/>
    </row>
    <row r="199" spans="5:5" ht="14.25" customHeight="1" x14ac:dyDescent="0.2">
      <c r="E199" s="67"/>
    </row>
    <row r="200" spans="5:5" ht="14.25" customHeight="1" x14ac:dyDescent="0.2">
      <c r="E200" s="67"/>
    </row>
    <row r="201" spans="5:5" ht="14.25" customHeight="1" x14ac:dyDescent="0.2">
      <c r="E201" s="67"/>
    </row>
    <row r="202" spans="5:5" ht="14.25" customHeight="1" x14ac:dyDescent="0.2">
      <c r="E202" s="67"/>
    </row>
    <row r="203" spans="5:5" ht="14.25" customHeight="1" x14ac:dyDescent="0.2">
      <c r="E203" s="67"/>
    </row>
    <row r="204" spans="5:5" ht="14.25" customHeight="1" x14ac:dyDescent="0.2">
      <c r="E204" s="67"/>
    </row>
    <row r="205" spans="5:5" ht="14.25" customHeight="1" x14ac:dyDescent="0.2">
      <c r="E205" s="67"/>
    </row>
    <row r="206" spans="5:5" ht="14.25" customHeight="1" x14ac:dyDescent="0.2">
      <c r="E206" s="67"/>
    </row>
    <row r="207" spans="5:5" ht="14.25" customHeight="1" x14ac:dyDescent="0.2">
      <c r="E207" s="67"/>
    </row>
    <row r="208" spans="5:5" ht="14.25" customHeight="1" x14ac:dyDescent="0.2">
      <c r="E208" s="67"/>
    </row>
    <row r="209" spans="5:5" ht="14.25" customHeight="1" x14ac:dyDescent="0.2">
      <c r="E209" s="67"/>
    </row>
    <row r="210" spans="5:5" ht="14.25" customHeight="1" x14ac:dyDescent="0.2">
      <c r="E210" s="67"/>
    </row>
    <row r="211" spans="5:5" ht="14.25" customHeight="1" x14ac:dyDescent="0.2">
      <c r="E211" s="67"/>
    </row>
    <row r="212" spans="5:5" ht="14.25" customHeight="1" x14ac:dyDescent="0.2">
      <c r="E212" s="67"/>
    </row>
    <row r="213" spans="5:5" ht="14.25" customHeight="1" x14ac:dyDescent="0.2">
      <c r="E213" s="67"/>
    </row>
    <row r="214" spans="5:5" ht="14.25" customHeight="1" x14ac:dyDescent="0.2">
      <c r="E214" s="67"/>
    </row>
    <row r="215" spans="5:5" ht="14.25" customHeight="1" x14ac:dyDescent="0.2">
      <c r="E215" s="67"/>
    </row>
    <row r="216" spans="5:5" ht="14.25" customHeight="1" x14ac:dyDescent="0.2">
      <c r="E216" s="67"/>
    </row>
    <row r="217" spans="5:5" ht="14.25" customHeight="1" x14ac:dyDescent="0.2">
      <c r="E217" s="67"/>
    </row>
    <row r="218" spans="5:5" ht="14.25" customHeight="1" x14ac:dyDescent="0.2">
      <c r="E218" s="67"/>
    </row>
    <row r="219" spans="5:5" ht="14.25" customHeight="1" x14ac:dyDescent="0.2">
      <c r="E219" s="67"/>
    </row>
    <row r="220" spans="5:5" ht="14.25" customHeight="1" x14ac:dyDescent="0.2">
      <c r="E220" s="67"/>
    </row>
    <row r="221" spans="5:5" ht="14.25" customHeight="1" x14ac:dyDescent="0.2">
      <c r="E221" s="67"/>
    </row>
    <row r="222" spans="5:5" ht="14.25" customHeight="1" x14ac:dyDescent="0.2">
      <c r="E222" s="67"/>
    </row>
    <row r="223" spans="5:5" ht="14.25" customHeight="1" x14ac:dyDescent="0.2">
      <c r="E223" s="67"/>
    </row>
    <row r="224" spans="5:5" ht="14.25" customHeight="1" x14ac:dyDescent="0.2">
      <c r="E224" s="67"/>
    </row>
    <row r="225" spans="5:5" ht="14.25" customHeight="1" x14ac:dyDescent="0.2">
      <c r="E225" s="67"/>
    </row>
    <row r="226" spans="5:5" ht="14.25" customHeight="1" x14ac:dyDescent="0.2">
      <c r="E226" s="67"/>
    </row>
    <row r="227" spans="5:5" ht="14.25" customHeight="1" x14ac:dyDescent="0.2">
      <c r="E227" s="67"/>
    </row>
    <row r="228" spans="5:5" ht="14.25" customHeight="1" x14ac:dyDescent="0.2">
      <c r="E228" s="67"/>
    </row>
    <row r="229" spans="5:5" ht="14.25" customHeight="1" x14ac:dyDescent="0.2">
      <c r="E229" s="67"/>
    </row>
    <row r="230" spans="5:5" ht="14.25" customHeight="1" x14ac:dyDescent="0.2">
      <c r="E230" s="67"/>
    </row>
    <row r="231" spans="5:5" ht="14.25" customHeight="1" x14ac:dyDescent="0.2">
      <c r="E231" s="67"/>
    </row>
    <row r="232" spans="5:5" ht="14.25" customHeight="1" x14ac:dyDescent="0.2">
      <c r="E232" s="67"/>
    </row>
    <row r="233" spans="5:5" ht="14.25" customHeight="1" x14ac:dyDescent="0.2">
      <c r="E233" s="67"/>
    </row>
    <row r="234" spans="5:5" ht="14.25" customHeight="1" x14ac:dyDescent="0.2">
      <c r="E234" s="67"/>
    </row>
    <row r="235" spans="5:5" ht="14.25" customHeight="1" x14ac:dyDescent="0.2">
      <c r="E235" s="67"/>
    </row>
    <row r="236" spans="5:5" ht="14.25" customHeight="1" x14ac:dyDescent="0.2">
      <c r="E236" s="67"/>
    </row>
    <row r="237" spans="5:5" ht="14.25" customHeight="1" x14ac:dyDescent="0.2">
      <c r="E237" s="67"/>
    </row>
    <row r="238" spans="5:5" ht="14.25" customHeight="1" x14ac:dyDescent="0.2">
      <c r="E238" s="67"/>
    </row>
    <row r="239" spans="5:5" ht="14.25" customHeight="1" x14ac:dyDescent="0.2">
      <c r="E239" s="67"/>
    </row>
    <row r="240" spans="5:5" ht="14.25" customHeight="1" x14ac:dyDescent="0.2">
      <c r="E240" s="67"/>
    </row>
    <row r="241" spans="5:5" ht="14.25" customHeight="1" x14ac:dyDescent="0.2">
      <c r="E241" s="67"/>
    </row>
    <row r="242" spans="5:5" ht="14.25" customHeight="1" x14ac:dyDescent="0.2">
      <c r="E242" s="67"/>
    </row>
    <row r="243" spans="5:5" ht="14.25" customHeight="1" x14ac:dyDescent="0.2">
      <c r="E243" s="67"/>
    </row>
    <row r="244" spans="5:5" ht="14.25" customHeight="1" x14ac:dyDescent="0.2">
      <c r="E244" s="67"/>
    </row>
    <row r="245" spans="5:5" ht="14.25" customHeight="1" x14ac:dyDescent="0.2">
      <c r="E245" s="67"/>
    </row>
    <row r="246" spans="5:5" ht="14.25" customHeight="1" x14ac:dyDescent="0.2">
      <c r="E246" s="67"/>
    </row>
    <row r="247" spans="5:5" ht="14.25" customHeight="1" x14ac:dyDescent="0.2">
      <c r="E247" s="67"/>
    </row>
    <row r="248" spans="5:5" ht="14.25" customHeight="1" x14ac:dyDescent="0.2">
      <c r="E248" s="67"/>
    </row>
    <row r="249" spans="5:5" ht="14.25" customHeight="1" x14ac:dyDescent="0.2">
      <c r="E249" s="67"/>
    </row>
    <row r="250" spans="5:5" ht="14.25" customHeight="1" x14ac:dyDescent="0.2">
      <c r="E250" s="67"/>
    </row>
    <row r="251" spans="5:5" ht="14.25" customHeight="1" x14ac:dyDescent="0.2">
      <c r="E251" s="67"/>
    </row>
    <row r="252" spans="5:5" ht="14.25" customHeight="1" x14ac:dyDescent="0.2">
      <c r="E252" s="67"/>
    </row>
    <row r="253" spans="5:5" ht="14.25" customHeight="1" x14ac:dyDescent="0.2">
      <c r="E253" s="67"/>
    </row>
    <row r="254" spans="5:5" ht="14.25" customHeight="1" x14ac:dyDescent="0.2">
      <c r="E254" s="67"/>
    </row>
    <row r="255" spans="5:5" ht="14.25" customHeight="1" x14ac:dyDescent="0.2">
      <c r="E255" s="67"/>
    </row>
    <row r="256" spans="5:5" ht="14.25" customHeight="1" x14ac:dyDescent="0.2">
      <c r="E256" s="67"/>
    </row>
    <row r="257" spans="5:5" ht="14.25" customHeight="1" x14ac:dyDescent="0.2">
      <c r="E257" s="67"/>
    </row>
    <row r="258" spans="5:5" ht="14.25" customHeight="1" x14ac:dyDescent="0.2">
      <c r="E258" s="67"/>
    </row>
    <row r="259" spans="5:5" ht="14.25" customHeight="1" x14ac:dyDescent="0.2">
      <c r="E259" s="67"/>
    </row>
    <row r="260" spans="5:5" ht="14.25" customHeight="1" x14ac:dyDescent="0.2">
      <c r="E260" s="67"/>
    </row>
    <row r="261" spans="5:5" ht="14.25" customHeight="1" x14ac:dyDescent="0.2">
      <c r="E261" s="67"/>
    </row>
    <row r="262" spans="5:5" ht="15.75" customHeight="1" x14ac:dyDescent="0.2">
      <c r="E262" s="67"/>
    </row>
    <row r="263" spans="5:5" ht="15.75" customHeight="1" x14ac:dyDescent="0.2">
      <c r="E263" s="67"/>
    </row>
    <row r="264" spans="5:5" ht="15.75" customHeight="1" x14ac:dyDescent="0.2">
      <c r="E264" s="67"/>
    </row>
    <row r="265" spans="5:5" ht="15.75" customHeight="1" x14ac:dyDescent="0.2">
      <c r="E265" s="67"/>
    </row>
    <row r="266" spans="5:5" ht="15.75" customHeight="1" x14ac:dyDescent="0.2">
      <c r="E266" s="67"/>
    </row>
    <row r="267" spans="5:5" ht="15.75" customHeight="1" x14ac:dyDescent="0.2">
      <c r="E267" s="67"/>
    </row>
    <row r="268" spans="5:5" ht="15.75" customHeight="1" x14ac:dyDescent="0.2">
      <c r="E268" s="67"/>
    </row>
    <row r="269" spans="5:5" ht="15.75" customHeight="1" x14ac:dyDescent="0.2">
      <c r="E269" s="67"/>
    </row>
    <row r="270" spans="5:5" ht="15.75" customHeight="1" x14ac:dyDescent="0.2">
      <c r="E270" s="67"/>
    </row>
    <row r="271" spans="5:5" ht="15.75" customHeight="1" x14ac:dyDescent="0.2">
      <c r="E271" s="67"/>
    </row>
    <row r="272" spans="5:5" ht="13.5" customHeight="1" x14ac:dyDescent="0.2">
      <c r="E272" s="67"/>
    </row>
    <row r="273" spans="5:5" ht="13.5" customHeight="1" x14ac:dyDescent="0.2">
      <c r="E273" s="67"/>
    </row>
    <row r="274" spans="5:5" ht="13.5" customHeight="1" x14ac:dyDescent="0.2">
      <c r="E274" s="67"/>
    </row>
    <row r="275" spans="5:5" ht="13.5" customHeight="1" x14ac:dyDescent="0.2">
      <c r="E275" s="67"/>
    </row>
    <row r="276" spans="5:5" ht="13.5" customHeight="1" x14ac:dyDescent="0.2">
      <c r="E276" s="67"/>
    </row>
    <row r="277" spans="5:5" ht="13.5" customHeight="1" x14ac:dyDescent="0.2">
      <c r="E277" s="67"/>
    </row>
    <row r="278" spans="5:5" ht="13.5" customHeight="1" x14ac:dyDescent="0.2">
      <c r="E278" s="67"/>
    </row>
    <row r="279" spans="5:5" ht="13.5" customHeight="1" x14ac:dyDescent="0.2">
      <c r="E279" s="67"/>
    </row>
    <row r="280" spans="5:5" ht="13.5" customHeight="1" x14ac:dyDescent="0.2">
      <c r="E280" s="67"/>
    </row>
    <row r="281" spans="5:5" ht="13.5" customHeight="1" x14ac:dyDescent="0.2">
      <c r="E281" s="67"/>
    </row>
    <row r="282" spans="5:5" ht="13.5" customHeight="1" x14ac:dyDescent="0.2">
      <c r="E282" s="67"/>
    </row>
    <row r="283" spans="5:5" ht="13.5" customHeight="1" x14ac:dyDescent="0.2">
      <c r="E283" s="67"/>
    </row>
    <row r="284" spans="5:5" ht="13.5" customHeight="1" x14ac:dyDescent="0.2">
      <c r="E284" s="67"/>
    </row>
    <row r="285" spans="5:5" ht="13.5" customHeight="1" x14ac:dyDescent="0.2">
      <c r="E285" s="67"/>
    </row>
    <row r="286" spans="5:5" ht="13.5" customHeight="1" x14ac:dyDescent="0.2">
      <c r="E286" s="67"/>
    </row>
    <row r="287" spans="5:5" ht="13.5" customHeight="1" x14ac:dyDescent="0.2">
      <c r="E287" s="67"/>
    </row>
    <row r="288" spans="5:5" ht="13.5" customHeight="1" x14ac:dyDescent="0.2">
      <c r="E288" s="67"/>
    </row>
    <row r="289" spans="5:5" ht="13.5" customHeight="1" x14ac:dyDescent="0.2">
      <c r="E289" s="67"/>
    </row>
    <row r="290" spans="5:5" ht="13.5" customHeight="1" x14ac:dyDescent="0.2">
      <c r="E290" s="67"/>
    </row>
    <row r="291" spans="5:5" ht="13.5" customHeight="1" x14ac:dyDescent="0.2">
      <c r="E291" s="67"/>
    </row>
    <row r="292" spans="5:5" ht="13.5" customHeight="1" x14ac:dyDescent="0.2">
      <c r="E292" s="67"/>
    </row>
    <row r="293" spans="5:5" ht="13.5" customHeight="1" x14ac:dyDescent="0.2">
      <c r="E293" s="67"/>
    </row>
    <row r="294" spans="5:5" ht="13.5" customHeight="1" x14ac:dyDescent="0.2">
      <c r="E294" s="67"/>
    </row>
    <row r="295" spans="5:5" ht="13.5" customHeight="1" x14ac:dyDescent="0.2">
      <c r="E295" s="67"/>
    </row>
    <row r="296" spans="5:5" ht="13.5" customHeight="1" x14ac:dyDescent="0.2">
      <c r="E296" s="67"/>
    </row>
    <row r="297" spans="5:5" ht="13.5" customHeight="1" x14ac:dyDescent="0.2">
      <c r="E297" s="67"/>
    </row>
    <row r="298" spans="5:5" ht="13.5" customHeight="1" x14ac:dyDescent="0.2">
      <c r="E298" s="67"/>
    </row>
    <row r="299" spans="5:5" ht="13.5" customHeight="1" x14ac:dyDescent="0.2">
      <c r="E299" s="67"/>
    </row>
    <row r="300" spans="5:5" ht="13.5" customHeight="1" x14ac:dyDescent="0.2">
      <c r="E300" s="67"/>
    </row>
    <row r="301" spans="5:5" ht="13.5" customHeight="1" x14ac:dyDescent="0.2">
      <c r="E301" s="67"/>
    </row>
    <row r="302" spans="5:5" ht="13.5" customHeight="1" x14ac:dyDescent="0.2">
      <c r="E302" s="67"/>
    </row>
    <row r="303" spans="5:5" ht="13.5" customHeight="1" x14ac:dyDescent="0.2">
      <c r="E303" s="67"/>
    </row>
    <row r="304" spans="5:5" ht="13.5" customHeight="1" x14ac:dyDescent="0.2">
      <c r="E304" s="67"/>
    </row>
    <row r="305" spans="5:5" ht="13.5" customHeight="1" x14ac:dyDescent="0.2">
      <c r="E305" s="67"/>
    </row>
    <row r="306" spans="5:5" ht="13.5" customHeight="1" x14ac:dyDescent="0.2">
      <c r="E306" s="67"/>
    </row>
    <row r="307" spans="5:5" ht="13.5" customHeight="1" x14ac:dyDescent="0.2">
      <c r="E307" s="67"/>
    </row>
    <row r="308" spans="5:5" ht="13.5" customHeight="1" x14ac:dyDescent="0.2">
      <c r="E308" s="67"/>
    </row>
    <row r="309" spans="5:5" ht="13.5" customHeight="1" x14ac:dyDescent="0.2">
      <c r="E309" s="67"/>
    </row>
    <row r="310" spans="5:5" ht="13.5" customHeight="1" x14ac:dyDescent="0.2">
      <c r="E310" s="67"/>
    </row>
    <row r="311" spans="5:5" ht="13.5" customHeight="1" x14ac:dyDescent="0.2">
      <c r="E311" s="67"/>
    </row>
    <row r="312" spans="5:5" ht="13.5" customHeight="1" x14ac:dyDescent="0.2">
      <c r="E312" s="67"/>
    </row>
    <row r="313" spans="5:5" ht="13.5" customHeight="1" x14ac:dyDescent="0.2">
      <c r="E313" s="67"/>
    </row>
    <row r="314" spans="5:5" ht="13.5" customHeight="1" x14ac:dyDescent="0.2">
      <c r="E314" s="67"/>
    </row>
    <row r="315" spans="5:5" ht="13.5" customHeight="1" x14ac:dyDescent="0.2">
      <c r="E315" s="67"/>
    </row>
    <row r="316" spans="5:5" ht="13.5" customHeight="1" x14ac:dyDescent="0.2">
      <c r="E316" s="67"/>
    </row>
    <row r="317" spans="5:5" ht="13.5" customHeight="1" x14ac:dyDescent="0.2">
      <c r="E317" s="67"/>
    </row>
    <row r="318" spans="5:5" ht="13.5" customHeight="1" x14ac:dyDescent="0.2">
      <c r="E318" s="67"/>
    </row>
    <row r="319" spans="5:5" ht="13.5" customHeight="1" x14ac:dyDescent="0.2">
      <c r="E319" s="67"/>
    </row>
    <row r="320" spans="5:5" ht="13.5" customHeight="1" x14ac:dyDescent="0.2">
      <c r="E320" s="67"/>
    </row>
    <row r="321" spans="5:5" ht="13.5" customHeight="1" x14ac:dyDescent="0.2">
      <c r="E321" s="67"/>
    </row>
    <row r="322" spans="5:5" ht="13.5" customHeight="1" x14ac:dyDescent="0.2">
      <c r="E322" s="67"/>
    </row>
    <row r="323" spans="5:5" ht="13.5" customHeight="1" x14ac:dyDescent="0.2">
      <c r="E323" s="67"/>
    </row>
    <row r="324" spans="5:5" ht="13.5" customHeight="1" x14ac:dyDescent="0.2">
      <c r="E324" s="67"/>
    </row>
    <row r="325" spans="5:5" ht="13.5" customHeight="1" x14ac:dyDescent="0.2">
      <c r="E325" s="67"/>
    </row>
    <row r="326" spans="5:5" ht="13.5" customHeight="1" x14ac:dyDescent="0.2">
      <c r="E326" s="67"/>
    </row>
    <row r="327" spans="5:5" ht="13.5" customHeight="1" x14ac:dyDescent="0.2">
      <c r="E327" s="67"/>
    </row>
    <row r="328" spans="5:5" ht="13.5" customHeight="1" x14ac:dyDescent="0.2">
      <c r="E328" s="67"/>
    </row>
    <row r="329" spans="5:5" ht="13.5" customHeight="1" x14ac:dyDescent="0.2">
      <c r="E329" s="67"/>
    </row>
    <row r="330" spans="5:5" ht="13.5" customHeight="1" x14ac:dyDescent="0.2">
      <c r="E330" s="67"/>
    </row>
    <row r="331" spans="5:5" ht="13.5" customHeight="1" x14ac:dyDescent="0.2">
      <c r="E331" s="67"/>
    </row>
    <row r="332" spans="5:5" ht="13.5" customHeight="1" x14ac:dyDescent="0.2">
      <c r="E332" s="67"/>
    </row>
    <row r="333" spans="5:5" ht="13.5" customHeight="1" x14ac:dyDescent="0.2">
      <c r="E333" s="67"/>
    </row>
    <row r="334" spans="5:5" ht="13.5" customHeight="1" x14ac:dyDescent="0.2">
      <c r="E334" s="67"/>
    </row>
    <row r="335" spans="5:5" ht="13.5" customHeight="1" x14ac:dyDescent="0.2">
      <c r="E335" s="67"/>
    </row>
    <row r="336" spans="5:5" ht="13.5" customHeight="1" x14ac:dyDescent="0.2">
      <c r="E336" s="67"/>
    </row>
    <row r="337" spans="5:5" ht="13.5" customHeight="1" x14ac:dyDescent="0.2">
      <c r="E337" s="67"/>
    </row>
    <row r="338" spans="5:5" ht="13.5" customHeight="1" x14ac:dyDescent="0.2">
      <c r="E338" s="67"/>
    </row>
    <row r="339" spans="5:5" ht="13.5" customHeight="1" x14ac:dyDescent="0.2">
      <c r="E339" s="67"/>
    </row>
    <row r="340" spans="5:5" ht="13.5" customHeight="1" x14ac:dyDescent="0.2">
      <c r="E340" s="67"/>
    </row>
    <row r="341" spans="5:5" ht="13.5" customHeight="1" x14ac:dyDescent="0.2">
      <c r="E341" s="67"/>
    </row>
    <row r="342" spans="5:5" ht="13.5" customHeight="1" x14ac:dyDescent="0.2">
      <c r="E342" s="67"/>
    </row>
    <row r="343" spans="5:5" ht="13.5" customHeight="1" x14ac:dyDescent="0.2">
      <c r="E343" s="67"/>
    </row>
    <row r="344" spans="5:5" ht="13.5" customHeight="1" x14ac:dyDescent="0.2">
      <c r="E344" s="67"/>
    </row>
    <row r="345" spans="5:5" ht="13.5" customHeight="1" x14ac:dyDescent="0.2">
      <c r="E345" s="67"/>
    </row>
    <row r="346" spans="5:5" ht="13.5" customHeight="1" x14ac:dyDescent="0.2">
      <c r="E346" s="67"/>
    </row>
    <row r="347" spans="5:5" ht="13.5" customHeight="1" x14ac:dyDescent="0.2">
      <c r="E347" s="67"/>
    </row>
    <row r="348" spans="5:5" ht="13.5" customHeight="1" x14ac:dyDescent="0.2">
      <c r="E348" s="67"/>
    </row>
    <row r="349" spans="5:5" ht="13.5" customHeight="1" x14ac:dyDescent="0.2">
      <c r="E349" s="67"/>
    </row>
    <row r="350" spans="5:5" ht="13.5" customHeight="1" x14ac:dyDescent="0.2">
      <c r="E350" s="67"/>
    </row>
    <row r="351" spans="5:5" ht="13.5" customHeight="1" x14ac:dyDescent="0.2">
      <c r="E351" s="67"/>
    </row>
    <row r="352" spans="5:5" ht="13.5" customHeight="1" x14ac:dyDescent="0.2">
      <c r="E352" s="67"/>
    </row>
    <row r="353" spans="5:5" ht="13.5" customHeight="1" x14ac:dyDescent="0.2">
      <c r="E353" s="67"/>
    </row>
    <row r="354" spans="5:5" ht="13.5" customHeight="1" x14ac:dyDescent="0.2">
      <c r="E354" s="67"/>
    </row>
    <row r="355" spans="5:5" ht="13.5" customHeight="1" x14ac:dyDescent="0.2">
      <c r="E355" s="67"/>
    </row>
    <row r="356" spans="5:5" ht="13.5" customHeight="1" x14ac:dyDescent="0.2">
      <c r="E356" s="67"/>
    </row>
    <row r="357" spans="5:5" ht="13.5" customHeight="1" x14ac:dyDescent="0.2">
      <c r="E357" s="67"/>
    </row>
    <row r="358" spans="5:5" ht="13.5" customHeight="1" x14ac:dyDescent="0.2">
      <c r="E358" s="67"/>
    </row>
    <row r="359" spans="5:5" ht="13.5" customHeight="1" x14ac:dyDescent="0.2">
      <c r="E359" s="67"/>
    </row>
    <row r="360" spans="5:5" ht="13.5" customHeight="1" x14ac:dyDescent="0.2">
      <c r="E360" s="67"/>
    </row>
    <row r="361" spans="5:5" ht="13.5" customHeight="1" x14ac:dyDescent="0.2">
      <c r="E361" s="67"/>
    </row>
    <row r="362" spans="5:5" ht="13.5" customHeight="1" x14ac:dyDescent="0.2">
      <c r="E362" s="67"/>
    </row>
    <row r="363" spans="5:5" ht="13.5" customHeight="1" x14ac:dyDescent="0.2">
      <c r="E363" s="67"/>
    </row>
    <row r="364" spans="5:5" ht="13.5" customHeight="1" x14ac:dyDescent="0.2">
      <c r="E364" s="67"/>
    </row>
    <row r="365" spans="5:5" ht="13.5" customHeight="1" x14ac:dyDescent="0.2">
      <c r="E365" s="67"/>
    </row>
    <row r="366" spans="5:5" ht="13.5" customHeight="1" x14ac:dyDescent="0.2">
      <c r="E366" s="67"/>
    </row>
    <row r="367" spans="5:5" ht="13.5" customHeight="1" x14ac:dyDescent="0.2">
      <c r="E367" s="67"/>
    </row>
    <row r="368" spans="5:5" ht="13.5" customHeight="1" x14ac:dyDescent="0.2">
      <c r="E368" s="67"/>
    </row>
    <row r="369" spans="5:5" ht="13.5" customHeight="1" x14ac:dyDescent="0.2">
      <c r="E369" s="67"/>
    </row>
    <row r="370" spans="5:5" ht="13.5" customHeight="1" x14ac:dyDescent="0.2">
      <c r="E370" s="67"/>
    </row>
    <row r="371" spans="5:5" ht="13.5" customHeight="1" x14ac:dyDescent="0.2">
      <c r="E371" s="67"/>
    </row>
    <row r="372" spans="5:5" ht="13.5" customHeight="1" x14ac:dyDescent="0.2">
      <c r="E372" s="67"/>
    </row>
    <row r="373" spans="5:5" ht="13.5" customHeight="1" x14ac:dyDescent="0.2">
      <c r="E373" s="67"/>
    </row>
    <row r="374" spans="5:5" ht="13.5" customHeight="1" x14ac:dyDescent="0.2">
      <c r="E374" s="67"/>
    </row>
    <row r="375" spans="5:5" ht="13.5" customHeight="1" x14ac:dyDescent="0.2">
      <c r="E375" s="67"/>
    </row>
    <row r="376" spans="5:5" ht="13.5" customHeight="1" x14ac:dyDescent="0.2">
      <c r="E376" s="67"/>
    </row>
    <row r="377" spans="5:5" ht="13.5" customHeight="1" x14ac:dyDescent="0.2">
      <c r="E377" s="67"/>
    </row>
    <row r="378" spans="5:5" ht="13.5" customHeight="1" x14ac:dyDescent="0.2">
      <c r="E378" s="67"/>
    </row>
    <row r="379" spans="5:5" ht="13.5" customHeight="1" x14ac:dyDescent="0.2">
      <c r="E379" s="67"/>
    </row>
    <row r="380" spans="5:5" ht="13.5" customHeight="1" x14ac:dyDescent="0.2">
      <c r="E380" s="67"/>
    </row>
    <row r="381" spans="5:5" ht="13.5" customHeight="1" x14ac:dyDescent="0.2">
      <c r="E381" s="67"/>
    </row>
    <row r="382" spans="5:5" ht="13.5" customHeight="1" x14ac:dyDescent="0.2">
      <c r="E382" s="67"/>
    </row>
    <row r="383" spans="5:5" ht="13.5" customHeight="1" x14ac:dyDescent="0.2">
      <c r="E383" s="67"/>
    </row>
    <row r="384" spans="5:5" ht="13.5" customHeight="1" x14ac:dyDescent="0.2">
      <c r="E384" s="67"/>
    </row>
    <row r="385" spans="5:5" ht="13.5" customHeight="1" x14ac:dyDescent="0.2">
      <c r="E385" s="67"/>
    </row>
    <row r="386" spans="5:5" ht="13.5" customHeight="1" x14ac:dyDescent="0.2">
      <c r="E386" s="67"/>
    </row>
    <row r="387" spans="5:5" ht="13.5" customHeight="1" x14ac:dyDescent="0.2">
      <c r="E387" s="67"/>
    </row>
    <row r="388" spans="5:5" ht="13.5" customHeight="1" x14ac:dyDescent="0.2">
      <c r="E388" s="67"/>
    </row>
    <row r="389" spans="5:5" ht="13.5" customHeight="1" x14ac:dyDescent="0.2">
      <c r="E389" s="67"/>
    </row>
    <row r="390" spans="5:5" ht="13.5" customHeight="1" x14ac:dyDescent="0.2">
      <c r="E390" s="67"/>
    </row>
    <row r="391" spans="5:5" ht="13.5" customHeight="1" x14ac:dyDescent="0.2">
      <c r="E391" s="67"/>
    </row>
    <row r="392" spans="5:5" ht="13.5" customHeight="1" x14ac:dyDescent="0.2">
      <c r="E392" s="67"/>
    </row>
    <row r="393" spans="5:5" ht="13.5" customHeight="1" x14ac:dyDescent="0.2">
      <c r="E393" s="67"/>
    </row>
    <row r="394" spans="5:5" ht="13.5" customHeight="1" x14ac:dyDescent="0.2">
      <c r="E394" s="67"/>
    </row>
    <row r="395" spans="5:5" ht="13.5" customHeight="1" x14ac:dyDescent="0.2">
      <c r="E395" s="67"/>
    </row>
    <row r="396" spans="5:5" ht="13.5" customHeight="1" x14ac:dyDescent="0.2">
      <c r="E396" s="67"/>
    </row>
    <row r="397" spans="5:5" ht="13.5" customHeight="1" x14ac:dyDescent="0.2">
      <c r="E397" s="67"/>
    </row>
    <row r="398" spans="5:5" ht="13.5" customHeight="1" x14ac:dyDescent="0.2">
      <c r="E398" s="67"/>
    </row>
    <row r="399" spans="5:5" ht="13.5" customHeight="1" x14ac:dyDescent="0.2">
      <c r="E399" s="67"/>
    </row>
    <row r="400" spans="5:5" ht="13.5" customHeight="1" x14ac:dyDescent="0.2">
      <c r="E400" s="67"/>
    </row>
    <row r="401" spans="5:5" ht="13.5" customHeight="1" x14ac:dyDescent="0.2">
      <c r="E401" s="67"/>
    </row>
    <row r="402" spans="5:5" ht="13.5" customHeight="1" x14ac:dyDescent="0.2">
      <c r="E402" s="67"/>
    </row>
    <row r="403" spans="5:5" ht="13.5" customHeight="1" x14ac:dyDescent="0.2">
      <c r="E403" s="67"/>
    </row>
    <row r="404" spans="5:5" ht="13.5" customHeight="1" x14ac:dyDescent="0.2">
      <c r="E404" s="67"/>
    </row>
    <row r="405" spans="5:5" ht="13.5" customHeight="1" x14ac:dyDescent="0.2">
      <c r="E405" s="67"/>
    </row>
    <row r="406" spans="5:5" ht="13.5" customHeight="1" x14ac:dyDescent="0.2">
      <c r="E406" s="67"/>
    </row>
    <row r="407" spans="5:5" ht="13.5" customHeight="1" x14ac:dyDescent="0.2">
      <c r="E407" s="67"/>
    </row>
    <row r="408" spans="5:5" ht="13.5" customHeight="1" x14ac:dyDescent="0.2">
      <c r="E408" s="67"/>
    </row>
    <row r="409" spans="5:5" ht="13.5" customHeight="1" x14ac:dyDescent="0.2">
      <c r="E409" s="67"/>
    </row>
    <row r="410" spans="5:5" ht="13.5" customHeight="1" x14ac:dyDescent="0.2">
      <c r="E410" s="67"/>
    </row>
    <row r="411" spans="5:5" ht="13.5" customHeight="1" x14ac:dyDescent="0.2">
      <c r="E411" s="67"/>
    </row>
    <row r="412" spans="5:5" ht="13.5" customHeight="1" x14ac:dyDescent="0.2">
      <c r="E412" s="67"/>
    </row>
    <row r="413" spans="5:5" ht="13.5" customHeight="1" x14ac:dyDescent="0.2">
      <c r="E413" s="67"/>
    </row>
    <row r="414" spans="5:5" ht="13.5" customHeight="1" x14ac:dyDescent="0.2">
      <c r="E414" s="67"/>
    </row>
    <row r="415" spans="5:5" ht="13.5" customHeight="1" x14ac:dyDescent="0.2">
      <c r="E415" s="67"/>
    </row>
    <row r="416" spans="5:5" ht="13.5" customHeight="1" x14ac:dyDescent="0.2">
      <c r="E416" s="67"/>
    </row>
    <row r="417" spans="5:5" ht="13.5" customHeight="1" x14ac:dyDescent="0.2">
      <c r="E417" s="67"/>
    </row>
    <row r="418" spans="5:5" ht="13.5" customHeight="1" x14ac:dyDescent="0.2">
      <c r="E418" s="67"/>
    </row>
    <row r="419" spans="5:5" ht="13.5" customHeight="1" x14ac:dyDescent="0.2">
      <c r="E419" s="67"/>
    </row>
    <row r="420" spans="5:5" ht="13.5" customHeight="1" x14ac:dyDescent="0.2">
      <c r="E420" s="67"/>
    </row>
    <row r="421" spans="5:5" ht="13.5" customHeight="1" x14ac:dyDescent="0.2">
      <c r="E421" s="67"/>
    </row>
    <row r="422" spans="5:5" ht="13.5" customHeight="1" x14ac:dyDescent="0.2">
      <c r="E422" s="67"/>
    </row>
    <row r="423" spans="5:5" ht="13.5" customHeight="1" x14ac:dyDescent="0.2">
      <c r="E423" s="67"/>
    </row>
    <row r="424" spans="5:5" ht="13.5" customHeight="1" x14ac:dyDescent="0.2">
      <c r="E424" s="67"/>
    </row>
    <row r="425" spans="5:5" ht="13.5" customHeight="1" x14ac:dyDescent="0.2">
      <c r="E425" s="67"/>
    </row>
    <row r="426" spans="5:5" ht="13.5" customHeight="1" x14ac:dyDescent="0.2">
      <c r="E426" s="67"/>
    </row>
    <row r="427" spans="5:5" ht="13.5" customHeight="1" x14ac:dyDescent="0.2">
      <c r="E427" s="67"/>
    </row>
    <row r="428" spans="5:5" ht="13.5" customHeight="1" x14ac:dyDescent="0.2">
      <c r="E428" s="67"/>
    </row>
    <row r="429" spans="5:5" ht="13.5" customHeight="1" x14ac:dyDescent="0.2">
      <c r="E429" s="67"/>
    </row>
    <row r="430" spans="5:5" ht="13.5" customHeight="1" x14ac:dyDescent="0.2">
      <c r="E430" s="67"/>
    </row>
    <row r="431" spans="5:5" ht="13.5" customHeight="1" x14ac:dyDescent="0.2">
      <c r="E431" s="67"/>
    </row>
    <row r="432" spans="5:5" ht="13.5" customHeight="1" x14ac:dyDescent="0.2">
      <c r="E432" s="67"/>
    </row>
    <row r="433" spans="5:5" ht="13.5" customHeight="1" x14ac:dyDescent="0.2">
      <c r="E433" s="67"/>
    </row>
    <row r="434" spans="5:5" ht="13.5" customHeight="1" x14ac:dyDescent="0.2">
      <c r="E434" s="67"/>
    </row>
    <row r="435" spans="5:5" ht="13.5" customHeight="1" x14ac:dyDescent="0.2">
      <c r="E435" s="67"/>
    </row>
    <row r="436" spans="5:5" ht="13.5" customHeight="1" x14ac:dyDescent="0.2">
      <c r="E436" s="67"/>
    </row>
    <row r="437" spans="5:5" ht="13.5" customHeight="1" x14ac:dyDescent="0.2">
      <c r="E437" s="67"/>
    </row>
    <row r="438" spans="5:5" ht="13.5" customHeight="1" x14ac:dyDescent="0.2">
      <c r="E438" s="67"/>
    </row>
    <row r="439" spans="5:5" ht="13.5" customHeight="1" x14ac:dyDescent="0.2">
      <c r="E439" s="67"/>
    </row>
    <row r="440" spans="5:5" ht="13.5" customHeight="1" x14ac:dyDescent="0.2">
      <c r="E440" s="67"/>
    </row>
    <row r="441" spans="5:5" ht="13.5" customHeight="1" x14ac:dyDescent="0.2">
      <c r="E441" s="67"/>
    </row>
    <row r="442" spans="5:5" ht="13.5" customHeight="1" x14ac:dyDescent="0.2">
      <c r="E442" s="67"/>
    </row>
    <row r="443" spans="5:5" ht="13.5" customHeight="1" x14ac:dyDescent="0.2">
      <c r="E443" s="67"/>
    </row>
    <row r="444" spans="5:5" ht="13.5" customHeight="1" x14ac:dyDescent="0.2">
      <c r="E444" s="67"/>
    </row>
    <row r="445" spans="5:5" ht="13.5" customHeight="1" x14ac:dyDescent="0.2">
      <c r="E445" s="67"/>
    </row>
    <row r="446" spans="5:5" ht="13.5" customHeight="1" x14ac:dyDescent="0.2">
      <c r="E446" s="67"/>
    </row>
    <row r="447" spans="5:5" ht="13.5" customHeight="1" x14ac:dyDescent="0.2">
      <c r="E447" s="67"/>
    </row>
    <row r="448" spans="5:5" ht="13.5" customHeight="1" x14ac:dyDescent="0.2">
      <c r="E448" s="67"/>
    </row>
    <row r="449" spans="5:5" ht="13.5" customHeight="1" x14ac:dyDescent="0.2">
      <c r="E449" s="67"/>
    </row>
    <row r="450" spans="5:5" ht="13.5" customHeight="1" x14ac:dyDescent="0.2">
      <c r="E450" s="67"/>
    </row>
    <row r="451" spans="5:5" ht="13.5" customHeight="1" x14ac:dyDescent="0.2">
      <c r="E451" s="67"/>
    </row>
    <row r="452" spans="5:5" ht="13.5" customHeight="1" x14ac:dyDescent="0.2">
      <c r="E452" s="67"/>
    </row>
    <row r="453" spans="5:5" ht="13.5" customHeight="1" x14ac:dyDescent="0.2">
      <c r="E453" s="67"/>
    </row>
    <row r="454" spans="5:5" ht="13.5" customHeight="1" x14ac:dyDescent="0.2">
      <c r="E454" s="67"/>
    </row>
    <row r="455" spans="5:5" ht="13.5" customHeight="1" x14ac:dyDescent="0.2">
      <c r="E455" s="67"/>
    </row>
    <row r="456" spans="5:5" ht="13.5" customHeight="1" x14ac:dyDescent="0.2">
      <c r="E456" s="67"/>
    </row>
    <row r="457" spans="5:5" ht="13.5" customHeight="1" x14ac:dyDescent="0.2">
      <c r="E457" s="67"/>
    </row>
    <row r="458" spans="5:5" ht="13.5" customHeight="1" x14ac:dyDescent="0.2">
      <c r="E458" s="67"/>
    </row>
    <row r="459" spans="5:5" ht="13.5" customHeight="1" x14ac:dyDescent="0.2">
      <c r="E459" s="67"/>
    </row>
    <row r="460" spans="5:5" ht="13.5" customHeight="1" x14ac:dyDescent="0.2">
      <c r="E460" s="67"/>
    </row>
    <row r="461" spans="5:5" ht="13.5" customHeight="1" x14ac:dyDescent="0.2">
      <c r="E461" s="67"/>
    </row>
    <row r="462" spans="5:5" ht="13.5" customHeight="1" x14ac:dyDescent="0.2">
      <c r="E462" s="67"/>
    </row>
    <row r="463" spans="5:5" ht="13.5" customHeight="1" x14ac:dyDescent="0.2">
      <c r="E463" s="67"/>
    </row>
    <row r="464" spans="5:5" ht="13.5" customHeight="1" x14ac:dyDescent="0.2">
      <c r="E464" s="67"/>
    </row>
    <row r="465" spans="5:5" ht="13.5" customHeight="1" x14ac:dyDescent="0.2">
      <c r="E465" s="67"/>
    </row>
    <row r="466" spans="5:5" ht="13.5" customHeight="1" x14ac:dyDescent="0.2">
      <c r="E466" s="67"/>
    </row>
    <row r="467" spans="5:5" ht="13.5" customHeight="1" x14ac:dyDescent="0.2">
      <c r="E467" s="67"/>
    </row>
    <row r="468" spans="5:5" ht="13.5" customHeight="1" x14ac:dyDescent="0.2">
      <c r="E468" s="67"/>
    </row>
    <row r="469" spans="5:5" ht="13.5" customHeight="1" x14ac:dyDescent="0.2">
      <c r="E469" s="67"/>
    </row>
    <row r="470" spans="5:5" ht="13.5" customHeight="1" x14ac:dyDescent="0.2">
      <c r="E470" s="67"/>
    </row>
    <row r="471" spans="5:5" ht="13.5" customHeight="1" x14ac:dyDescent="0.2">
      <c r="E471" s="67"/>
    </row>
    <row r="472" spans="5:5" ht="13.5" customHeight="1" x14ac:dyDescent="0.2">
      <c r="E472" s="67"/>
    </row>
    <row r="473" spans="5:5" ht="13.5" customHeight="1" x14ac:dyDescent="0.2">
      <c r="E473" s="67"/>
    </row>
    <row r="474" spans="5:5" ht="13.5" customHeight="1" x14ac:dyDescent="0.2">
      <c r="E474" s="67"/>
    </row>
    <row r="475" spans="5:5" ht="13.5" customHeight="1" x14ac:dyDescent="0.2">
      <c r="E475" s="67"/>
    </row>
    <row r="476" spans="5:5" ht="13.5" customHeight="1" x14ac:dyDescent="0.2">
      <c r="E476" s="67"/>
    </row>
    <row r="477" spans="5:5" ht="13.5" customHeight="1" x14ac:dyDescent="0.2">
      <c r="E477" s="67"/>
    </row>
    <row r="478" spans="5:5" ht="13.5" customHeight="1" x14ac:dyDescent="0.2">
      <c r="E478" s="67"/>
    </row>
    <row r="479" spans="5:5" ht="13.5" customHeight="1" x14ac:dyDescent="0.2">
      <c r="E479" s="67"/>
    </row>
    <row r="480" spans="5:5" ht="13.5" customHeight="1" x14ac:dyDescent="0.2">
      <c r="E480" s="67"/>
    </row>
    <row r="481" spans="5:5" ht="13.5" customHeight="1" x14ac:dyDescent="0.2">
      <c r="E481" s="67"/>
    </row>
    <row r="482" spans="5:5" ht="13.5" customHeight="1" x14ac:dyDescent="0.2">
      <c r="E482" s="67"/>
    </row>
    <row r="483" spans="5:5" ht="13.5" customHeight="1" x14ac:dyDescent="0.2">
      <c r="E483" s="67"/>
    </row>
    <row r="484" spans="5:5" ht="13.5" customHeight="1" x14ac:dyDescent="0.2">
      <c r="E484" s="67"/>
    </row>
    <row r="485" spans="5:5" ht="13.5" customHeight="1" x14ac:dyDescent="0.2">
      <c r="E485" s="67"/>
    </row>
    <row r="486" spans="5:5" ht="13.5" customHeight="1" x14ac:dyDescent="0.2">
      <c r="E486" s="67"/>
    </row>
    <row r="487" spans="5:5" ht="13.5" customHeight="1" x14ac:dyDescent="0.2">
      <c r="E487" s="67"/>
    </row>
    <row r="488" spans="5:5" ht="13.5" customHeight="1" x14ac:dyDescent="0.2">
      <c r="E488" s="67"/>
    </row>
    <row r="489" spans="5:5" ht="13.5" customHeight="1" x14ac:dyDescent="0.2">
      <c r="E489" s="67"/>
    </row>
    <row r="490" spans="5:5" ht="13.5" customHeight="1" x14ac:dyDescent="0.2">
      <c r="E490" s="67"/>
    </row>
    <row r="491" spans="5:5" ht="13.5" customHeight="1" x14ac:dyDescent="0.2">
      <c r="E491" s="67"/>
    </row>
    <row r="492" spans="5:5" ht="13.5" customHeight="1" x14ac:dyDescent="0.2">
      <c r="E492" s="67"/>
    </row>
    <row r="493" spans="5:5" ht="13.5" customHeight="1" x14ac:dyDescent="0.2">
      <c r="E493" s="67"/>
    </row>
    <row r="494" spans="5:5" ht="13.5" customHeight="1" x14ac:dyDescent="0.2">
      <c r="E494" s="67"/>
    </row>
    <row r="495" spans="5:5" ht="13.5" customHeight="1" x14ac:dyDescent="0.2">
      <c r="E495" s="67"/>
    </row>
    <row r="496" spans="5:5" ht="13.5" customHeight="1" x14ac:dyDescent="0.2">
      <c r="E496" s="67"/>
    </row>
    <row r="497" spans="5:5" ht="13.5" customHeight="1" x14ac:dyDescent="0.2">
      <c r="E497" s="67"/>
    </row>
    <row r="498" spans="5:5" ht="13.5" customHeight="1" x14ac:dyDescent="0.2">
      <c r="E498" s="67"/>
    </row>
    <row r="499" spans="5:5" ht="13.5" customHeight="1" x14ac:dyDescent="0.2">
      <c r="E499" s="67"/>
    </row>
    <row r="500" spans="5:5" ht="13.5" customHeight="1" x14ac:dyDescent="0.2">
      <c r="E500" s="67"/>
    </row>
    <row r="501" spans="5:5" ht="13.5" customHeight="1" x14ac:dyDescent="0.2">
      <c r="E501" s="67"/>
    </row>
    <row r="502" spans="5:5" ht="13.5" customHeight="1" x14ac:dyDescent="0.2">
      <c r="E502" s="67"/>
    </row>
    <row r="503" spans="5:5" ht="13.5" customHeight="1" x14ac:dyDescent="0.2">
      <c r="E503" s="67"/>
    </row>
    <row r="504" spans="5:5" ht="13.5" customHeight="1" x14ac:dyDescent="0.2">
      <c r="E504" s="67"/>
    </row>
    <row r="505" spans="5:5" ht="13.5" customHeight="1" x14ac:dyDescent="0.2">
      <c r="E505" s="67"/>
    </row>
    <row r="506" spans="5:5" ht="13.5" customHeight="1" x14ac:dyDescent="0.2">
      <c r="E506" s="67"/>
    </row>
    <row r="507" spans="5:5" ht="13.5" customHeight="1" x14ac:dyDescent="0.2">
      <c r="E507" s="67"/>
    </row>
    <row r="508" spans="5:5" ht="13.5" customHeight="1" x14ac:dyDescent="0.2">
      <c r="E508" s="67"/>
    </row>
    <row r="509" spans="5:5" ht="13.5" customHeight="1" x14ac:dyDescent="0.2">
      <c r="E509" s="67"/>
    </row>
    <row r="510" spans="5:5" ht="13.5" customHeight="1" x14ac:dyDescent="0.2">
      <c r="E510" s="67"/>
    </row>
    <row r="511" spans="5:5" ht="13.5" customHeight="1" x14ac:dyDescent="0.2">
      <c r="E511" s="67"/>
    </row>
    <row r="512" spans="5:5" ht="13.5" customHeight="1" x14ac:dyDescent="0.2">
      <c r="E512" s="67"/>
    </row>
    <row r="513" spans="5:5" ht="13.5" customHeight="1" x14ac:dyDescent="0.2">
      <c r="E513" s="67"/>
    </row>
    <row r="514" spans="5:5" ht="13.5" customHeight="1" x14ac:dyDescent="0.2">
      <c r="E514" s="67"/>
    </row>
    <row r="515" spans="5:5" ht="13.5" customHeight="1" x14ac:dyDescent="0.2">
      <c r="E515" s="67"/>
    </row>
    <row r="516" spans="5:5" ht="13.5" customHeight="1" x14ac:dyDescent="0.2">
      <c r="E516" s="67"/>
    </row>
    <row r="517" spans="5:5" ht="13.5" customHeight="1" x14ac:dyDescent="0.2">
      <c r="E517" s="67"/>
    </row>
    <row r="518" spans="5:5" ht="13.5" customHeight="1" x14ac:dyDescent="0.2">
      <c r="E518" s="67"/>
    </row>
    <row r="519" spans="5:5" ht="13.5" customHeight="1" x14ac:dyDescent="0.2">
      <c r="E519" s="67"/>
    </row>
    <row r="520" spans="5:5" ht="13.5" customHeight="1" x14ac:dyDescent="0.2">
      <c r="E520" s="67"/>
    </row>
    <row r="521" spans="5:5" ht="13.5" customHeight="1" x14ac:dyDescent="0.2">
      <c r="E521" s="67"/>
    </row>
    <row r="522" spans="5:5" ht="13.5" customHeight="1" x14ac:dyDescent="0.2">
      <c r="E522" s="67"/>
    </row>
    <row r="523" spans="5:5" ht="13.5" customHeight="1" x14ac:dyDescent="0.2">
      <c r="E523" s="67"/>
    </row>
    <row r="524" spans="5:5" ht="13.5" customHeight="1" x14ac:dyDescent="0.2">
      <c r="E524" s="67"/>
    </row>
    <row r="525" spans="5:5" ht="13.5" customHeight="1" x14ac:dyDescent="0.2">
      <c r="E525" s="67"/>
    </row>
    <row r="526" spans="5:5" ht="13.5" customHeight="1" x14ac:dyDescent="0.2">
      <c r="E526" s="67"/>
    </row>
    <row r="527" spans="5:5" ht="13.5" customHeight="1" x14ac:dyDescent="0.2">
      <c r="E527" s="67"/>
    </row>
    <row r="528" spans="5:5" ht="13.5" customHeight="1" x14ac:dyDescent="0.2">
      <c r="E528" s="67"/>
    </row>
    <row r="529" spans="5:5" ht="13.5" customHeight="1" x14ac:dyDescent="0.2">
      <c r="E529" s="67"/>
    </row>
    <row r="530" spans="5:5" ht="13.5" customHeight="1" x14ac:dyDescent="0.2">
      <c r="E530" s="67"/>
    </row>
    <row r="531" spans="5:5" ht="13.5" customHeight="1" x14ac:dyDescent="0.2">
      <c r="E531" s="67"/>
    </row>
    <row r="532" spans="5:5" ht="13.5" customHeight="1" x14ac:dyDescent="0.2">
      <c r="E532" s="67"/>
    </row>
    <row r="533" spans="5:5" ht="13.5" customHeight="1" x14ac:dyDescent="0.2">
      <c r="E533" s="67"/>
    </row>
    <row r="534" spans="5:5" ht="13.5" customHeight="1" x14ac:dyDescent="0.2">
      <c r="E534" s="67"/>
    </row>
    <row r="535" spans="5:5" ht="13.5" customHeight="1" x14ac:dyDescent="0.2">
      <c r="E535" s="67"/>
    </row>
    <row r="536" spans="5:5" ht="13.5" customHeight="1" x14ac:dyDescent="0.2">
      <c r="E536" s="67"/>
    </row>
    <row r="537" spans="5:5" ht="13.5" customHeight="1" x14ac:dyDescent="0.2">
      <c r="E537" s="67"/>
    </row>
    <row r="538" spans="5:5" ht="13.5" customHeight="1" x14ac:dyDescent="0.2">
      <c r="E538" s="67"/>
    </row>
    <row r="539" spans="5:5" ht="13.5" customHeight="1" x14ac:dyDescent="0.2">
      <c r="E539" s="67"/>
    </row>
    <row r="540" spans="5:5" ht="13.5" customHeight="1" x14ac:dyDescent="0.2">
      <c r="E540" s="67"/>
    </row>
    <row r="541" spans="5:5" ht="13.5" customHeight="1" x14ac:dyDescent="0.2">
      <c r="E541" s="67"/>
    </row>
    <row r="542" spans="5:5" ht="13.5" customHeight="1" x14ac:dyDescent="0.2">
      <c r="E542" s="67"/>
    </row>
    <row r="543" spans="5:5" ht="13.5" customHeight="1" x14ac:dyDescent="0.2">
      <c r="E543" s="67"/>
    </row>
    <row r="544" spans="5:5" ht="13.5" customHeight="1" x14ac:dyDescent="0.2">
      <c r="E544" s="67"/>
    </row>
    <row r="545" spans="5:5" ht="13.5" customHeight="1" x14ac:dyDescent="0.2">
      <c r="E545" s="67"/>
    </row>
    <row r="546" spans="5:5" ht="13.5" customHeight="1" x14ac:dyDescent="0.2">
      <c r="E546" s="67"/>
    </row>
    <row r="547" spans="5:5" ht="13.5" customHeight="1" x14ac:dyDescent="0.2">
      <c r="E547" s="67"/>
    </row>
    <row r="548" spans="5:5" ht="13.5" customHeight="1" x14ac:dyDescent="0.2">
      <c r="E548" s="67"/>
    </row>
    <row r="549" spans="5:5" ht="13.5" customHeight="1" x14ac:dyDescent="0.2">
      <c r="E549" s="67"/>
    </row>
    <row r="550" spans="5:5" ht="13.5" customHeight="1" x14ac:dyDescent="0.2">
      <c r="E550" s="67"/>
    </row>
    <row r="551" spans="5:5" ht="13.5" customHeight="1" x14ac:dyDescent="0.2">
      <c r="E551" s="67"/>
    </row>
    <row r="552" spans="5:5" ht="13.5" customHeight="1" x14ac:dyDescent="0.2">
      <c r="E552" s="67"/>
    </row>
    <row r="553" spans="5:5" ht="13.5" customHeight="1" x14ac:dyDescent="0.2">
      <c r="E553" s="67"/>
    </row>
    <row r="554" spans="5:5" ht="13.5" customHeight="1" x14ac:dyDescent="0.2">
      <c r="E554" s="67"/>
    </row>
    <row r="555" spans="5:5" ht="13.5" customHeight="1" x14ac:dyDescent="0.2">
      <c r="E555" s="67"/>
    </row>
    <row r="556" spans="5:5" ht="13.5" customHeight="1" x14ac:dyDescent="0.2">
      <c r="E556" s="67"/>
    </row>
    <row r="557" spans="5:5" ht="13.5" customHeight="1" x14ac:dyDescent="0.2">
      <c r="E557" s="67"/>
    </row>
    <row r="558" spans="5:5" ht="13.5" customHeight="1" x14ac:dyDescent="0.2">
      <c r="E558" s="67"/>
    </row>
    <row r="559" spans="5:5" ht="13.5" customHeight="1" x14ac:dyDescent="0.2">
      <c r="E559" s="67"/>
    </row>
    <row r="560" spans="5:5" ht="13.5" customHeight="1" x14ac:dyDescent="0.2">
      <c r="E560" s="67"/>
    </row>
    <row r="561" spans="5:5" ht="13.5" customHeight="1" x14ac:dyDescent="0.2">
      <c r="E561" s="67"/>
    </row>
    <row r="562" spans="5:5" ht="13.5" customHeight="1" x14ac:dyDescent="0.2">
      <c r="E562" s="67"/>
    </row>
    <row r="563" spans="5:5" ht="13.5" customHeight="1" x14ac:dyDescent="0.2">
      <c r="E563" s="67"/>
    </row>
    <row r="564" spans="5:5" ht="13.5" customHeight="1" x14ac:dyDescent="0.2">
      <c r="E564" s="67"/>
    </row>
    <row r="565" spans="5:5" ht="13.5" customHeight="1" x14ac:dyDescent="0.2">
      <c r="E565" s="67"/>
    </row>
    <row r="566" spans="5:5" ht="13.5" customHeight="1" x14ac:dyDescent="0.2">
      <c r="E566" s="67"/>
    </row>
    <row r="567" spans="5:5" ht="13.5" customHeight="1" x14ac:dyDescent="0.2">
      <c r="E567" s="67"/>
    </row>
    <row r="568" spans="5:5" ht="13.5" customHeight="1" x14ac:dyDescent="0.2">
      <c r="E568" s="67"/>
    </row>
    <row r="569" spans="5:5" ht="13.5" customHeight="1" x14ac:dyDescent="0.2">
      <c r="E569" s="67"/>
    </row>
    <row r="570" spans="5:5" ht="13.5" customHeight="1" x14ac:dyDescent="0.2">
      <c r="E570" s="67"/>
    </row>
    <row r="571" spans="5:5" ht="13.5" customHeight="1" x14ac:dyDescent="0.2">
      <c r="E571" s="67"/>
    </row>
    <row r="572" spans="5:5" ht="13.5" customHeight="1" x14ac:dyDescent="0.2">
      <c r="E572" s="67"/>
    </row>
    <row r="573" spans="5:5" ht="13.5" customHeight="1" x14ac:dyDescent="0.2">
      <c r="E573" s="67"/>
    </row>
    <row r="574" spans="5:5" ht="13.5" customHeight="1" x14ac:dyDescent="0.2">
      <c r="E574" s="67"/>
    </row>
    <row r="575" spans="5:5" ht="13.5" customHeight="1" x14ac:dyDescent="0.2">
      <c r="E575" s="67"/>
    </row>
    <row r="576" spans="5:5" ht="13.5" customHeight="1" x14ac:dyDescent="0.2">
      <c r="E576" s="67"/>
    </row>
    <row r="577" spans="5:5" ht="13.5" customHeight="1" x14ac:dyDescent="0.2">
      <c r="E577" s="67"/>
    </row>
    <row r="578" spans="5:5" ht="13.5" customHeight="1" x14ac:dyDescent="0.2">
      <c r="E578" s="67"/>
    </row>
    <row r="579" spans="5:5" ht="13.5" customHeight="1" x14ac:dyDescent="0.2">
      <c r="E579" s="67"/>
    </row>
    <row r="580" spans="5:5" ht="13.5" customHeight="1" x14ac:dyDescent="0.2">
      <c r="E580" s="67"/>
    </row>
    <row r="581" spans="5:5" ht="13.5" customHeight="1" x14ac:dyDescent="0.2">
      <c r="E581" s="67"/>
    </row>
    <row r="582" spans="5:5" ht="13.5" customHeight="1" x14ac:dyDescent="0.2">
      <c r="E582" s="67"/>
    </row>
    <row r="583" spans="5:5" ht="13.5" customHeight="1" x14ac:dyDescent="0.2">
      <c r="E583" s="67"/>
    </row>
    <row r="584" spans="5:5" ht="13.5" customHeight="1" x14ac:dyDescent="0.2">
      <c r="E584" s="67"/>
    </row>
    <row r="585" spans="5:5" ht="13.5" customHeight="1" x14ac:dyDescent="0.2">
      <c r="E585" s="67"/>
    </row>
    <row r="586" spans="5:5" ht="13.5" customHeight="1" x14ac:dyDescent="0.2">
      <c r="E586" s="67"/>
    </row>
    <row r="587" spans="5:5" ht="13.5" customHeight="1" x14ac:dyDescent="0.2">
      <c r="E587" s="67"/>
    </row>
    <row r="588" spans="5:5" ht="13.5" customHeight="1" x14ac:dyDescent="0.2">
      <c r="E588" s="67"/>
    </row>
    <row r="589" spans="5:5" ht="13.5" customHeight="1" x14ac:dyDescent="0.2">
      <c r="E589" s="67"/>
    </row>
    <row r="590" spans="5:5" ht="13.5" customHeight="1" x14ac:dyDescent="0.2">
      <c r="E590" s="67"/>
    </row>
    <row r="591" spans="5:5" ht="13.5" customHeight="1" x14ac:dyDescent="0.2">
      <c r="E591" s="67"/>
    </row>
    <row r="592" spans="5:5" ht="13.5" customHeight="1" x14ac:dyDescent="0.2">
      <c r="E592" s="67"/>
    </row>
    <row r="593" spans="5:5" ht="13.5" customHeight="1" x14ac:dyDescent="0.2">
      <c r="E593" s="67"/>
    </row>
    <row r="594" spans="5:5" ht="13.5" customHeight="1" x14ac:dyDescent="0.2">
      <c r="E594" s="67"/>
    </row>
    <row r="595" spans="5:5" ht="13.5" customHeight="1" x14ac:dyDescent="0.2">
      <c r="E595" s="67"/>
    </row>
    <row r="596" spans="5:5" ht="13.5" customHeight="1" x14ac:dyDescent="0.2">
      <c r="E596" s="67"/>
    </row>
    <row r="597" spans="5:5" ht="13.5" customHeight="1" x14ac:dyDescent="0.2">
      <c r="E597" s="67"/>
    </row>
    <row r="598" spans="5:5" ht="13.5" customHeight="1" x14ac:dyDescent="0.2">
      <c r="E598" s="67"/>
    </row>
    <row r="599" spans="5:5" ht="13.5" customHeight="1" x14ac:dyDescent="0.2">
      <c r="E599" s="67"/>
    </row>
    <row r="600" spans="5:5" ht="13.5" customHeight="1" x14ac:dyDescent="0.2">
      <c r="E600" s="67"/>
    </row>
    <row r="601" spans="5:5" ht="13.5" customHeight="1" x14ac:dyDescent="0.2">
      <c r="E601" s="67"/>
    </row>
    <row r="602" spans="5:5" ht="13.5" customHeight="1" x14ac:dyDescent="0.2">
      <c r="E602" s="67"/>
    </row>
    <row r="603" spans="5:5" ht="13.5" customHeight="1" x14ac:dyDescent="0.2">
      <c r="E603" s="67"/>
    </row>
    <row r="604" spans="5:5" ht="13.5" customHeight="1" x14ac:dyDescent="0.2">
      <c r="E604" s="67"/>
    </row>
    <row r="605" spans="5:5" ht="13.5" customHeight="1" x14ac:dyDescent="0.2">
      <c r="E605" s="67"/>
    </row>
    <row r="606" spans="5:5" ht="13.5" customHeight="1" x14ac:dyDescent="0.2">
      <c r="E606" s="67"/>
    </row>
    <row r="607" spans="5:5" ht="13.5" customHeight="1" x14ac:dyDescent="0.2">
      <c r="E607" s="67"/>
    </row>
    <row r="608" spans="5:5" ht="13.5" customHeight="1" x14ac:dyDescent="0.2">
      <c r="E608" s="67"/>
    </row>
    <row r="609" spans="5:5" ht="13.5" customHeight="1" x14ac:dyDescent="0.2">
      <c r="E609" s="67"/>
    </row>
    <row r="610" spans="5:5" ht="13.5" customHeight="1" x14ac:dyDescent="0.2">
      <c r="E610" s="67"/>
    </row>
    <row r="611" spans="5:5" ht="13.5" customHeight="1" x14ac:dyDescent="0.2">
      <c r="E611" s="67"/>
    </row>
    <row r="612" spans="5:5" ht="13.5" customHeight="1" x14ac:dyDescent="0.2">
      <c r="E612" s="67"/>
    </row>
    <row r="613" spans="5:5" ht="13.5" customHeight="1" x14ac:dyDescent="0.2">
      <c r="E613" s="67"/>
    </row>
    <row r="614" spans="5:5" ht="13.5" customHeight="1" x14ac:dyDescent="0.2">
      <c r="E614" s="67"/>
    </row>
    <row r="615" spans="5:5" ht="13.5" customHeight="1" x14ac:dyDescent="0.2">
      <c r="E615" s="67"/>
    </row>
    <row r="616" spans="5:5" ht="13.5" customHeight="1" x14ac:dyDescent="0.2">
      <c r="E616" s="67"/>
    </row>
    <row r="617" spans="5:5" ht="13.5" customHeight="1" x14ac:dyDescent="0.2">
      <c r="E617" s="67"/>
    </row>
    <row r="618" spans="5:5" ht="13.5" customHeight="1" x14ac:dyDescent="0.2">
      <c r="E618" s="67"/>
    </row>
    <row r="619" spans="5:5" ht="13.5" customHeight="1" x14ac:dyDescent="0.2">
      <c r="E619" s="67"/>
    </row>
    <row r="620" spans="5:5" ht="13.5" customHeight="1" x14ac:dyDescent="0.2">
      <c r="E620" s="67"/>
    </row>
    <row r="621" spans="5:5" ht="13.5" customHeight="1" x14ac:dyDescent="0.2">
      <c r="E621" s="67"/>
    </row>
    <row r="622" spans="5:5" ht="13.5" customHeight="1" x14ac:dyDescent="0.2">
      <c r="E622" s="67"/>
    </row>
    <row r="623" spans="5:5" ht="13.5" customHeight="1" x14ac:dyDescent="0.2">
      <c r="E623" s="67"/>
    </row>
    <row r="624" spans="5:5" ht="13.5" customHeight="1" x14ac:dyDescent="0.2">
      <c r="E624" s="67"/>
    </row>
    <row r="625" spans="5:5" ht="13.5" customHeight="1" x14ac:dyDescent="0.2">
      <c r="E625" s="67"/>
    </row>
    <row r="626" spans="5:5" ht="13.5" customHeight="1" x14ac:dyDescent="0.2">
      <c r="E626" s="67"/>
    </row>
    <row r="627" spans="5:5" ht="13.5" customHeight="1" x14ac:dyDescent="0.2">
      <c r="E627" s="67"/>
    </row>
    <row r="628" spans="5:5" ht="13.5" customHeight="1" x14ac:dyDescent="0.2">
      <c r="E628" s="67"/>
    </row>
    <row r="629" spans="5:5" ht="13.5" customHeight="1" x14ac:dyDescent="0.2">
      <c r="E629" s="67"/>
    </row>
    <row r="630" spans="5:5" ht="13.5" customHeight="1" x14ac:dyDescent="0.2">
      <c r="E630" s="67"/>
    </row>
    <row r="631" spans="5:5" ht="13.5" customHeight="1" x14ac:dyDescent="0.2">
      <c r="E631" s="67"/>
    </row>
    <row r="632" spans="5:5" ht="13.5" customHeight="1" x14ac:dyDescent="0.2">
      <c r="E632" s="67"/>
    </row>
    <row r="633" spans="5:5" ht="13.5" customHeight="1" x14ac:dyDescent="0.2">
      <c r="E633" s="67"/>
    </row>
    <row r="634" spans="5:5" ht="13.5" customHeight="1" x14ac:dyDescent="0.2">
      <c r="E634" s="67"/>
    </row>
    <row r="635" spans="5:5" ht="13.5" customHeight="1" x14ac:dyDescent="0.2">
      <c r="E635" s="67"/>
    </row>
    <row r="636" spans="5:5" ht="13.5" customHeight="1" x14ac:dyDescent="0.2">
      <c r="E636" s="67"/>
    </row>
    <row r="637" spans="5:5" ht="13.5" customHeight="1" x14ac:dyDescent="0.2">
      <c r="E637" s="67"/>
    </row>
    <row r="638" spans="5:5" ht="13.5" customHeight="1" x14ac:dyDescent="0.2">
      <c r="E638" s="67"/>
    </row>
    <row r="639" spans="5:5" ht="13.5" customHeight="1" x14ac:dyDescent="0.2">
      <c r="E639" s="67"/>
    </row>
    <row r="640" spans="5:5" ht="13.5" customHeight="1" x14ac:dyDescent="0.2">
      <c r="E640" s="67"/>
    </row>
    <row r="641" spans="5:5" ht="13.5" customHeight="1" x14ac:dyDescent="0.2">
      <c r="E641" s="67"/>
    </row>
    <row r="642" spans="5:5" ht="13.5" customHeight="1" x14ac:dyDescent="0.2">
      <c r="E642" s="67"/>
    </row>
    <row r="643" spans="5:5" ht="13.5" customHeight="1" x14ac:dyDescent="0.2">
      <c r="E643" s="67"/>
    </row>
    <row r="644" spans="5:5" ht="13.5" customHeight="1" x14ac:dyDescent="0.2">
      <c r="E644" s="67"/>
    </row>
    <row r="645" spans="5:5" ht="13.5" customHeight="1" x14ac:dyDescent="0.2">
      <c r="E645" s="67"/>
    </row>
    <row r="646" spans="5:5" ht="13.5" customHeight="1" x14ac:dyDescent="0.2">
      <c r="E646" s="67"/>
    </row>
    <row r="647" spans="5:5" ht="13.5" customHeight="1" x14ac:dyDescent="0.2">
      <c r="E647" s="67"/>
    </row>
    <row r="648" spans="5:5" ht="13.5" customHeight="1" x14ac:dyDescent="0.2">
      <c r="E648" s="67"/>
    </row>
    <row r="649" spans="5:5" ht="13.5" customHeight="1" x14ac:dyDescent="0.2">
      <c r="E649" s="67"/>
    </row>
    <row r="650" spans="5:5" ht="13.5" customHeight="1" x14ac:dyDescent="0.2">
      <c r="E650" s="67"/>
    </row>
    <row r="651" spans="5:5" ht="13.5" customHeight="1" x14ac:dyDescent="0.2">
      <c r="E651" s="67"/>
    </row>
    <row r="652" spans="5:5" ht="13.5" customHeight="1" x14ac:dyDescent="0.2">
      <c r="E652" s="67"/>
    </row>
    <row r="653" spans="5:5" ht="13.5" customHeight="1" x14ac:dyDescent="0.2">
      <c r="E653" s="67"/>
    </row>
    <row r="654" spans="5:5" ht="13.5" customHeight="1" x14ac:dyDescent="0.2">
      <c r="E654" s="67"/>
    </row>
    <row r="655" spans="5:5" ht="13.5" customHeight="1" x14ac:dyDescent="0.2">
      <c r="E655" s="67"/>
    </row>
    <row r="656" spans="5:5" ht="13.5" customHeight="1" x14ac:dyDescent="0.2">
      <c r="E656" s="67"/>
    </row>
    <row r="657" spans="5:5" ht="13.5" customHeight="1" x14ac:dyDescent="0.2">
      <c r="E657" s="67"/>
    </row>
    <row r="658" spans="5:5" ht="13.5" customHeight="1" x14ac:dyDescent="0.2">
      <c r="E658" s="67"/>
    </row>
    <row r="659" spans="5:5" ht="13.5" customHeight="1" x14ac:dyDescent="0.2">
      <c r="E659" s="67"/>
    </row>
    <row r="660" spans="5:5" ht="13.5" customHeight="1" x14ac:dyDescent="0.2">
      <c r="E660" s="67"/>
    </row>
    <row r="661" spans="5:5" ht="13.5" customHeight="1" x14ac:dyDescent="0.2">
      <c r="E661" s="67"/>
    </row>
    <row r="662" spans="5:5" ht="13.5" customHeight="1" x14ac:dyDescent="0.2">
      <c r="E662" s="67"/>
    </row>
    <row r="663" spans="5:5" ht="13.5" customHeight="1" x14ac:dyDescent="0.2">
      <c r="E663" s="67"/>
    </row>
    <row r="664" spans="5:5" ht="13.5" customHeight="1" x14ac:dyDescent="0.2">
      <c r="E664" s="67"/>
    </row>
    <row r="665" spans="5:5" ht="13.5" customHeight="1" x14ac:dyDescent="0.2">
      <c r="E665" s="67"/>
    </row>
    <row r="666" spans="5:5" ht="13.5" customHeight="1" x14ac:dyDescent="0.2">
      <c r="E666" s="67"/>
    </row>
    <row r="667" spans="5:5" ht="13.5" customHeight="1" x14ac:dyDescent="0.2">
      <c r="E667" s="67"/>
    </row>
    <row r="668" spans="5:5" ht="13.5" customHeight="1" x14ac:dyDescent="0.2">
      <c r="E668" s="67"/>
    </row>
    <row r="669" spans="5:5" ht="13.5" customHeight="1" x14ac:dyDescent="0.2">
      <c r="E669" s="67"/>
    </row>
    <row r="670" spans="5:5" ht="13.5" customHeight="1" x14ac:dyDescent="0.2">
      <c r="E670" s="67"/>
    </row>
    <row r="671" spans="5:5" ht="13.5" customHeight="1" x14ac:dyDescent="0.2">
      <c r="E671" s="67"/>
    </row>
    <row r="672" spans="5:5" ht="13.5" customHeight="1" x14ac:dyDescent="0.2">
      <c r="E672" s="67"/>
    </row>
    <row r="673" spans="5:5" ht="13.5" customHeight="1" x14ac:dyDescent="0.2">
      <c r="E673" s="67"/>
    </row>
    <row r="674" spans="5:5" ht="13.5" customHeight="1" x14ac:dyDescent="0.2">
      <c r="E674" s="67"/>
    </row>
    <row r="675" spans="5:5" ht="13.5" customHeight="1" x14ac:dyDescent="0.2">
      <c r="E675" s="67"/>
    </row>
    <row r="676" spans="5:5" ht="13.5" customHeight="1" x14ac:dyDescent="0.2">
      <c r="E676" s="67"/>
    </row>
    <row r="677" spans="5:5" ht="13.5" customHeight="1" x14ac:dyDescent="0.2">
      <c r="E677" s="67"/>
    </row>
    <row r="678" spans="5:5" ht="13.5" customHeight="1" x14ac:dyDescent="0.2">
      <c r="E678" s="67"/>
    </row>
    <row r="679" spans="5:5" ht="13.5" customHeight="1" x14ac:dyDescent="0.2">
      <c r="E679" s="67"/>
    </row>
    <row r="680" spans="5:5" ht="13.5" customHeight="1" x14ac:dyDescent="0.2">
      <c r="E680" s="67"/>
    </row>
    <row r="681" spans="5:5" ht="13.5" customHeight="1" x14ac:dyDescent="0.2">
      <c r="E681" s="67"/>
    </row>
    <row r="682" spans="5:5" ht="13.5" customHeight="1" x14ac:dyDescent="0.2">
      <c r="E682" s="67"/>
    </row>
    <row r="683" spans="5:5" ht="13.5" customHeight="1" x14ac:dyDescent="0.2">
      <c r="E683" s="67"/>
    </row>
    <row r="684" spans="5:5" ht="13.5" customHeight="1" x14ac:dyDescent="0.2">
      <c r="E684" s="67"/>
    </row>
    <row r="685" spans="5:5" ht="13.5" customHeight="1" x14ac:dyDescent="0.2">
      <c r="E685" s="67"/>
    </row>
    <row r="686" spans="5:5" ht="13.5" customHeight="1" x14ac:dyDescent="0.2">
      <c r="E686" s="67"/>
    </row>
    <row r="687" spans="5:5" ht="13.5" customHeight="1" x14ac:dyDescent="0.2">
      <c r="E687" s="67"/>
    </row>
    <row r="688" spans="5:5" ht="13.5" customHeight="1" x14ac:dyDescent="0.2">
      <c r="E688" s="67"/>
    </row>
    <row r="689" spans="5:5" ht="13.5" customHeight="1" x14ac:dyDescent="0.2">
      <c r="E689" s="67"/>
    </row>
    <row r="690" spans="5:5" ht="13.5" customHeight="1" x14ac:dyDescent="0.2">
      <c r="E690" s="67"/>
    </row>
    <row r="691" spans="5:5" ht="13.5" customHeight="1" x14ac:dyDescent="0.2">
      <c r="E691" s="67"/>
    </row>
    <row r="692" spans="5:5" ht="13.5" customHeight="1" x14ac:dyDescent="0.2">
      <c r="E692" s="67"/>
    </row>
    <row r="693" spans="5:5" ht="13.5" customHeight="1" x14ac:dyDescent="0.2">
      <c r="E693" s="67"/>
    </row>
    <row r="694" spans="5:5" ht="13.5" customHeight="1" x14ac:dyDescent="0.2">
      <c r="E694" s="67"/>
    </row>
    <row r="695" spans="5:5" ht="13.5" customHeight="1" x14ac:dyDescent="0.2">
      <c r="E695" s="67"/>
    </row>
    <row r="696" spans="5:5" ht="13.5" customHeight="1" x14ac:dyDescent="0.2">
      <c r="E696" s="67"/>
    </row>
    <row r="697" spans="5:5" ht="13.5" customHeight="1" x14ac:dyDescent="0.2">
      <c r="E697" s="67"/>
    </row>
    <row r="698" spans="5:5" ht="13.5" customHeight="1" x14ac:dyDescent="0.2">
      <c r="E698" s="67"/>
    </row>
    <row r="699" spans="5:5" ht="13.5" customHeight="1" x14ac:dyDescent="0.2">
      <c r="E699" s="67"/>
    </row>
    <row r="700" spans="5:5" ht="13.5" customHeight="1" x14ac:dyDescent="0.2">
      <c r="E700" s="67"/>
    </row>
    <row r="701" spans="5:5" ht="13.5" customHeight="1" x14ac:dyDescent="0.2">
      <c r="E701" s="67"/>
    </row>
    <row r="702" spans="5:5" ht="13.5" customHeight="1" x14ac:dyDescent="0.2">
      <c r="E702" s="67"/>
    </row>
    <row r="703" spans="5:5" ht="13.5" customHeight="1" x14ac:dyDescent="0.2">
      <c r="E703" s="67"/>
    </row>
    <row r="704" spans="5:5" ht="13.5" customHeight="1" x14ac:dyDescent="0.2">
      <c r="E704" s="67"/>
    </row>
    <row r="705" spans="5:5" ht="13.5" customHeight="1" x14ac:dyDescent="0.2">
      <c r="E705" s="67"/>
    </row>
    <row r="706" spans="5:5" ht="13.5" customHeight="1" x14ac:dyDescent="0.2">
      <c r="E706" s="67"/>
    </row>
    <row r="707" spans="5:5" ht="13.5" customHeight="1" x14ac:dyDescent="0.2">
      <c r="E707" s="67"/>
    </row>
    <row r="708" spans="5:5" ht="13.5" customHeight="1" x14ac:dyDescent="0.2">
      <c r="E708" s="67"/>
    </row>
    <row r="709" spans="5:5" ht="13.5" customHeight="1" x14ac:dyDescent="0.2">
      <c r="E709" s="67"/>
    </row>
    <row r="710" spans="5:5" ht="13.5" customHeight="1" x14ac:dyDescent="0.2">
      <c r="E710" s="67"/>
    </row>
    <row r="711" spans="5:5" ht="13.5" customHeight="1" x14ac:dyDescent="0.2">
      <c r="E711" s="67"/>
    </row>
    <row r="712" spans="5:5" ht="13.5" customHeight="1" x14ac:dyDescent="0.2">
      <c r="E712" s="67"/>
    </row>
    <row r="713" spans="5:5" ht="13.5" customHeight="1" x14ac:dyDescent="0.2">
      <c r="E713" s="67"/>
    </row>
    <row r="714" spans="5:5" ht="13.5" customHeight="1" x14ac:dyDescent="0.2">
      <c r="E714" s="67"/>
    </row>
    <row r="715" spans="5:5" ht="13.5" customHeight="1" x14ac:dyDescent="0.2">
      <c r="E715" s="67"/>
    </row>
    <row r="716" spans="5:5" ht="13.5" customHeight="1" x14ac:dyDescent="0.2">
      <c r="E716" s="67"/>
    </row>
    <row r="717" spans="5:5" ht="13.5" customHeight="1" x14ac:dyDescent="0.2">
      <c r="E717" s="67"/>
    </row>
    <row r="718" spans="5:5" ht="13.5" customHeight="1" x14ac:dyDescent="0.2">
      <c r="E718" s="67"/>
    </row>
    <row r="719" spans="5:5" ht="13.5" customHeight="1" x14ac:dyDescent="0.2">
      <c r="E719" s="67"/>
    </row>
    <row r="720" spans="5:5" ht="13.5" customHeight="1" x14ac:dyDescent="0.2">
      <c r="E720" s="67"/>
    </row>
    <row r="721" spans="5:5" ht="13.5" customHeight="1" x14ac:dyDescent="0.2">
      <c r="E721" s="67"/>
    </row>
    <row r="722" spans="5:5" ht="13.5" customHeight="1" x14ac:dyDescent="0.2">
      <c r="E722" s="67"/>
    </row>
    <row r="723" spans="5:5" ht="13.5" customHeight="1" x14ac:dyDescent="0.2">
      <c r="E723" s="67"/>
    </row>
    <row r="724" spans="5:5" ht="13.5" customHeight="1" x14ac:dyDescent="0.2">
      <c r="E724" s="67"/>
    </row>
    <row r="725" spans="5:5" ht="13.5" customHeight="1" x14ac:dyDescent="0.2">
      <c r="E725" s="67"/>
    </row>
    <row r="726" spans="5:5" ht="13.5" customHeight="1" x14ac:dyDescent="0.2">
      <c r="E726" s="67"/>
    </row>
    <row r="727" spans="5:5" ht="13.5" customHeight="1" x14ac:dyDescent="0.2">
      <c r="E727" s="67"/>
    </row>
    <row r="728" spans="5:5" ht="13.5" customHeight="1" x14ac:dyDescent="0.2">
      <c r="E728" s="67"/>
    </row>
    <row r="729" spans="5:5" ht="13.5" customHeight="1" x14ac:dyDescent="0.2">
      <c r="E729" s="67"/>
    </row>
    <row r="730" spans="5:5" ht="13.5" customHeight="1" x14ac:dyDescent="0.2">
      <c r="E730" s="67"/>
    </row>
    <row r="731" spans="5:5" ht="13.5" customHeight="1" x14ac:dyDescent="0.2">
      <c r="E731" s="67"/>
    </row>
    <row r="732" spans="5:5" ht="13.5" customHeight="1" x14ac:dyDescent="0.2">
      <c r="E732" s="67"/>
    </row>
    <row r="733" spans="5:5" ht="13.5" customHeight="1" x14ac:dyDescent="0.2">
      <c r="E733" s="67"/>
    </row>
    <row r="734" spans="5:5" ht="13.5" customHeight="1" x14ac:dyDescent="0.2">
      <c r="E734" s="67"/>
    </row>
    <row r="735" spans="5:5" ht="13.5" customHeight="1" x14ac:dyDescent="0.2">
      <c r="E735" s="67"/>
    </row>
    <row r="736" spans="5:5" ht="13.5" customHeight="1" x14ac:dyDescent="0.2">
      <c r="E736" s="67"/>
    </row>
    <row r="737" spans="5:5" ht="13.5" customHeight="1" x14ac:dyDescent="0.2">
      <c r="E737" s="67"/>
    </row>
    <row r="738" spans="5:5" ht="13.5" customHeight="1" x14ac:dyDescent="0.2">
      <c r="E738" s="67"/>
    </row>
    <row r="739" spans="5:5" ht="13.5" customHeight="1" x14ac:dyDescent="0.2">
      <c r="E739" s="67"/>
    </row>
    <row r="740" spans="5:5" ht="13.5" customHeight="1" x14ac:dyDescent="0.2">
      <c r="E740" s="67"/>
    </row>
    <row r="741" spans="5:5" ht="13.5" customHeight="1" x14ac:dyDescent="0.2">
      <c r="E741" s="67"/>
    </row>
    <row r="742" spans="5:5" ht="13.5" customHeight="1" x14ac:dyDescent="0.2">
      <c r="E742" s="67"/>
    </row>
    <row r="743" spans="5:5" ht="13.5" customHeight="1" x14ac:dyDescent="0.2">
      <c r="E743" s="67"/>
    </row>
    <row r="744" spans="5:5" ht="13.5" customHeight="1" x14ac:dyDescent="0.2">
      <c r="E744" s="67"/>
    </row>
    <row r="745" spans="5:5" ht="13.5" customHeight="1" x14ac:dyDescent="0.2">
      <c r="E745" s="67"/>
    </row>
    <row r="746" spans="5:5" ht="13.5" customHeight="1" x14ac:dyDescent="0.2">
      <c r="E746" s="67"/>
    </row>
    <row r="747" spans="5:5" ht="13.5" customHeight="1" x14ac:dyDescent="0.2">
      <c r="E747" s="67"/>
    </row>
    <row r="748" spans="5:5" ht="13.5" customHeight="1" x14ac:dyDescent="0.2">
      <c r="E748" s="67"/>
    </row>
    <row r="749" spans="5:5" ht="13.5" customHeight="1" x14ac:dyDescent="0.2">
      <c r="E749" s="67"/>
    </row>
    <row r="750" spans="5:5" ht="13.5" customHeight="1" x14ac:dyDescent="0.2">
      <c r="E750" s="67"/>
    </row>
    <row r="751" spans="5:5" ht="13.5" customHeight="1" x14ac:dyDescent="0.2">
      <c r="E751" s="67"/>
    </row>
    <row r="752" spans="5:5" ht="13.5" customHeight="1" x14ac:dyDescent="0.2">
      <c r="E752" s="67"/>
    </row>
    <row r="753" spans="5:5" ht="13.5" customHeight="1" x14ac:dyDescent="0.2">
      <c r="E753" s="67"/>
    </row>
    <row r="754" spans="5:5" ht="13.5" customHeight="1" x14ac:dyDescent="0.2">
      <c r="E754" s="67"/>
    </row>
    <row r="755" spans="5:5" ht="13.5" customHeight="1" x14ac:dyDescent="0.2">
      <c r="E755" s="67"/>
    </row>
    <row r="756" spans="5:5" ht="13.5" customHeight="1" x14ac:dyDescent="0.2">
      <c r="E756" s="67"/>
    </row>
    <row r="757" spans="5:5" ht="13.5" customHeight="1" x14ac:dyDescent="0.2">
      <c r="E757" s="67"/>
    </row>
    <row r="758" spans="5:5" ht="13.5" customHeight="1" x14ac:dyDescent="0.2">
      <c r="E758" s="67"/>
    </row>
    <row r="759" spans="5:5" ht="13.5" customHeight="1" x14ac:dyDescent="0.2">
      <c r="E759" s="67"/>
    </row>
    <row r="760" spans="5:5" ht="13.5" customHeight="1" x14ac:dyDescent="0.2">
      <c r="E760" s="67"/>
    </row>
    <row r="761" spans="5:5" ht="13.5" customHeight="1" x14ac:dyDescent="0.2">
      <c r="E761" s="67"/>
    </row>
    <row r="762" spans="5:5" ht="13.5" customHeight="1" x14ac:dyDescent="0.2">
      <c r="E762" s="67"/>
    </row>
    <row r="763" spans="5:5" ht="13.5" customHeight="1" x14ac:dyDescent="0.2">
      <c r="E763" s="67"/>
    </row>
    <row r="764" spans="5:5" ht="13.5" customHeight="1" x14ac:dyDescent="0.2">
      <c r="E764" s="67"/>
    </row>
    <row r="765" spans="5:5" ht="13.5" customHeight="1" x14ac:dyDescent="0.2">
      <c r="E765" s="67"/>
    </row>
    <row r="766" spans="5:5" ht="13.5" customHeight="1" x14ac:dyDescent="0.2">
      <c r="E766" s="67"/>
    </row>
    <row r="767" spans="5:5" ht="13.5" customHeight="1" x14ac:dyDescent="0.2">
      <c r="E767" s="67"/>
    </row>
    <row r="768" spans="5:5" ht="13.5" customHeight="1" x14ac:dyDescent="0.2">
      <c r="E768" s="67"/>
    </row>
    <row r="769" spans="5:5" ht="13.5" customHeight="1" x14ac:dyDescent="0.2">
      <c r="E769" s="67"/>
    </row>
    <row r="770" spans="5:5" ht="13.5" customHeight="1" x14ac:dyDescent="0.2">
      <c r="E770" s="67"/>
    </row>
    <row r="771" spans="5:5" ht="13.5" customHeight="1" x14ac:dyDescent="0.2">
      <c r="E771" s="67"/>
    </row>
    <row r="772" spans="5:5" ht="13.5" customHeight="1" x14ac:dyDescent="0.2">
      <c r="E772" s="67"/>
    </row>
    <row r="773" spans="5:5" ht="13.5" customHeight="1" x14ac:dyDescent="0.2">
      <c r="E773" s="67"/>
    </row>
    <row r="774" spans="5:5" ht="13.5" customHeight="1" x14ac:dyDescent="0.2">
      <c r="E774" s="67"/>
    </row>
    <row r="775" spans="5:5" ht="13.5" customHeight="1" x14ac:dyDescent="0.2">
      <c r="E775" s="67"/>
    </row>
    <row r="776" spans="5:5" ht="13.5" customHeight="1" x14ac:dyDescent="0.2">
      <c r="E776" s="67"/>
    </row>
    <row r="777" spans="5:5" ht="13.5" customHeight="1" x14ac:dyDescent="0.2">
      <c r="E777" s="67"/>
    </row>
    <row r="778" spans="5:5" ht="13.5" customHeight="1" x14ac:dyDescent="0.2">
      <c r="E778" s="67"/>
    </row>
    <row r="779" spans="5:5" ht="13.5" customHeight="1" x14ac:dyDescent="0.2">
      <c r="E779" s="67"/>
    </row>
    <row r="780" spans="5:5" ht="13.5" customHeight="1" x14ac:dyDescent="0.2">
      <c r="E780" s="67"/>
    </row>
    <row r="781" spans="5:5" ht="13.5" customHeight="1" x14ac:dyDescent="0.2">
      <c r="E781" s="67"/>
    </row>
    <row r="782" spans="5:5" ht="13.5" customHeight="1" x14ac:dyDescent="0.2">
      <c r="E782" s="67"/>
    </row>
    <row r="783" spans="5:5" ht="13.5" customHeight="1" x14ac:dyDescent="0.2">
      <c r="E783" s="67"/>
    </row>
    <row r="784" spans="5:5" ht="13.5" customHeight="1" x14ac:dyDescent="0.2">
      <c r="E784" s="67"/>
    </row>
    <row r="785" spans="5:5" ht="13.5" customHeight="1" x14ac:dyDescent="0.2">
      <c r="E785" s="67"/>
    </row>
    <row r="786" spans="5:5" ht="13.5" customHeight="1" x14ac:dyDescent="0.2">
      <c r="E786" s="67"/>
    </row>
    <row r="787" spans="5:5" ht="13.5" customHeight="1" x14ac:dyDescent="0.2">
      <c r="E787" s="67"/>
    </row>
    <row r="788" spans="5:5" ht="13.5" customHeight="1" x14ac:dyDescent="0.2">
      <c r="E788" s="67"/>
    </row>
    <row r="789" spans="5:5" ht="13.5" customHeight="1" x14ac:dyDescent="0.2">
      <c r="E789" s="67"/>
    </row>
    <row r="790" spans="5:5" ht="13.5" customHeight="1" x14ac:dyDescent="0.2">
      <c r="E790" s="67"/>
    </row>
    <row r="791" spans="5:5" ht="13.5" customHeight="1" x14ac:dyDescent="0.2">
      <c r="E791" s="67"/>
    </row>
    <row r="792" spans="5:5" ht="13.5" customHeight="1" x14ac:dyDescent="0.2">
      <c r="E792" s="67"/>
    </row>
    <row r="793" spans="5:5" ht="13.5" customHeight="1" x14ac:dyDescent="0.2">
      <c r="E793" s="67"/>
    </row>
    <row r="794" spans="5:5" ht="13.5" customHeight="1" x14ac:dyDescent="0.2">
      <c r="E794" s="67"/>
    </row>
    <row r="795" spans="5:5" ht="13.5" customHeight="1" x14ac:dyDescent="0.2">
      <c r="E795" s="67"/>
    </row>
    <row r="796" spans="5:5" ht="13.5" customHeight="1" x14ac:dyDescent="0.2">
      <c r="E796" s="67"/>
    </row>
    <row r="797" spans="5:5" ht="13.5" customHeight="1" x14ac:dyDescent="0.2">
      <c r="E797" s="67"/>
    </row>
    <row r="798" spans="5:5" ht="13.5" customHeight="1" x14ac:dyDescent="0.2">
      <c r="E798" s="67"/>
    </row>
    <row r="799" spans="5:5" ht="13.5" customHeight="1" x14ac:dyDescent="0.2">
      <c r="E799" s="67"/>
    </row>
    <row r="800" spans="5:5" ht="13.5" customHeight="1" x14ac:dyDescent="0.2">
      <c r="E800" s="67"/>
    </row>
    <row r="801" spans="5:5" ht="13.5" customHeight="1" x14ac:dyDescent="0.2">
      <c r="E801" s="67"/>
    </row>
    <row r="802" spans="5:5" ht="13.5" customHeight="1" x14ac:dyDescent="0.2">
      <c r="E802" s="67"/>
    </row>
    <row r="803" spans="5:5" ht="13.5" customHeight="1" x14ac:dyDescent="0.2">
      <c r="E803" s="67"/>
    </row>
    <row r="804" spans="5:5" ht="13.5" customHeight="1" x14ac:dyDescent="0.2">
      <c r="E804" s="67"/>
    </row>
    <row r="805" spans="5:5" ht="13.5" customHeight="1" x14ac:dyDescent="0.2">
      <c r="E805" s="67"/>
    </row>
    <row r="806" spans="5:5" ht="13.5" customHeight="1" x14ac:dyDescent="0.2">
      <c r="E806" s="67"/>
    </row>
    <row r="807" spans="5:5" ht="13.5" customHeight="1" x14ac:dyDescent="0.2">
      <c r="E807" s="67"/>
    </row>
    <row r="808" spans="5:5" ht="13.5" customHeight="1" x14ac:dyDescent="0.2">
      <c r="E808" s="67"/>
    </row>
    <row r="809" spans="5:5" ht="13.5" customHeight="1" x14ac:dyDescent="0.2">
      <c r="E809" s="67"/>
    </row>
    <row r="810" spans="5:5" ht="13.5" customHeight="1" x14ac:dyDescent="0.2">
      <c r="E810" s="67"/>
    </row>
    <row r="811" spans="5:5" ht="13.5" customHeight="1" x14ac:dyDescent="0.2">
      <c r="E811" s="67"/>
    </row>
    <row r="812" spans="5:5" ht="13.5" customHeight="1" x14ac:dyDescent="0.2">
      <c r="E812" s="67"/>
    </row>
    <row r="813" spans="5:5" ht="13.5" customHeight="1" x14ac:dyDescent="0.2">
      <c r="E813" s="67"/>
    </row>
    <row r="814" spans="5:5" ht="13.5" customHeight="1" x14ac:dyDescent="0.2">
      <c r="E814" s="67"/>
    </row>
    <row r="815" spans="5:5" ht="13.5" customHeight="1" x14ac:dyDescent="0.2">
      <c r="E815" s="67"/>
    </row>
    <row r="816" spans="5:5" ht="13.5" customHeight="1" x14ac:dyDescent="0.2">
      <c r="E816" s="67"/>
    </row>
    <row r="817" spans="5:5" ht="13.5" customHeight="1" x14ac:dyDescent="0.2">
      <c r="E817" s="67"/>
    </row>
    <row r="818" spans="5:5" ht="13.5" customHeight="1" x14ac:dyDescent="0.2">
      <c r="E818" s="67"/>
    </row>
    <row r="819" spans="5:5" ht="13.5" customHeight="1" x14ac:dyDescent="0.2">
      <c r="E819" s="67"/>
    </row>
    <row r="820" spans="5:5" ht="13.5" customHeight="1" x14ac:dyDescent="0.2">
      <c r="E820" s="67"/>
    </row>
    <row r="821" spans="5:5" ht="13.5" customHeight="1" x14ac:dyDescent="0.2">
      <c r="E821" s="67"/>
    </row>
    <row r="822" spans="5:5" ht="13.5" customHeight="1" x14ac:dyDescent="0.2">
      <c r="E822" s="67"/>
    </row>
    <row r="823" spans="5:5" ht="13.5" customHeight="1" x14ac:dyDescent="0.2">
      <c r="E823" s="67"/>
    </row>
    <row r="824" spans="5:5" ht="13.5" customHeight="1" x14ac:dyDescent="0.2">
      <c r="E824" s="67"/>
    </row>
    <row r="825" spans="5:5" ht="13.5" customHeight="1" x14ac:dyDescent="0.2">
      <c r="E825" s="67"/>
    </row>
    <row r="826" spans="5:5" ht="13.5" customHeight="1" x14ac:dyDescent="0.2">
      <c r="E826" s="67"/>
    </row>
    <row r="827" spans="5:5" ht="13.5" customHeight="1" x14ac:dyDescent="0.2">
      <c r="E827" s="67"/>
    </row>
    <row r="828" spans="5:5" ht="13.5" customHeight="1" x14ac:dyDescent="0.2">
      <c r="E828" s="67"/>
    </row>
    <row r="829" spans="5:5" ht="13.5" customHeight="1" x14ac:dyDescent="0.2">
      <c r="E829" s="67"/>
    </row>
    <row r="830" spans="5:5" ht="13.5" customHeight="1" x14ac:dyDescent="0.2">
      <c r="E830" s="67"/>
    </row>
    <row r="831" spans="5:5" ht="13.5" customHeight="1" x14ac:dyDescent="0.2">
      <c r="E831" s="67"/>
    </row>
    <row r="832" spans="5:5" ht="13.5" customHeight="1" x14ac:dyDescent="0.2">
      <c r="E832" s="67"/>
    </row>
    <row r="833" spans="5:5" ht="13.5" customHeight="1" x14ac:dyDescent="0.2">
      <c r="E833" s="67"/>
    </row>
    <row r="834" spans="5:5" ht="13.5" customHeight="1" x14ac:dyDescent="0.2">
      <c r="E834" s="67"/>
    </row>
    <row r="835" spans="5:5" ht="13.5" customHeight="1" x14ac:dyDescent="0.2">
      <c r="E835" s="67"/>
    </row>
    <row r="836" spans="5:5" ht="13.5" customHeight="1" x14ac:dyDescent="0.2">
      <c r="E836" s="67"/>
    </row>
    <row r="837" spans="5:5" ht="13.5" customHeight="1" x14ac:dyDescent="0.2">
      <c r="E837" s="67"/>
    </row>
    <row r="838" spans="5:5" ht="13.5" customHeight="1" x14ac:dyDescent="0.2">
      <c r="E838" s="67"/>
    </row>
    <row r="839" spans="5:5" ht="13.5" customHeight="1" x14ac:dyDescent="0.2">
      <c r="E839" s="67"/>
    </row>
    <row r="840" spans="5:5" ht="13.5" customHeight="1" x14ac:dyDescent="0.2">
      <c r="E840" s="67"/>
    </row>
    <row r="841" spans="5:5" ht="13.5" customHeight="1" x14ac:dyDescent="0.2">
      <c r="E841" s="67"/>
    </row>
    <row r="842" spans="5:5" ht="13.5" customHeight="1" x14ac:dyDescent="0.2">
      <c r="E842" s="67"/>
    </row>
    <row r="843" spans="5:5" ht="13.5" customHeight="1" x14ac:dyDescent="0.2">
      <c r="E843" s="67"/>
    </row>
    <row r="844" spans="5:5" ht="13.5" customHeight="1" x14ac:dyDescent="0.2">
      <c r="E844" s="67"/>
    </row>
    <row r="845" spans="5:5" ht="13.5" customHeight="1" x14ac:dyDescent="0.2">
      <c r="E845" s="67"/>
    </row>
    <row r="846" spans="5:5" ht="13.5" customHeight="1" x14ac:dyDescent="0.2">
      <c r="E846" s="67"/>
    </row>
    <row r="847" spans="5:5" ht="13.5" customHeight="1" x14ac:dyDescent="0.2">
      <c r="E847" s="67"/>
    </row>
    <row r="848" spans="5:5" ht="13.5" customHeight="1" x14ac:dyDescent="0.2">
      <c r="E848" s="67"/>
    </row>
    <row r="849" spans="5:5" ht="13.5" customHeight="1" x14ac:dyDescent="0.2">
      <c r="E849" s="67"/>
    </row>
    <row r="850" spans="5:5" ht="13.5" customHeight="1" x14ac:dyDescent="0.2">
      <c r="E850" s="67"/>
    </row>
    <row r="851" spans="5:5" ht="13.5" customHeight="1" x14ac:dyDescent="0.2">
      <c r="E851" s="67"/>
    </row>
    <row r="852" spans="5:5" ht="13.5" customHeight="1" x14ac:dyDescent="0.2">
      <c r="E852" s="67"/>
    </row>
    <row r="853" spans="5:5" ht="13.5" customHeight="1" x14ac:dyDescent="0.2">
      <c r="E853" s="67"/>
    </row>
    <row r="854" spans="5:5" ht="13.5" customHeight="1" x14ac:dyDescent="0.2">
      <c r="E854" s="67"/>
    </row>
    <row r="855" spans="5:5" ht="13.5" customHeight="1" x14ac:dyDescent="0.2">
      <c r="E855" s="67"/>
    </row>
    <row r="856" spans="5:5" ht="13.5" customHeight="1" x14ac:dyDescent="0.2">
      <c r="E856" s="67"/>
    </row>
    <row r="857" spans="5:5" ht="13.5" customHeight="1" x14ac:dyDescent="0.2">
      <c r="E857" s="67"/>
    </row>
    <row r="858" spans="5:5" ht="13.5" customHeight="1" x14ac:dyDescent="0.2">
      <c r="E858" s="67"/>
    </row>
    <row r="859" spans="5:5" ht="13.5" customHeight="1" x14ac:dyDescent="0.2">
      <c r="E859" s="67"/>
    </row>
    <row r="860" spans="5:5" ht="13.5" customHeight="1" x14ac:dyDescent="0.2">
      <c r="E860" s="67"/>
    </row>
    <row r="861" spans="5:5" ht="13.5" customHeight="1" x14ac:dyDescent="0.2">
      <c r="E861" s="67"/>
    </row>
    <row r="862" spans="5:5" ht="13.5" customHeight="1" x14ac:dyDescent="0.2">
      <c r="E862" s="67"/>
    </row>
    <row r="863" spans="5:5" ht="13.5" customHeight="1" x14ac:dyDescent="0.2">
      <c r="E863" s="67"/>
    </row>
    <row r="864" spans="5:5" ht="13.5" customHeight="1" x14ac:dyDescent="0.2">
      <c r="E864" s="67"/>
    </row>
    <row r="865" spans="5:5" ht="13.5" customHeight="1" x14ac:dyDescent="0.2">
      <c r="E865" s="67"/>
    </row>
    <row r="866" spans="5:5" ht="13.5" customHeight="1" x14ac:dyDescent="0.2">
      <c r="E866" s="67"/>
    </row>
    <row r="867" spans="5:5" ht="13.5" customHeight="1" x14ac:dyDescent="0.2">
      <c r="E867" s="67"/>
    </row>
    <row r="868" spans="5:5" ht="13.5" customHeight="1" x14ac:dyDescent="0.2">
      <c r="E868" s="67"/>
    </row>
    <row r="869" spans="5:5" ht="13.5" customHeight="1" x14ac:dyDescent="0.2">
      <c r="E869" s="67"/>
    </row>
    <row r="870" spans="5:5" ht="13.5" customHeight="1" x14ac:dyDescent="0.2">
      <c r="E870" s="67"/>
    </row>
    <row r="871" spans="5:5" ht="13.5" customHeight="1" x14ac:dyDescent="0.2">
      <c r="E871" s="67"/>
    </row>
    <row r="872" spans="5:5" ht="13.5" customHeight="1" x14ac:dyDescent="0.2">
      <c r="E872" s="67"/>
    </row>
    <row r="873" spans="5:5" ht="13.5" customHeight="1" x14ac:dyDescent="0.2">
      <c r="E873" s="67"/>
    </row>
    <row r="874" spans="5:5" ht="13.5" customHeight="1" x14ac:dyDescent="0.2">
      <c r="E874" s="67"/>
    </row>
    <row r="875" spans="5:5" ht="13.5" customHeight="1" x14ac:dyDescent="0.2">
      <c r="E875" s="67"/>
    </row>
    <row r="876" spans="5:5" ht="13.5" customHeight="1" x14ac:dyDescent="0.2">
      <c r="E876" s="67"/>
    </row>
    <row r="877" spans="5:5" ht="13.5" customHeight="1" x14ac:dyDescent="0.2">
      <c r="E877" s="67"/>
    </row>
    <row r="878" spans="5:5" ht="13.5" customHeight="1" x14ac:dyDescent="0.2">
      <c r="E878" s="67"/>
    </row>
    <row r="879" spans="5:5" ht="13.5" customHeight="1" x14ac:dyDescent="0.2">
      <c r="E879" s="67"/>
    </row>
    <row r="880" spans="5:5" ht="13.5" customHeight="1" x14ac:dyDescent="0.2">
      <c r="E880" s="67"/>
    </row>
    <row r="881" spans="5:5" ht="13.5" customHeight="1" x14ac:dyDescent="0.2">
      <c r="E881" s="67"/>
    </row>
    <row r="882" spans="5:5" ht="13.5" customHeight="1" x14ac:dyDescent="0.2">
      <c r="E882" s="67"/>
    </row>
    <row r="883" spans="5:5" ht="13.5" customHeight="1" x14ac:dyDescent="0.2">
      <c r="E883" s="67"/>
    </row>
    <row r="884" spans="5:5" ht="13.5" customHeight="1" x14ac:dyDescent="0.2">
      <c r="E884" s="67"/>
    </row>
    <row r="885" spans="5:5" ht="13.5" customHeight="1" x14ac:dyDescent="0.2">
      <c r="E885" s="67"/>
    </row>
    <row r="886" spans="5:5" ht="13.5" customHeight="1" x14ac:dyDescent="0.2">
      <c r="E886" s="67"/>
    </row>
    <row r="887" spans="5:5" ht="13.5" customHeight="1" x14ac:dyDescent="0.2">
      <c r="E887" s="67"/>
    </row>
    <row r="888" spans="5:5" ht="13.5" customHeight="1" x14ac:dyDescent="0.2">
      <c r="E888" s="67"/>
    </row>
    <row r="889" spans="5:5" ht="13.5" customHeight="1" x14ac:dyDescent="0.2">
      <c r="E889" s="67"/>
    </row>
    <row r="890" spans="5:5" ht="13.5" customHeight="1" x14ac:dyDescent="0.2">
      <c r="E890" s="67"/>
    </row>
    <row r="891" spans="5:5" ht="13.5" customHeight="1" x14ac:dyDescent="0.2">
      <c r="E891" s="67"/>
    </row>
    <row r="892" spans="5:5" ht="13.5" customHeight="1" x14ac:dyDescent="0.2">
      <c r="E892" s="67"/>
    </row>
    <row r="893" spans="5:5" ht="13.5" customHeight="1" x14ac:dyDescent="0.2">
      <c r="E893" s="67"/>
    </row>
    <row r="894" spans="5:5" ht="13.5" customHeight="1" x14ac:dyDescent="0.2">
      <c r="E894" s="67"/>
    </row>
    <row r="895" spans="5:5" ht="13.5" customHeight="1" x14ac:dyDescent="0.2">
      <c r="E895" s="67"/>
    </row>
    <row r="896" spans="5:5" ht="13.5" customHeight="1" x14ac:dyDescent="0.2">
      <c r="E896" s="67"/>
    </row>
    <row r="897" spans="5:5" ht="13.5" customHeight="1" x14ac:dyDescent="0.2">
      <c r="E897" s="67"/>
    </row>
    <row r="898" spans="5:5" ht="13.5" customHeight="1" x14ac:dyDescent="0.2">
      <c r="E898" s="67"/>
    </row>
    <row r="899" spans="5:5" ht="13.5" customHeight="1" x14ac:dyDescent="0.2">
      <c r="E899" s="67"/>
    </row>
    <row r="900" spans="5:5" ht="13.5" customHeight="1" x14ac:dyDescent="0.2">
      <c r="E900" s="67"/>
    </row>
    <row r="901" spans="5:5" ht="13.5" customHeight="1" x14ac:dyDescent="0.2">
      <c r="E901" s="67"/>
    </row>
    <row r="902" spans="5:5" ht="13.5" customHeight="1" x14ac:dyDescent="0.2">
      <c r="E902" s="67"/>
    </row>
    <row r="903" spans="5:5" ht="13.5" customHeight="1" x14ac:dyDescent="0.2">
      <c r="E903" s="67"/>
    </row>
    <row r="904" spans="5:5" ht="13.5" customHeight="1" x14ac:dyDescent="0.2">
      <c r="E904" s="67"/>
    </row>
    <row r="905" spans="5:5" ht="13.5" customHeight="1" x14ac:dyDescent="0.2">
      <c r="E905" s="67"/>
    </row>
    <row r="906" spans="5:5" ht="13.5" customHeight="1" x14ac:dyDescent="0.2">
      <c r="E906" s="67"/>
    </row>
    <row r="907" spans="5:5" ht="13.5" customHeight="1" x14ac:dyDescent="0.2">
      <c r="E907" s="67"/>
    </row>
    <row r="908" spans="5:5" ht="13.5" customHeight="1" x14ac:dyDescent="0.2">
      <c r="E908" s="67"/>
    </row>
    <row r="909" spans="5:5" ht="13.5" customHeight="1" x14ac:dyDescent="0.2">
      <c r="E909" s="67"/>
    </row>
    <row r="910" spans="5:5" ht="13.5" customHeight="1" x14ac:dyDescent="0.2">
      <c r="E910" s="67"/>
    </row>
    <row r="911" spans="5:5" ht="13.5" customHeight="1" x14ac:dyDescent="0.2">
      <c r="E911" s="67"/>
    </row>
    <row r="912" spans="5:5" ht="13.5" customHeight="1" x14ac:dyDescent="0.2">
      <c r="E912" s="67"/>
    </row>
    <row r="913" spans="5:5" ht="13.5" customHeight="1" x14ac:dyDescent="0.2">
      <c r="E913" s="67"/>
    </row>
    <row r="914" spans="5:5" ht="13.5" customHeight="1" x14ac:dyDescent="0.2">
      <c r="E914" s="67"/>
    </row>
    <row r="915" spans="5:5" ht="13.5" customHeight="1" x14ac:dyDescent="0.2">
      <c r="E915" s="67"/>
    </row>
    <row r="916" spans="5:5" ht="13.5" customHeight="1" x14ac:dyDescent="0.2">
      <c r="E916" s="67"/>
    </row>
    <row r="917" spans="5:5" ht="13.5" customHeight="1" x14ac:dyDescent="0.2">
      <c r="E917" s="67"/>
    </row>
    <row r="918" spans="5:5" ht="13.5" customHeight="1" x14ac:dyDescent="0.2">
      <c r="E918" s="67"/>
    </row>
    <row r="919" spans="5:5" ht="13.5" customHeight="1" x14ac:dyDescent="0.2">
      <c r="E919" s="67"/>
    </row>
    <row r="920" spans="5:5" ht="13.5" customHeight="1" x14ac:dyDescent="0.2">
      <c r="E920" s="67"/>
    </row>
    <row r="921" spans="5:5" ht="13.5" customHeight="1" x14ac:dyDescent="0.2">
      <c r="E921" s="67"/>
    </row>
    <row r="922" spans="5:5" ht="13.5" customHeight="1" x14ac:dyDescent="0.2">
      <c r="E922" s="67"/>
    </row>
    <row r="923" spans="5:5" ht="13.5" customHeight="1" x14ac:dyDescent="0.2">
      <c r="E923" s="67"/>
    </row>
    <row r="924" spans="5:5" ht="13.5" customHeight="1" x14ac:dyDescent="0.2">
      <c r="E924" s="67"/>
    </row>
    <row r="925" spans="5:5" ht="13.5" customHeight="1" x14ac:dyDescent="0.2">
      <c r="E925" s="67"/>
    </row>
    <row r="926" spans="5:5" ht="13.5" customHeight="1" x14ac:dyDescent="0.2">
      <c r="E926" s="67"/>
    </row>
    <row r="927" spans="5:5" ht="13.5" customHeight="1" x14ac:dyDescent="0.2">
      <c r="E927" s="67"/>
    </row>
    <row r="928" spans="5:5" ht="13.5" customHeight="1" x14ac:dyDescent="0.2">
      <c r="E928" s="67"/>
    </row>
    <row r="929" spans="5:5" ht="13.5" customHeight="1" x14ac:dyDescent="0.2">
      <c r="E929" s="67"/>
    </row>
    <row r="930" spans="5:5" ht="13.5" customHeight="1" x14ac:dyDescent="0.2">
      <c r="E930" s="67"/>
    </row>
    <row r="931" spans="5:5" ht="13.5" customHeight="1" x14ac:dyDescent="0.2">
      <c r="E931" s="67"/>
    </row>
    <row r="932" spans="5:5" ht="13.5" customHeight="1" x14ac:dyDescent="0.2">
      <c r="E932" s="67"/>
    </row>
    <row r="933" spans="5:5" ht="13.5" customHeight="1" x14ac:dyDescent="0.2">
      <c r="E933" s="67"/>
    </row>
    <row r="934" spans="5:5" ht="13.5" customHeight="1" x14ac:dyDescent="0.2">
      <c r="E934" s="67"/>
    </row>
    <row r="935" spans="5:5" ht="13.5" customHeight="1" x14ac:dyDescent="0.2">
      <c r="E935" s="67"/>
    </row>
    <row r="936" spans="5:5" ht="13.5" customHeight="1" x14ac:dyDescent="0.2">
      <c r="E936" s="67"/>
    </row>
    <row r="937" spans="5:5" ht="13.5" customHeight="1" x14ac:dyDescent="0.2">
      <c r="E937" s="67"/>
    </row>
    <row r="938" spans="5:5" ht="13.5" customHeight="1" x14ac:dyDescent="0.2">
      <c r="E938" s="67"/>
    </row>
    <row r="939" spans="5:5" ht="13.5" customHeight="1" x14ac:dyDescent="0.2">
      <c r="E939" s="67"/>
    </row>
    <row r="940" spans="5:5" ht="13.5" customHeight="1" x14ac:dyDescent="0.2">
      <c r="E940" s="67"/>
    </row>
    <row r="941" spans="5:5" ht="13.5" customHeight="1" x14ac:dyDescent="0.2">
      <c r="E941" s="67"/>
    </row>
    <row r="942" spans="5:5" ht="13.5" customHeight="1" x14ac:dyDescent="0.2">
      <c r="E942" s="67"/>
    </row>
    <row r="943" spans="5:5" ht="13.5" customHeight="1" x14ac:dyDescent="0.2">
      <c r="E943" s="67"/>
    </row>
    <row r="944" spans="5:5" ht="13.5" customHeight="1" x14ac:dyDescent="0.2">
      <c r="E944" s="67"/>
    </row>
    <row r="945" spans="5:5" ht="13.5" customHeight="1" x14ac:dyDescent="0.2">
      <c r="E945" s="67"/>
    </row>
    <row r="946" spans="5:5" ht="13.5" customHeight="1" x14ac:dyDescent="0.2">
      <c r="E946" s="67"/>
    </row>
    <row r="947" spans="5:5" ht="13.5" customHeight="1" x14ac:dyDescent="0.2">
      <c r="E947" s="67"/>
    </row>
    <row r="948" spans="5:5" ht="13.5" customHeight="1" x14ac:dyDescent="0.2">
      <c r="E948" s="67"/>
    </row>
    <row r="949" spans="5:5" ht="13.5" customHeight="1" x14ac:dyDescent="0.2">
      <c r="E949" s="67"/>
    </row>
    <row r="950" spans="5:5" ht="13.5" customHeight="1" x14ac:dyDescent="0.2">
      <c r="E950" s="67"/>
    </row>
    <row r="951" spans="5:5" ht="13.5" customHeight="1" x14ac:dyDescent="0.2">
      <c r="E951" s="67"/>
    </row>
    <row r="952" spans="5:5" ht="13.5" customHeight="1" x14ac:dyDescent="0.2">
      <c r="E952" s="67"/>
    </row>
    <row r="953" spans="5:5" ht="13.5" customHeight="1" x14ac:dyDescent="0.2">
      <c r="E953" s="67"/>
    </row>
    <row r="954" spans="5:5" ht="13.5" customHeight="1" x14ac:dyDescent="0.2">
      <c r="E954" s="67"/>
    </row>
    <row r="955" spans="5:5" ht="13.5" customHeight="1" x14ac:dyDescent="0.2">
      <c r="E955" s="67"/>
    </row>
    <row r="956" spans="5:5" ht="13.5" customHeight="1" x14ac:dyDescent="0.2">
      <c r="E956" s="67"/>
    </row>
    <row r="957" spans="5:5" ht="13.5" customHeight="1" x14ac:dyDescent="0.2">
      <c r="E957" s="67"/>
    </row>
    <row r="958" spans="5:5" ht="13.5" customHeight="1" x14ac:dyDescent="0.2">
      <c r="E958" s="67"/>
    </row>
    <row r="959" spans="5:5" ht="13.5" customHeight="1" x14ac:dyDescent="0.2">
      <c r="E959" s="67"/>
    </row>
    <row r="960" spans="5:5" ht="13.5" customHeight="1" x14ac:dyDescent="0.2">
      <c r="E960" s="67"/>
    </row>
    <row r="961" spans="5:5" ht="13.5" customHeight="1" x14ac:dyDescent="0.2">
      <c r="E961" s="67"/>
    </row>
    <row r="962" spans="5:5" ht="13.5" customHeight="1" x14ac:dyDescent="0.2">
      <c r="E962" s="67"/>
    </row>
    <row r="963" spans="5:5" ht="13.5" customHeight="1" x14ac:dyDescent="0.2">
      <c r="E963" s="67"/>
    </row>
    <row r="964" spans="5:5" ht="13.5" customHeight="1" x14ac:dyDescent="0.2">
      <c r="E964" s="67"/>
    </row>
    <row r="965" spans="5:5" ht="13.5" customHeight="1" x14ac:dyDescent="0.2">
      <c r="E965" s="67"/>
    </row>
    <row r="966" spans="5:5" ht="13.5" customHeight="1" x14ac:dyDescent="0.2">
      <c r="E966" s="67"/>
    </row>
    <row r="967" spans="5:5" ht="13.5" customHeight="1" x14ac:dyDescent="0.2">
      <c r="E967" s="67"/>
    </row>
    <row r="968" spans="5:5" ht="13.5" customHeight="1" x14ac:dyDescent="0.2">
      <c r="E968" s="67"/>
    </row>
    <row r="969" spans="5:5" ht="13.5" customHeight="1" x14ac:dyDescent="0.2">
      <c r="E969" s="67"/>
    </row>
    <row r="970" spans="5:5" ht="13.5" customHeight="1" x14ac:dyDescent="0.2">
      <c r="E970" s="67"/>
    </row>
    <row r="971" spans="5:5" ht="13.5" customHeight="1" x14ac:dyDescent="0.2">
      <c r="E971" s="67"/>
    </row>
    <row r="972" spans="5:5" ht="13.5" customHeight="1" x14ac:dyDescent="0.2">
      <c r="E972" s="67"/>
    </row>
    <row r="973" spans="5:5" ht="13.5" customHeight="1" x14ac:dyDescent="0.2">
      <c r="E973" s="67"/>
    </row>
    <row r="974" spans="5:5" ht="13.5" customHeight="1" x14ac:dyDescent="0.2">
      <c r="E974" s="67"/>
    </row>
    <row r="975" spans="5:5" ht="13.5" customHeight="1" x14ac:dyDescent="0.2">
      <c r="E975" s="67"/>
    </row>
    <row r="976" spans="5:5" ht="13.5" customHeight="1" x14ac:dyDescent="0.2">
      <c r="E976" s="67"/>
    </row>
    <row r="977" spans="5:5" ht="13.5" customHeight="1" x14ac:dyDescent="0.2">
      <c r="E977" s="67"/>
    </row>
    <row r="978" spans="5:5" ht="13.5" customHeight="1" x14ac:dyDescent="0.2">
      <c r="E978" s="67"/>
    </row>
    <row r="979" spans="5:5" ht="13.5" customHeight="1" x14ac:dyDescent="0.2">
      <c r="E979" s="67"/>
    </row>
    <row r="980" spans="5:5" ht="13.5" customHeight="1" x14ac:dyDescent="0.2">
      <c r="E980" s="67"/>
    </row>
    <row r="981" spans="5:5" ht="13.5" customHeight="1" x14ac:dyDescent="0.2">
      <c r="E981" s="67"/>
    </row>
    <row r="982" spans="5:5" ht="13.5" customHeight="1" x14ac:dyDescent="0.2">
      <c r="E982" s="67"/>
    </row>
    <row r="983" spans="5:5" ht="13.5" customHeight="1" x14ac:dyDescent="0.2">
      <c r="E983" s="67"/>
    </row>
    <row r="984" spans="5:5" ht="13.5" customHeight="1" x14ac:dyDescent="0.2">
      <c r="E984" s="67"/>
    </row>
    <row r="985" spans="5:5" ht="13.5" customHeight="1" x14ac:dyDescent="0.2">
      <c r="E985" s="67"/>
    </row>
    <row r="986" spans="5:5" ht="13.5" customHeight="1" x14ac:dyDescent="0.2">
      <c r="E986" s="67"/>
    </row>
    <row r="987" spans="5:5" ht="13.5" customHeight="1" x14ac:dyDescent="0.2">
      <c r="E987" s="67"/>
    </row>
    <row r="988" spans="5:5" ht="13.5" customHeight="1" x14ac:dyDescent="0.2">
      <c r="E988" s="67"/>
    </row>
    <row r="989" spans="5:5" ht="13.5" customHeight="1" x14ac:dyDescent="0.2">
      <c r="E989" s="67"/>
    </row>
    <row r="990" spans="5:5" ht="13.5" customHeight="1" x14ac:dyDescent="0.2">
      <c r="E990" s="67"/>
    </row>
    <row r="991" spans="5:5" ht="13.5" customHeight="1" x14ac:dyDescent="0.2">
      <c r="E991" s="67"/>
    </row>
    <row r="992" spans="5:5" ht="13.5" customHeight="1" x14ac:dyDescent="0.2">
      <c r="E992" s="67"/>
    </row>
    <row r="993" spans="5:5" ht="13.5" customHeight="1" x14ac:dyDescent="0.2">
      <c r="E993" s="67"/>
    </row>
    <row r="994" spans="5:5" ht="13.5" customHeight="1" x14ac:dyDescent="0.2">
      <c r="E994" s="67"/>
    </row>
    <row r="995" spans="5:5" ht="13.5" customHeight="1" x14ac:dyDescent="0.2">
      <c r="E995" s="67"/>
    </row>
    <row r="996" spans="5:5" ht="13.5" customHeight="1" x14ac:dyDescent="0.2">
      <c r="E996" s="67"/>
    </row>
    <row r="997" spans="5:5" ht="13.5" customHeight="1" x14ac:dyDescent="0.2">
      <c r="E997" s="67"/>
    </row>
    <row r="998" spans="5:5" ht="13.5" customHeight="1" x14ac:dyDescent="0.2">
      <c r="E998" s="67"/>
    </row>
    <row r="999" spans="5:5" ht="13.5" customHeight="1" x14ac:dyDescent="0.2">
      <c r="E999" s="67"/>
    </row>
    <row r="1000" spans="5:5" ht="13.5" customHeight="1" x14ac:dyDescent="0.2">
      <c r="E1000" s="67"/>
    </row>
  </sheetData>
  <autoFilter ref="I1:I1000" xr:uid="{00000000-0009-0000-0000-000008000000}"/>
  <conditionalFormatting sqref="B59:B60">
    <cfRule type="cellIs" dxfId="0" priority="1" operator="lessThan">
      <formula>45108</formula>
    </cfRule>
  </conditionalFormatting>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998"/>
  <sheetViews>
    <sheetView rightToLeft="1" workbookViewId="0"/>
  </sheetViews>
  <sheetFormatPr defaultColWidth="12.625" defaultRowHeight="15" customHeight="1" x14ac:dyDescent="0.2"/>
  <cols>
    <col min="1" max="1" width="8.625" customWidth="1"/>
    <col min="2" max="2" width="10.625" customWidth="1"/>
    <col min="3" max="3" width="11.125" customWidth="1"/>
    <col min="4" max="26" width="8.625" customWidth="1"/>
  </cols>
  <sheetData>
    <row r="1" spans="1:4" ht="13.5" customHeight="1" x14ac:dyDescent="0.25">
      <c r="A1" s="144" t="s">
        <v>470</v>
      </c>
      <c r="B1" s="144" t="s">
        <v>4000</v>
      </c>
      <c r="C1" s="144" t="s">
        <v>4001</v>
      </c>
      <c r="D1" s="144" t="s">
        <v>4002</v>
      </c>
    </row>
    <row r="2" spans="1:4" ht="13.5" customHeight="1" x14ac:dyDescent="0.2">
      <c r="A2" s="29">
        <v>2</v>
      </c>
      <c r="B2" s="29">
        <v>45366702</v>
      </c>
      <c r="C2" s="29" t="s">
        <v>3884</v>
      </c>
      <c r="D2" s="29" t="s">
        <v>4003</v>
      </c>
    </row>
    <row r="3" spans="1:4" ht="13.5" customHeight="1" x14ac:dyDescent="0.2">
      <c r="A3" s="29">
        <v>4</v>
      </c>
      <c r="B3" s="29">
        <v>89072103</v>
      </c>
      <c r="C3" s="29" t="s">
        <v>1180</v>
      </c>
      <c r="D3" s="29" t="s">
        <v>4003</v>
      </c>
    </row>
    <row r="4" spans="1:4" ht="13.5" customHeight="1" x14ac:dyDescent="0.2">
      <c r="A4" s="29">
        <v>5</v>
      </c>
      <c r="B4" s="14">
        <v>59321401</v>
      </c>
      <c r="C4" s="29" t="s">
        <v>4004</v>
      </c>
      <c r="D4" s="29" t="s">
        <v>4005</v>
      </c>
    </row>
    <row r="5" spans="1:4" ht="13.5" customHeight="1" x14ac:dyDescent="0.2">
      <c r="A5" s="29">
        <v>6</v>
      </c>
      <c r="B5" s="29"/>
      <c r="C5" s="29"/>
      <c r="D5" s="29"/>
    </row>
    <row r="6" spans="1:4" ht="13.5" customHeight="1" x14ac:dyDescent="0.2"/>
    <row r="7" spans="1:4" ht="13.5" customHeight="1" x14ac:dyDescent="0.2"/>
    <row r="8" spans="1:4" ht="13.5" customHeight="1" x14ac:dyDescent="0.2"/>
    <row r="9" spans="1:4" ht="13.5" customHeight="1" x14ac:dyDescent="0.2"/>
    <row r="10" spans="1:4" ht="13.5" customHeight="1" x14ac:dyDescent="0.2"/>
    <row r="11" spans="1:4" ht="13.5" customHeight="1" x14ac:dyDescent="0.2"/>
    <row r="12" spans="1:4" ht="13.5" customHeight="1" x14ac:dyDescent="0.2"/>
    <row r="13" spans="1:4" ht="13.5" customHeight="1" x14ac:dyDescent="0.2"/>
    <row r="14" spans="1:4" ht="13.5" customHeight="1" x14ac:dyDescent="0.2"/>
    <row r="15" spans="1:4" ht="13.5" customHeight="1" x14ac:dyDescent="0.2"/>
    <row r="16" spans="1:4" ht="13.5" customHeight="1" x14ac:dyDescent="0.2"/>
    <row r="17" ht="13.5" customHeight="1" x14ac:dyDescent="0.2"/>
    <row r="18" ht="13.5" customHeight="1" x14ac:dyDescent="0.2"/>
    <row r="19" ht="13.5" customHeight="1" x14ac:dyDescent="0.2"/>
    <row r="20" ht="13.5" customHeight="1" x14ac:dyDescent="0.2"/>
    <row r="21" ht="13.5" customHeight="1" x14ac:dyDescent="0.2"/>
    <row r="22" ht="13.5" customHeight="1" x14ac:dyDescent="0.2"/>
    <row r="23" ht="13.5" customHeight="1" x14ac:dyDescent="0.2"/>
    <row r="24" ht="13.5" customHeight="1" x14ac:dyDescent="0.2"/>
    <row r="25" ht="13.5" customHeight="1" x14ac:dyDescent="0.2"/>
    <row r="26" ht="13.5" customHeight="1" x14ac:dyDescent="0.2"/>
    <row r="27" ht="13.5" customHeight="1" x14ac:dyDescent="0.2"/>
    <row r="28" ht="13.5" customHeight="1" x14ac:dyDescent="0.2"/>
    <row r="29" ht="13.5" customHeight="1" x14ac:dyDescent="0.2"/>
    <row r="30" ht="13.5" customHeight="1" x14ac:dyDescent="0.2"/>
    <row r="31" ht="13.5" customHeight="1" x14ac:dyDescent="0.2"/>
    <row r="32"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000"/>
  <sheetViews>
    <sheetView rightToLeft="1" workbookViewId="0"/>
  </sheetViews>
  <sheetFormatPr defaultColWidth="12.625" defaultRowHeight="15" customHeight="1" x14ac:dyDescent="0.2"/>
  <cols>
    <col min="1" max="1" width="8.75" customWidth="1"/>
    <col min="2" max="5" width="8.625" customWidth="1"/>
    <col min="6" max="6" width="8.75" customWidth="1"/>
    <col min="7" max="10" width="8.625" customWidth="1"/>
    <col min="11" max="11" width="4" customWidth="1"/>
    <col min="12" max="12" width="1.375" customWidth="1"/>
    <col min="13" max="13" width="3.5" customWidth="1"/>
    <col min="14" max="15" width="8.625" customWidth="1"/>
    <col min="16" max="16" width="14.375" customWidth="1"/>
  </cols>
  <sheetData>
    <row r="1" spans="1:16" ht="13.5" customHeight="1" x14ac:dyDescent="0.2">
      <c r="A1" s="36"/>
    </row>
    <row r="2" spans="1:16" ht="13.5" customHeight="1" x14ac:dyDescent="0.2">
      <c r="A2" s="36"/>
    </row>
    <row r="3" spans="1:16" ht="13.5" customHeight="1" x14ac:dyDescent="0.2">
      <c r="A3" s="36"/>
    </row>
    <row r="4" spans="1:16" ht="13.5" customHeight="1" x14ac:dyDescent="0.2">
      <c r="A4" s="36"/>
    </row>
    <row r="5" spans="1:16" ht="13.5" customHeight="1" x14ac:dyDescent="0.2">
      <c r="A5" s="36"/>
    </row>
    <row r="6" spans="1:16" ht="13.5" customHeight="1" x14ac:dyDescent="0.2">
      <c r="A6" s="36"/>
    </row>
    <row r="7" spans="1:16" ht="13.5" customHeight="1" x14ac:dyDescent="0.2">
      <c r="A7" s="36"/>
      <c r="P7" s="74">
        <v>69014004</v>
      </c>
    </row>
    <row r="8" spans="1:16" ht="13.5" customHeight="1" x14ac:dyDescent="0.2">
      <c r="A8" s="36"/>
      <c r="P8" s="74">
        <v>79856703</v>
      </c>
    </row>
    <row r="9" spans="1:16" ht="13.5" customHeight="1" x14ac:dyDescent="0.2">
      <c r="A9" s="36"/>
      <c r="P9" s="74">
        <v>81259503</v>
      </c>
    </row>
    <row r="10" spans="1:16" ht="13.5" customHeight="1" x14ac:dyDescent="0.2">
      <c r="A10" s="36"/>
      <c r="P10" s="74">
        <v>70499603</v>
      </c>
    </row>
    <row r="11" spans="1:16" ht="13.5" customHeight="1" x14ac:dyDescent="0.2">
      <c r="A11" s="36"/>
      <c r="P11" s="74">
        <v>79922503</v>
      </c>
    </row>
    <row r="12" spans="1:16" ht="13.5" customHeight="1" x14ac:dyDescent="0.2">
      <c r="A12" s="36"/>
      <c r="P12" s="74">
        <v>66259303</v>
      </c>
    </row>
    <row r="13" spans="1:16" ht="13.5" customHeight="1" x14ac:dyDescent="0.2">
      <c r="A13" s="36"/>
      <c r="P13" s="74">
        <v>55223204</v>
      </c>
    </row>
    <row r="14" spans="1:16" ht="13.5" customHeight="1" x14ac:dyDescent="0.2">
      <c r="A14" s="36"/>
      <c r="P14" s="74">
        <v>42935204</v>
      </c>
    </row>
    <row r="15" spans="1:16" ht="13.5" customHeight="1" x14ac:dyDescent="0.2">
      <c r="A15" s="36"/>
      <c r="P15" s="74">
        <v>68704303</v>
      </c>
    </row>
    <row r="16" spans="1:16" ht="13.5" customHeight="1" x14ac:dyDescent="0.2">
      <c r="A16" s="36"/>
      <c r="P16" s="74">
        <v>39060104</v>
      </c>
    </row>
    <row r="17" spans="1:16" ht="13.5" customHeight="1" x14ac:dyDescent="0.2">
      <c r="A17" s="36"/>
      <c r="P17" s="74">
        <v>56863904</v>
      </c>
    </row>
    <row r="18" spans="1:16" ht="13.5" customHeight="1" x14ac:dyDescent="0.2">
      <c r="A18" s="36"/>
      <c r="P18" s="74">
        <v>50298904</v>
      </c>
    </row>
    <row r="19" spans="1:16" ht="13.5" customHeight="1" x14ac:dyDescent="0.2">
      <c r="A19" s="36"/>
      <c r="P19" s="74">
        <v>55211904</v>
      </c>
    </row>
    <row r="20" spans="1:16" ht="13.5" customHeight="1" x14ac:dyDescent="0.2">
      <c r="A20" s="36"/>
      <c r="P20" s="74">
        <v>51631604</v>
      </c>
    </row>
    <row r="21" spans="1:16" ht="13.5" customHeight="1" x14ac:dyDescent="0.2">
      <c r="A21" s="36"/>
      <c r="P21" s="74">
        <v>34005603</v>
      </c>
    </row>
    <row r="22" spans="1:16" ht="13.5" customHeight="1" x14ac:dyDescent="0.2">
      <c r="A22" s="36"/>
      <c r="P22" s="74">
        <v>36430104</v>
      </c>
    </row>
    <row r="23" spans="1:16" ht="13.5" customHeight="1" x14ac:dyDescent="0.2">
      <c r="A23" s="36"/>
      <c r="P23" s="74">
        <v>49136604</v>
      </c>
    </row>
    <row r="24" spans="1:16" ht="13.5" customHeight="1" x14ac:dyDescent="0.2">
      <c r="A24" s="36"/>
      <c r="P24" s="74">
        <v>49136704</v>
      </c>
    </row>
    <row r="25" spans="1:16" ht="13.5" customHeight="1" x14ac:dyDescent="0.2">
      <c r="A25" s="36"/>
      <c r="P25" s="74">
        <v>49135504</v>
      </c>
    </row>
    <row r="26" spans="1:16" ht="13.5" customHeight="1" x14ac:dyDescent="0.2">
      <c r="A26" s="36"/>
      <c r="P26" s="74">
        <v>24969803</v>
      </c>
    </row>
    <row r="27" spans="1:16" ht="13.5" customHeight="1" x14ac:dyDescent="0.2">
      <c r="A27" s="36"/>
      <c r="P27" s="74">
        <v>43748303</v>
      </c>
    </row>
    <row r="28" spans="1:16" ht="13.5" customHeight="1" x14ac:dyDescent="0.2">
      <c r="A28" s="36"/>
      <c r="P28" s="74">
        <v>31775004</v>
      </c>
    </row>
    <row r="29" spans="1:16" ht="13.5" customHeight="1" x14ac:dyDescent="0.2">
      <c r="A29" s="36"/>
      <c r="P29" s="74">
        <v>45366702</v>
      </c>
    </row>
    <row r="30" spans="1:16" ht="13.5" customHeight="1" x14ac:dyDescent="0.2">
      <c r="A30" s="36"/>
      <c r="P30" s="74">
        <v>24889103</v>
      </c>
    </row>
    <row r="31" spans="1:16" ht="13.5" customHeight="1" x14ac:dyDescent="0.2">
      <c r="A31" s="36"/>
      <c r="P31" s="74">
        <v>23243904</v>
      </c>
    </row>
    <row r="32" spans="1:16" ht="13.5" customHeight="1" x14ac:dyDescent="0.2">
      <c r="A32" s="36"/>
      <c r="P32" s="74">
        <v>34002703</v>
      </c>
    </row>
    <row r="33" spans="1:16" ht="13.5" customHeight="1" x14ac:dyDescent="0.2">
      <c r="A33" s="36"/>
      <c r="P33" s="74">
        <v>83945203</v>
      </c>
    </row>
    <row r="34" spans="1:16" ht="13.5" customHeight="1" x14ac:dyDescent="0.2">
      <c r="A34" s="36"/>
      <c r="P34" s="74">
        <v>83945303</v>
      </c>
    </row>
    <row r="35" spans="1:16" ht="13.5" customHeight="1" x14ac:dyDescent="0.2">
      <c r="A35" s="36"/>
      <c r="P35" s="74">
        <v>44373703</v>
      </c>
    </row>
    <row r="36" spans="1:16" ht="13.5" customHeight="1" x14ac:dyDescent="0.2">
      <c r="A36" s="36"/>
      <c r="P36" s="74">
        <v>24969503</v>
      </c>
    </row>
    <row r="37" spans="1:16" ht="13.5" customHeight="1" x14ac:dyDescent="0.2">
      <c r="A37" s="36"/>
      <c r="P37" s="74">
        <v>64792303</v>
      </c>
    </row>
    <row r="38" spans="1:16" ht="13.5" customHeight="1" x14ac:dyDescent="0.2">
      <c r="A38" s="36"/>
      <c r="P38" s="74">
        <v>17053103</v>
      </c>
    </row>
    <row r="39" spans="1:16" ht="13.5" customHeight="1" x14ac:dyDescent="0.2">
      <c r="A39" s="36"/>
      <c r="P39" s="74">
        <v>75169802</v>
      </c>
    </row>
    <row r="40" spans="1:16" ht="13.5" customHeight="1" x14ac:dyDescent="0.2">
      <c r="A40" s="36"/>
      <c r="P40" s="74">
        <v>43747603</v>
      </c>
    </row>
    <row r="41" spans="1:16" ht="13.5" customHeight="1" x14ac:dyDescent="0.2">
      <c r="A41" s="36"/>
      <c r="P41" s="74">
        <v>75169702</v>
      </c>
    </row>
    <row r="42" spans="1:16" ht="13.5" customHeight="1" x14ac:dyDescent="0.2">
      <c r="A42" s="36"/>
      <c r="P42" s="74">
        <v>17053003</v>
      </c>
    </row>
    <row r="43" spans="1:16" ht="13.5" customHeight="1" x14ac:dyDescent="0.2">
      <c r="A43" s="36"/>
      <c r="P43" s="74">
        <v>64782302</v>
      </c>
    </row>
    <row r="44" spans="1:16" ht="13.5" customHeight="1" x14ac:dyDescent="0.2">
      <c r="A44" s="36"/>
    </row>
    <row r="45" spans="1:16" ht="13.5" customHeight="1" x14ac:dyDescent="0.2">
      <c r="A45" s="36"/>
    </row>
    <row r="46" spans="1:16" ht="13.5" customHeight="1" x14ac:dyDescent="0.2">
      <c r="A46" s="36"/>
    </row>
    <row r="47" spans="1:16" ht="13.5" customHeight="1" x14ac:dyDescent="0.2">
      <c r="A47" s="36"/>
    </row>
    <row r="48" spans="1:16" ht="13.5" customHeight="1" x14ac:dyDescent="0.2">
      <c r="A48" s="36"/>
    </row>
    <row r="49" spans="1:1" ht="13.5" customHeight="1" x14ac:dyDescent="0.2">
      <c r="A49" s="36"/>
    </row>
    <row r="50" spans="1:1" ht="13.5" customHeight="1" x14ac:dyDescent="0.2">
      <c r="A50" s="36"/>
    </row>
    <row r="51" spans="1:1" ht="13.5" customHeight="1" x14ac:dyDescent="0.2">
      <c r="A51" s="36"/>
    </row>
    <row r="52" spans="1:1" ht="13.5" customHeight="1" x14ac:dyDescent="0.2">
      <c r="A52" s="36"/>
    </row>
    <row r="53" spans="1:1" ht="13.5" customHeight="1" x14ac:dyDescent="0.2">
      <c r="A53" s="36"/>
    </row>
    <row r="54" spans="1:1" ht="13.5" customHeight="1" x14ac:dyDescent="0.2">
      <c r="A54" s="36"/>
    </row>
    <row r="55" spans="1:1" ht="13.5" customHeight="1" x14ac:dyDescent="0.2">
      <c r="A55" s="36"/>
    </row>
    <row r="56" spans="1:1" ht="13.5" customHeight="1" x14ac:dyDescent="0.2">
      <c r="A56" s="36"/>
    </row>
    <row r="57" spans="1:1" ht="13.5" customHeight="1" x14ac:dyDescent="0.2">
      <c r="A57" s="36"/>
    </row>
    <row r="58" spans="1:1" ht="13.5" customHeight="1" x14ac:dyDescent="0.2">
      <c r="A58" s="36"/>
    </row>
    <row r="59" spans="1:1" ht="13.5" customHeight="1" x14ac:dyDescent="0.2">
      <c r="A59" s="36"/>
    </row>
    <row r="60" spans="1:1" ht="13.5" customHeight="1" x14ac:dyDescent="0.2">
      <c r="A60" s="36"/>
    </row>
    <row r="61" spans="1:1" ht="13.5" customHeight="1" x14ac:dyDescent="0.2">
      <c r="A61" s="36"/>
    </row>
    <row r="62" spans="1:1" ht="13.5" customHeight="1" x14ac:dyDescent="0.2">
      <c r="A62" s="36"/>
    </row>
    <row r="63" spans="1:1" ht="13.5" customHeight="1" x14ac:dyDescent="0.2">
      <c r="A63" s="36"/>
    </row>
    <row r="64" spans="1:1" ht="13.5" customHeight="1" x14ac:dyDescent="0.2">
      <c r="A64" s="36"/>
    </row>
    <row r="65" spans="1:1" ht="13.5" customHeight="1" x14ac:dyDescent="0.2">
      <c r="A65" s="36"/>
    </row>
    <row r="66" spans="1:1" ht="13.5" customHeight="1" x14ac:dyDescent="0.2">
      <c r="A66" s="36"/>
    </row>
    <row r="67" spans="1:1" ht="13.5" customHeight="1" x14ac:dyDescent="0.2">
      <c r="A67" s="36"/>
    </row>
    <row r="68" spans="1:1" ht="13.5" customHeight="1" x14ac:dyDescent="0.2">
      <c r="A68" s="36"/>
    </row>
    <row r="69" spans="1:1" ht="13.5" customHeight="1" x14ac:dyDescent="0.2">
      <c r="A69" s="36"/>
    </row>
    <row r="70" spans="1:1" ht="13.5" customHeight="1" x14ac:dyDescent="0.2">
      <c r="A70" s="36"/>
    </row>
    <row r="71" spans="1:1" ht="13.5" customHeight="1" x14ac:dyDescent="0.2">
      <c r="A71" s="36"/>
    </row>
    <row r="72" spans="1:1" ht="13.5" customHeight="1" x14ac:dyDescent="0.2">
      <c r="A72" s="36"/>
    </row>
    <row r="73" spans="1:1" ht="13.5" customHeight="1" x14ac:dyDescent="0.2">
      <c r="A73" s="36"/>
    </row>
    <row r="74" spans="1:1" ht="13.5" customHeight="1" x14ac:dyDescent="0.2">
      <c r="A74" s="36"/>
    </row>
    <row r="75" spans="1:1" ht="13.5" customHeight="1" x14ac:dyDescent="0.2">
      <c r="A75" s="36"/>
    </row>
    <row r="76" spans="1:1" ht="13.5" customHeight="1" x14ac:dyDescent="0.2">
      <c r="A76" s="36"/>
    </row>
    <row r="77" spans="1:1" ht="13.5" customHeight="1" x14ac:dyDescent="0.2">
      <c r="A77" s="36"/>
    </row>
    <row r="78" spans="1:1" ht="13.5" customHeight="1" x14ac:dyDescent="0.2">
      <c r="A78" s="36"/>
    </row>
    <row r="79" spans="1:1" ht="13.5" customHeight="1" x14ac:dyDescent="0.2">
      <c r="A79" s="36"/>
    </row>
    <row r="80" spans="1:1" ht="13.5" customHeight="1" x14ac:dyDescent="0.2">
      <c r="A80" s="36"/>
    </row>
    <row r="81" spans="1:1" ht="13.5" customHeight="1" x14ac:dyDescent="0.2">
      <c r="A81" s="36"/>
    </row>
    <row r="82" spans="1:1" ht="13.5" customHeight="1" x14ac:dyDescent="0.2">
      <c r="A82" s="36"/>
    </row>
    <row r="83" spans="1:1" ht="13.5" customHeight="1" x14ac:dyDescent="0.2">
      <c r="A83" s="36"/>
    </row>
    <row r="84" spans="1:1" ht="13.5" customHeight="1" x14ac:dyDescent="0.2">
      <c r="A84" s="36"/>
    </row>
    <row r="85" spans="1:1" ht="13.5" customHeight="1" x14ac:dyDescent="0.2">
      <c r="A85" s="36"/>
    </row>
    <row r="86" spans="1:1" ht="13.5" customHeight="1" x14ac:dyDescent="0.2">
      <c r="A86" s="36"/>
    </row>
    <row r="87" spans="1:1" ht="13.5" customHeight="1" x14ac:dyDescent="0.2">
      <c r="A87" s="36"/>
    </row>
    <row r="88" spans="1:1" ht="13.5" customHeight="1" x14ac:dyDescent="0.2">
      <c r="A88" s="36"/>
    </row>
    <row r="89" spans="1:1" ht="13.5" customHeight="1" x14ac:dyDescent="0.2">
      <c r="A89" s="36"/>
    </row>
    <row r="90" spans="1:1" ht="13.5" customHeight="1" x14ac:dyDescent="0.2">
      <c r="A90" s="36"/>
    </row>
    <row r="91" spans="1:1" ht="13.5" customHeight="1" x14ac:dyDescent="0.2">
      <c r="A91" s="36"/>
    </row>
    <row r="92" spans="1:1" ht="13.5" customHeight="1" x14ac:dyDescent="0.2">
      <c r="A92" s="36"/>
    </row>
    <row r="93" spans="1:1" ht="13.5" customHeight="1" x14ac:dyDescent="0.2">
      <c r="A93" s="36"/>
    </row>
    <row r="94" spans="1:1" ht="13.5" customHeight="1" x14ac:dyDescent="0.2">
      <c r="A94" s="36"/>
    </row>
    <row r="95" spans="1:1" ht="13.5" customHeight="1" x14ac:dyDescent="0.2">
      <c r="A95" s="36"/>
    </row>
    <row r="96" spans="1:1" ht="13.5" customHeight="1" x14ac:dyDescent="0.2">
      <c r="A96" s="36"/>
    </row>
    <row r="97" spans="1:1" ht="13.5" customHeight="1" x14ac:dyDescent="0.2">
      <c r="A97" s="36"/>
    </row>
    <row r="98" spans="1:1" ht="13.5" customHeight="1" x14ac:dyDescent="0.2">
      <c r="A98" s="36"/>
    </row>
    <row r="99" spans="1:1" ht="13.5" customHeight="1" x14ac:dyDescent="0.2">
      <c r="A99" s="36"/>
    </row>
    <row r="100" spans="1:1" ht="13.5" customHeight="1" x14ac:dyDescent="0.2">
      <c r="A100" s="36"/>
    </row>
    <row r="101" spans="1:1" ht="13.5" customHeight="1" x14ac:dyDescent="0.2">
      <c r="A101" s="36"/>
    </row>
    <row r="102" spans="1:1" ht="13.5" customHeight="1" x14ac:dyDescent="0.2">
      <c r="A102" s="36"/>
    </row>
    <row r="103" spans="1:1" ht="13.5" customHeight="1" x14ac:dyDescent="0.2">
      <c r="A103" s="36"/>
    </row>
    <row r="104" spans="1:1" ht="13.5" customHeight="1" x14ac:dyDescent="0.2">
      <c r="A104" s="36"/>
    </row>
    <row r="105" spans="1:1" ht="13.5" customHeight="1" x14ac:dyDescent="0.2">
      <c r="A105" s="36"/>
    </row>
    <row r="106" spans="1:1" ht="13.5" customHeight="1" x14ac:dyDescent="0.2">
      <c r="A106" s="36"/>
    </row>
    <row r="107" spans="1:1" ht="13.5" customHeight="1" x14ac:dyDescent="0.2">
      <c r="A107" s="36"/>
    </row>
    <row r="108" spans="1:1" ht="13.5" customHeight="1" x14ac:dyDescent="0.2">
      <c r="A108" s="36"/>
    </row>
    <row r="109" spans="1:1" ht="13.5" customHeight="1" x14ac:dyDescent="0.2">
      <c r="A109" s="36"/>
    </row>
    <row r="110" spans="1:1" ht="13.5" customHeight="1" x14ac:dyDescent="0.2">
      <c r="A110" s="36"/>
    </row>
    <row r="111" spans="1:1" ht="13.5" customHeight="1" x14ac:dyDescent="0.2">
      <c r="A111" s="36"/>
    </row>
    <row r="112" spans="1:1" ht="13.5" customHeight="1" x14ac:dyDescent="0.2">
      <c r="A112" s="36"/>
    </row>
    <row r="113" spans="1:1" ht="13.5" customHeight="1" x14ac:dyDescent="0.2">
      <c r="A113" s="36"/>
    </row>
    <row r="114" spans="1:1" ht="13.5" customHeight="1" x14ac:dyDescent="0.2">
      <c r="A114" s="36"/>
    </row>
    <row r="115" spans="1:1" ht="13.5" customHeight="1" x14ac:dyDescent="0.2">
      <c r="A115" s="36"/>
    </row>
    <row r="116" spans="1:1" ht="13.5" customHeight="1" x14ac:dyDescent="0.2">
      <c r="A116" s="36"/>
    </row>
    <row r="117" spans="1:1" ht="13.5" customHeight="1" x14ac:dyDescent="0.2">
      <c r="A117" s="36"/>
    </row>
    <row r="118" spans="1:1" ht="13.5" customHeight="1" x14ac:dyDescent="0.2">
      <c r="A118" s="36"/>
    </row>
    <row r="119" spans="1:1" ht="13.5" customHeight="1" x14ac:dyDescent="0.2">
      <c r="A119" s="36"/>
    </row>
    <row r="120" spans="1:1" ht="13.5" customHeight="1" x14ac:dyDescent="0.2">
      <c r="A120" s="36"/>
    </row>
    <row r="121" spans="1:1" ht="13.5" customHeight="1" x14ac:dyDescent="0.2">
      <c r="A121" s="36"/>
    </row>
    <row r="122" spans="1:1" ht="13.5" customHeight="1" x14ac:dyDescent="0.2">
      <c r="A122" s="36"/>
    </row>
    <row r="123" spans="1:1" ht="13.5" customHeight="1" x14ac:dyDescent="0.2">
      <c r="A123" s="36"/>
    </row>
    <row r="124" spans="1:1" ht="13.5" customHeight="1" x14ac:dyDescent="0.2">
      <c r="A124" s="36"/>
    </row>
    <row r="125" spans="1:1" ht="13.5" customHeight="1" x14ac:dyDescent="0.2">
      <c r="A125" s="36"/>
    </row>
    <row r="126" spans="1:1" ht="13.5" customHeight="1" x14ac:dyDescent="0.2">
      <c r="A126" s="36"/>
    </row>
    <row r="127" spans="1:1" ht="13.5" customHeight="1" x14ac:dyDescent="0.2">
      <c r="A127" s="36"/>
    </row>
    <row r="128" spans="1:1" ht="13.5" customHeight="1" x14ac:dyDescent="0.2">
      <c r="A128" s="36"/>
    </row>
    <row r="129" spans="1:1" ht="13.5" customHeight="1" x14ac:dyDescent="0.2">
      <c r="A129" s="36"/>
    </row>
    <row r="130" spans="1:1" ht="13.5" customHeight="1" x14ac:dyDescent="0.2">
      <c r="A130" s="36"/>
    </row>
    <row r="131" spans="1:1" ht="13.5" customHeight="1" x14ac:dyDescent="0.2">
      <c r="A131" s="36"/>
    </row>
    <row r="132" spans="1:1" ht="13.5" customHeight="1" x14ac:dyDescent="0.2">
      <c r="A132" s="36"/>
    </row>
    <row r="133" spans="1:1" ht="13.5" customHeight="1" x14ac:dyDescent="0.2">
      <c r="A133" s="36"/>
    </row>
    <row r="134" spans="1:1" ht="13.5" customHeight="1" x14ac:dyDescent="0.2">
      <c r="A134" s="36"/>
    </row>
    <row r="135" spans="1:1" ht="13.5" customHeight="1" x14ac:dyDescent="0.2">
      <c r="A135" s="36"/>
    </row>
    <row r="136" spans="1:1" ht="13.5" customHeight="1" x14ac:dyDescent="0.2">
      <c r="A136" s="36"/>
    </row>
    <row r="137" spans="1:1" ht="13.5" customHeight="1" x14ac:dyDescent="0.2">
      <c r="A137" s="36"/>
    </row>
    <row r="138" spans="1:1" ht="13.5" customHeight="1" x14ac:dyDescent="0.2">
      <c r="A138" s="36"/>
    </row>
    <row r="139" spans="1:1" ht="13.5" customHeight="1" x14ac:dyDescent="0.2">
      <c r="A139" s="36"/>
    </row>
    <row r="140" spans="1:1" ht="13.5" customHeight="1" x14ac:dyDescent="0.2">
      <c r="A140" s="36"/>
    </row>
    <row r="141" spans="1:1" ht="13.5" customHeight="1" x14ac:dyDescent="0.2">
      <c r="A141" s="36"/>
    </row>
    <row r="142" spans="1:1" ht="13.5" customHeight="1" x14ac:dyDescent="0.2">
      <c r="A142" s="36"/>
    </row>
    <row r="143" spans="1:1" ht="13.5" customHeight="1" x14ac:dyDescent="0.2">
      <c r="A143" s="36"/>
    </row>
    <row r="144" spans="1:1" ht="13.5" customHeight="1" x14ac:dyDescent="0.2">
      <c r="A144" s="36"/>
    </row>
    <row r="145" spans="1:1" ht="13.5" customHeight="1" x14ac:dyDescent="0.2">
      <c r="A145" s="36"/>
    </row>
    <row r="146" spans="1:1" ht="13.5" customHeight="1" x14ac:dyDescent="0.2">
      <c r="A146" s="36"/>
    </row>
    <row r="147" spans="1:1" ht="13.5" customHeight="1" x14ac:dyDescent="0.2">
      <c r="A147" s="36"/>
    </row>
    <row r="148" spans="1:1" ht="13.5" customHeight="1" x14ac:dyDescent="0.2">
      <c r="A148" s="36"/>
    </row>
    <row r="149" spans="1:1" ht="13.5" customHeight="1" x14ac:dyDescent="0.2">
      <c r="A149" s="36"/>
    </row>
    <row r="150" spans="1:1" ht="13.5" customHeight="1" x14ac:dyDescent="0.2">
      <c r="A150" s="36"/>
    </row>
    <row r="151" spans="1:1" ht="13.5" customHeight="1" x14ac:dyDescent="0.2">
      <c r="A151" s="36"/>
    </row>
    <row r="152" spans="1:1" ht="13.5" customHeight="1" x14ac:dyDescent="0.2">
      <c r="A152" s="36"/>
    </row>
    <row r="153" spans="1:1" ht="13.5" customHeight="1" x14ac:dyDescent="0.2">
      <c r="A153" s="36"/>
    </row>
    <row r="154" spans="1:1" ht="13.5" customHeight="1" x14ac:dyDescent="0.2">
      <c r="A154" s="36"/>
    </row>
    <row r="155" spans="1:1" ht="13.5" customHeight="1" x14ac:dyDescent="0.2">
      <c r="A155" s="36"/>
    </row>
    <row r="156" spans="1:1" ht="13.5" customHeight="1" x14ac:dyDescent="0.2">
      <c r="A156" s="36"/>
    </row>
    <row r="157" spans="1:1" ht="13.5" customHeight="1" x14ac:dyDescent="0.2">
      <c r="A157" s="36"/>
    </row>
    <row r="158" spans="1:1" ht="13.5" customHeight="1" x14ac:dyDescent="0.2">
      <c r="A158" s="36"/>
    </row>
    <row r="159" spans="1:1" ht="13.5" customHeight="1" x14ac:dyDescent="0.2">
      <c r="A159" s="36"/>
    </row>
    <row r="160" spans="1:1" ht="13.5" customHeight="1" x14ac:dyDescent="0.2">
      <c r="A160" s="36"/>
    </row>
    <row r="161" spans="1:1" ht="13.5" customHeight="1" x14ac:dyDescent="0.2">
      <c r="A161" s="36"/>
    </row>
    <row r="162" spans="1:1" ht="13.5" customHeight="1" x14ac:dyDescent="0.2">
      <c r="A162" s="36"/>
    </row>
    <row r="163" spans="1:1" ht="13.5" customHeight="1" x14ac:dyDescent="0.2">
      <c r="A163" s="36"/>
    </row>
    <row r="164" spans="1:1" ht="13.5" customHeight="1" x14ac:dyDescent="0.2">
      <c r="A164" s="36"/>
    </row>
    <row r="165" spans="1:1" ht="13.5" customHeight="1" x14ac:dyDescent="0.2">
      <c r="A165" s="36"/>
    </row>
    <row r="166" spans="1:1" ht="13.5" customHeight="1" x14ac:dyDescent="0.2">
      <c r="A166" s="36"/>
    </row>
    <row r="167" spans="1:1" ht="13.5" customHeight="1" x14ac:dyDescent="0.2">
      <c r="A167" s="36"/>
    </row>
    <row r="168" spans="1:1" ht="13.5" customHeight="1" x14ac:dyDescent="0.2">
      <c r="A168" s="36"/>
    </row>
    <row r="169" spans="1:1" ht="13.5" customHeight="1" x14ac:dyDescent="0.2">
      <c r="A169" s="36"/>
    </row>
    <row r="170" spans="1:1" ht="13.5" customHeight="1" x14ac:dyDescent="0.2">
      <c r="A170" s="36"/>
    </row>
    <row r="171" spans="1:1" ht="13.5" customHeight="1" x14ac:dyDescent="0.2">
      <c r="A171" s="36"/>
    </row>
    <row r="172" spans="1:1" ht="13.5" customHeight="1" x14ac:dyDescent="0.2">
      <c r="A172" s="36"/>
    </row>
    <row r="173" spans="1:1" ht="13.5" customHeight="1" x14ac:dyDescent="0.2">
      <c r="A173" s="36"/>
    </row>
    <row r="174" spans="1:1" ht="13.5" customHeight="1" x14ac:dyDescent="0.2">
      <c r="A174" s="36"/>
    </row>
    <row r="175" spans="1:1" ht="13.5" customHeight="1" x14ac:dyDescent="0.2">
      <c r="A175" s="36"/>
    </row>
    <row r="176" spans="1:1" ht="13.5" customHeight="1" x14ac:dyDescent="0.2">
      <c r="A176" s="36"/>
    </row>
    <row r="177" spans="1:1" ht="13.5" customHeight="1" x14ac:dyDescent="0.2">
      <c r="A177" s="36"/>
    </row>
    <row r="178" spans="1:1" ht="13.5" customHeight="1" x14ac:dyDescent="0.2">
      <c r="A178" s="36"/>
    </row>
    <row r="179" spans="1:1" ht="13.5" customHeight="1" x14ac:dyDescent="0.2">
      <c r="A179" s="36"/>
    </row>
    <row r="180" spans="1:1" ht="13.5" customHeight="1" x14ac:dyDescent="0.2">
      <c r="A180" s="36"/>
    </row>
    <row r="181" spans="1:1" ht="13.5" customHeight="1" x14ac:dyDescent="0.2">
      <c r="A181" s="36"/>
    </row>
    <row r="182" spans="1:1" ht="13.5" customHeight="1" x14ac:dyDescent="0.2">
      <c r="A182" s="36"/>
    </row>
    <row r="183" spans="1:1" ht="13.5" customHeight="1" x14ac:dyDescent="0.2">
      <c r="A183" s="36"/>
    </row>
    <row r="184" spans="1:1" ht="13.5" customHeight="1" x14ac:dyDescent="0.2">
      <c r="A184" s="36"/>
    </row>
    <row r="185" spans="1:1" ht="13.5" customHeight="1" x14ac:dyDescent="0.2">
      <c r="A185" s="36"/>
    </row>
    <row r="186" spans="1:1" ht="13.5" customHeight="1" x14ac:dyDescent="0.2">
      <c r="A186" s="36"/>
    </row>
    <row r="187" spans="1:1" ht="13.5" customHeight="1" x14ac:dyDescent="0.2">
      <c r="A187" s="36"/>
    </row>
    <row r="188" spans="1:1" ht="13.5" customHeight="1" x14ac:dyDescent="0.2">
      <c r="A188" s="36"/>
    </row>
    <row r="189" spans="1:1" ht="13.5" customHeight="1" x14ac:dyDescent="0.2">
      <c r="A189" s="36"/>
    </row>
    <row r="190" spans="1:1" ht="13.5" customHeight="1" x14ac:dyDescent="0.2">
      <c r="A190" s="36"/>
    </row>
    <row r="191" spans="1:1" ht="13.5" customHeight="1" x14ac:dyDescent="0.2">
      <c r="A191" s="36"/>
    </row>
    <row r="192" spans="1:1" ht="13.5" customHeight="1" x14ac:dyDescent="0.2">
      <c r="A192" s="36"/>
    </row>
    <row r="193" spans="1:1" ht="13.5" customHeight="1" x14ac:dyDescent="0.2">
      <c r="A193" s="36"/>
    </row>
    <row r="194" spans="1:1" ht="13.5" customHeight="1" x14ac:dyDescent="0.2">
      <c r="A194" s="36"/>
    </row>
    <row r="195" spans="1:1" ht="13.5" customHeight="1" x14ac:dyDescent="0.2">
      <c r="A195" s="36"/>
    </row>
    <row r="196" spans="1:1" ht="13.5" customHeight="1" x14ac:dyDescent="0.2">
      <c r="A196" s="36"/>
    </row>
    <row r="197" spans="1:1" ht="13.5" customHeight="1" x14ac:dyDescent="0.2">
      <c r="A197" s="36"/>
    </row>
    <row r="198" spans="1:1" ht="13.5" customHeight="1" x14ac:dyDescent="0.2">
      <c r="A198" s="36"/>
    </row>
    <row r="199" spans="1:1" ht="13.5" customHeight="1" x14ac:dyDescent="0.2">
      <c r="A199" s="36"/>
    </row>
    <row r="200" spans="1:1" ht="13.5" customHeight="1" x14ac:dyDescent="0.2">
      <c r="A200" s="36"/>
    </row>
    <row r="201" spans="1:1" ht="13.5" customHeight="1" x14ac:dyDescent="0.2">
      <c r="A201" s="36"/>
    </row>
    <row r="202" spans="1:1" ht="13.5" customHeight="1" x14ac:dyDescent="0.2">
      <c r="A202" s="36"/>
    </row>
    <row r="203" spans="1:1" ht="13.5" customHeight="1" x14ac:dyDescent="0.2">
      <c r="A203" s="36"/>
    </row>
    <row r="204" spans="1:1" ht="13.5" customHeight="1" x14ac:dyDescent="0.2">
      <c r="A204" s="36"/>
    </row>
    <row r="205" spans="1:1" ht="13.5" customHeight="1" x14ac:dyDescent="0.2">
      <c r="A205" s="36"/>
    </row>
    <row r="206" spans="1:1" ht="13.5" customHeight="1" x14ac:dyDescent="0.2">
      <c r="A206" s="36"/>
    </row>
    <row r="207" spans="1:1" ht="13.5" customHeight="1" x14ac:dyDescent="0.2">
      <c r="A207" s="36"/>
    </row>
    <row r="208" spans="1:1" ht="13.5" customHeight="1" x14ac:dyDescent="0.2">
      <c r="A208" s="36"/>
    </row>
    <row r="209" spans="1:1" ht="13.5" customHeight="1" x14ac:dyDescent="0.2">
      <c r="A209" s="36"/>
    </row>
    <row r="210" spans="1:1" ht="13.5" customHeight="1" x14ac:dyDescent="0.2">
      <c r="A210" s="36"/>
    </row>
    <row r="211" spans="1:1" ht="13.5" customHeight="1" x14ac:dyDescent="0.2">
      <c r="A211" s="36"/>
    </row>
    <row r="212" spans="1:1" ht="13.5" customHeight="1" x14ac:dyDescent="0.2">
      <c r="A212" s="36"/>
    </row>
    <row r="213" spans="1:1" ht="13.5" customHeight="1" x14ac:dyDescent="0.2">
      <c r="A213" s="36"/>
    </row>
    <row r="214" spans="1:1" ht="13.5" customHeight="1" x14ac:dyDescent="0.2">
      <c r="A214" s="36"/>
    </row>
    <row r="215" spans="1:1" ht="13.5" customHeight="1" x14ac:dyDescent="0.2">
      <c r="A215" s="36"/>
    </row>
    <row r="216" spans="1:1" ht="13.5" customHeight="1" x14ac:dyDescent="0.2">
      <c r="A216" s="36"/>
    </row>
    <row r="217" spans="1:1" ht="13.5" customHeight="1" x14ac:dyDescent="0.2">
      <c r="A217" s="36"/>
    </row>
    <row r="218" spans="1:1" ht="13.5" customHeight="1" x14ac:dyDescent="0.2">
      <c r="A218" s="36"/>
    </row>
    <row r="219" spans="1:1" ht="13.5" customHeight="1" x14ac:dyDescent="0.2">
      <c r="A219" s="36"/>
    </row>
    <row r="220" spans="1:1" ht="13.5" customHeight="1" x14ac:dyDescent="0.2">
      <c r="A220" s="36"/>
    </row>
    <row r="221" spans="1:1" ht="13.5" customHeight="1" x14ac:dyDescent="0.2">
      <c r="A221" s="36"/>
    </row>
    <row r="222" spans="1:1" ht="13.5" customHeight="1" x14ac:dyDescent="0.2">
      <c r="A222" s="36"/>
    </row>
    <row r="223" spans="1:1" ht="13.5" customHeight="1" x14ac:dyDescent="0.2">
      <c r="A223" s="36"/>
    </row>
    <row r="224" spans="1:1" ht="13.5" customHeight="1" x14ac:dyDescent="0.2">
      <c r="A224" s="36"/>
    </row>
    <row r="225" spans="1:1" ht="13.5" customHeight="1" x14ac:dyDescent="0.2">
      <c r="A225" s="36"/>
    </row>
    <row r="226" spans="1:1" ht="13.5" customHeight="1" x14ac:dyDescent="0.2">
      <c r="A226" s="36"/>
    </row>
    <row r="227" spans="1:1" ht="13.5" customHeight="1" x14ac:dyDescent="0.2">
      <c r="A227" s="36"/>
    </row>
    <row r="228" spans="1:1" ht="13.5" customHeight="1" x14ac:dyDescent="0.2">
      <c r="A228" s="36"/>
    </row>
    <row r="229" spans="1:1" ht="13.5" customHeight="1" x14ac:dyDescent="0.2">
      <c r="A229" s="36"/>
    </row>
    <row r="230" spans="1:1" ht="13.5" customHeight="1" x14ac:dyDescent="0.2">
      <c r="A230" s="36"/>
    </row>
    <row r="231" spans="1:1" ht="13.5" customHeight="1" x14ac:dyDescent="0.2">
      <c r="A231" s="36"/>
    </row>
    <row r="232" spans="1:1" ht="13.5" customHeight="1" x14ac:dyDescent="0.2">
      <c r="A232" s="36"/>
    </row>
    <row r="233" spans="1:1" ht="13.5" customHeight="1" x14ac:dyDescent="0.2">
      <c r="A233" s="36"/>
    </row>
    <row r="234" spans="1:1" ht="13.5" customHeight="1" x14ac:dyDescent="0.2">
      <c r="A234" s="36"/>
    </row>
    <row r="235" spans="1:1" ht="13.5" customHeight="1" x14ac:dyDescent="0.2">
      <c r="A235" s="36"/>
    </row>
    <row r="236" spans="1:1" ht="13.5" customHeight="1" x14ac:dyDescent="0.2">
      <c r="A236" s="36"/>
    </row>
    <row r="237" spans="1:1" ht="13.5" customHeight="1" x14ac:dyDescent="0.2">
      <c r="A237" s="36"/>
    </row>
    <row r="238" spans="1:1" ht="13.5" customHeight="1" x14ac:dyDescent="0.2">
      <c r="A238" s="36"/>
    </row>
    <row r="239" spans="1:1" ht="13.5" customHeight="1" x14ac:dyDescent="0.2">
      <c r="A239" s="36"/>
    </row>
    <row r="240" spans="1:1" ht="13.5" customHeight="1" x14ac:dyDescent="0.2">
      <c r="A240" s="36"/>
    </row>
    <row r="241" spans="1:1" ht="13.5" customHeight="1" x14ac:dyDescent="0.2">
      <c r="A241" s="36"/>
    </row>
    <row r="242" spans="1:1" ht="13.5" customHeight="1" x14ac:dyDescent="0.2">
      <c r="A242" s="36"/>
    </row>
    <row r="243" spans="1:1" ht="13.5" customHeight="1" x14ac:dyDescent="0.2">
      <c r="A243" s="36"/>
    </row>
    <row r="244" spans="1:1" ht="13.5" customHeight="1" x14ac:dyDescent="0.2">
      <c r="A244" s="36"/>
    </row>
    <row r="245" spans="1:1" ht="13.5" customHeight="1" x14ac:dyDescent="0.2">
      <c r="A245" s="36"/>
    </row>
    <row r="246" spans="1:1" ht="13.5" customHeight="1" x14ac:dyDescent="0.2">
      <c r="A246" s="36"/>
    </row>
    <row r="247" spans="1:1" ht="13.5" customHeight="1" x14ac:dyDescent="0.2">
      <c r="A247" s="36"/>
    </row>
    <row r="248" spans="1:1" ht="13.5" customHeight="1" x14ac:dyDescent="0.2">
      <c r="A248" s="36"/>
    </row>
    <row r="249" spans="1:1" ht="13.5" customHeight="1" x14ac:dyDescent="0.2">
      <c r="A249" s="36"/>
    </row>
    <row r="250" spans="1:1" ht="13.5" customHeight="1" x14ac:dyDescent="0.2">
      <c r="A250" s="36"/>
    </row>
    <row r="251" spans="1:1" ht="13.5" customHeight="1" x14ac:dyDescent="0.2">
      <c r="A251" s="36"/>
    </row>
    <row r="252" spans="1:1" ht="13.5" customHeight="1" x14ac:dyDescent="0.2">
      <c r="A252" s="36"/>
    </row>
    <row r="253" spans="1:1" ht="13.5" customHeight="1" x14ac:dyDescent="0.2">
      <c r="A253" s="36"/>
    </row>
    <row r="254" spans="1:1" ht="13.5" customHeight="1" x14ac:dyDescent="0.2">
      <c r="A254" s="36"/>
    </row>
    <row r="255" spans="1:1" ht="13.5" customHeight="1" x14ac:dyDescent="0.2">
      <c r="A255" s="36"/>
    </row>
    <row r="256" spans="1:1" ht="13.5" customHeight="1" x14ac:dyDescent="0.2">
      <c r="A256" s="36"/>
    </row>
    <row r="257" spans="1:1" ht="13.5" customHeight="1" x14ac:dyDescent="0.2">
      <c r="A257" s="36"/>
    </row>
    <row r="258" spans="1:1" ht="13.5" customHeight="1" x14ac:dyDescent="0.2">
      <c r="A258" s="36"/>
    </row>
    <row r="259" spans="1:1" ht="13.5" customHeight="1" x14ac:dyDescent="0.2">
      <c r="A259" s="36"/>
    </row>
    <row r="260" spans="1:1" ht="13.5" customHeight="1" x14ac:dyDescent="0.2">
      <c r="A260" s="36"/>
    </row>
    <row r="261" spans="1:1" ht="13.5" customHeight="1" x14ac:dyDescent="0.2">
      <c r="A261" s="36"/>
    </row>
    <row r="262" spans="1:1" ht="13.5" customHeight="1" x14ac:dyDescent="0.2">
      <c r="A262" s="36"/>
    </row>
    <row r="263" spans="1:1" ht="13.5" customHeight="1" x14ac:dyDescent="0.2">
      <c r="A263" s="36"/>
    </row>
    <row r="264" spans="1:1" ht="13.5" customHeight="1" x14ac:dyDescent="0.2">
      <c r="A264" s="36"/>
    </row>
    <row r="265" spans="1:1" ht="13.5" customHeight="1" x14ac:dyDescent="0.2">
      <c r="A265" s="36"/>
    </row>
    <row r="266" spans="1:1" ht="13.5" customHeight="1" x14ac:dyDescent="0.2">
      <c r="A266" s="36"/>
    </row>
    <row r="267" spans="1:1" ht="13.5" customHeight="1" x14ac:dyDescent="0.2">
      <c r="A267" s="36"/>
    </row>
    <row r="268" spans="1:1" ht="13.5" customHeight="1" x14ac:dyDescent="0.2">
      <c r="A268" s="36"/>
    </row>
    <row r="269" spans="1:1" ht="13.5" customHeight="1" x14ac:dyDescent="0.2">
      <c r="A269" s="36"/>
    </row>
    <row r="270" spans="1:1" ht="13.5" customHeight="1" x14ac:dyDescent="0.2">
      <c r="A270" s="36"/>
    </row>
    <row r="271" spans="1:1" ht="13.5" customHeight="1" x14ac:dyDescent="0.2">
      <c r="A271" s="36"/>
    </row>
    <row r="272" spans="1:1" ht="13.5" customHeight="1" x14ac:dyDescent="0.2">
      <c r="A272" s="36"/>
    </row>
    <row r="273" spans="1:1" ht="13.5" customHeight="1" x14ac:dyDescent="0.2">
      <c r="A273" s="36"/>
    </row>
    <row r="274" spans="1:1" ht="13.5" customHeight="1" x14ac:dyDescent="0.2">
      <c r="A274" s="36"/>
    </row>
    <row r="275" spans="1:1" ht="13.5" customHeight="1" x14ac:dyDescent="0.2">
      <c r="A275" s="36"/>
    </row>
    <row r="276" spans="1:1" ht="13.5" customHeight="1" x14ac:dyDescent="0.2">
      <c r="A276" s="36"/>
    </row>
    <row r="277" spans="1:1" ht="13.5" customHeight="1" x14ac:dyDescent="0.2">
      <c r="A277" s="36"/>
    </row>
    <row r="278" spans="1:1" ht="13.5" customHeight="1" x14ac:dyDescent="0.2">
      <c r="A278" s="36"/>
    </row>
    <row r="279" spans="1:1" ht="13.5" customHeight="1" x14ac:dyDescent="0.2">
      <c r="A279" s="36"/>
    </row>
    <row r="280" spans="1:1" ht="13.5" customHeight="1" x14ac:dyDescent="0.2">
      <c r="A280" s="36"/>
    </row>
    <row r="281" spans="1:1" ht="13.5" customHeight="1" x14ac:dyDescent="0.2">
      <c r="A281" s="36"/>
    </row>
    <row r="282" spans="1:1" ht="13.5" customHeight="1" x14ac:dyDescent="0.2">
      <c r="A282" s="36"/>
    </row>
    <row r="283" spans="1:1" ht="13.5" customHeight="1" x14ac:dyDescent="0.2">
      <c r="A283" s="36"/>
    </row>
    <row r="284" spans="1:1" ht="13.5" customHeight="1" x14ac:dyDescent="0.2">
      <c r="A284" s="36"/>
    </row>
    <row r="285" spans="1:1" ht="13.5" customHeight="1" x14ac:dyDescent="0.2">
      <c r="A285" s="36"/>
    </row>
    <row r="286" spans="1:1" ht="13.5" customHeight="1" x14ac:dyDescent="0.2">
      <c r="A286" s="36"/>
    </row>
    <row r="287" spans="1:1" ht="13.5" customHeight="1" x14ac:dyDescent="0.2">
      <c r="A287" s="36"/>
    </row>
    <row r="288" spans="1:1" ht="13.5" customHeight="1" x14ac:dyDescent="0.2">
      <c r="A288" s="36"/>
    </row>
    <row r="289" spans="1:1" ht="13.5" customHeight="1" x14ac:dyDescent="0.2">
      <c r="A289" s="36"/>
    </row>
    <row r="290" spans="1:1" ht="13.5" customHeight="1" x14ac:dyDescent="0.2">
      <c r="A290" s="36"/>
    </row>
    <row r="291" spans="1:1" ht="13.5" customHeight="1" x14ac:dyDescent="0.2">
      <c r="A291" s="36"/>
    </row>
    <row r="292" spans="1:1" ht="13.5" customHeight="1" x14ac:dyDescent="0.2">
      <c r="A292" s="36"/>
    </row>
    <row r="293" spans="1:1" ht="13.5" customHeight="1" x14ac:dyDescent="0.2">
      <c r="A293" s="36"/>
    </row>
    <row r="294" spans="1:1" ht="13.5" customHeight="1" x14ac:dyDescent="0.2">
      <c r="A294" s="36"/>
    </row>
    <row r="295" spans="1:1" ht="13.5" customHeight="1" x14ac:dyDescent="0.2">
      <c r="A295" s="36"/>
    </row>
    <row r="296" spans="1:1" ht="13.5" customHeight="1" x14ac:dyDescent="0.2">
      <c r="A296" s="36"/>
    </row>
    <row r="297" spans="1:1" ht="13.5" customHeight="1" x14ac:dyDescent="0.2">
      <c r="A297" s="36"/>
    </row>
    <row r="298" spans="1:1" ht="13.5" customHeight="1" x14ac:dyDescent="0.2">
      <c r="A298" s="36"/>
    </row>
    <row r="299" spans="1:1" ht="13.5" customHeight="1" x14ac:dyDescent="0.2">
      <c r="A299" s="36"/>
    </row>
    <row r="300" spans="1:1" ht="13.5" customHeight="1" x14ac:dyDescent="0.2">
      <c r="A300" s="36"/>
    </row>
    <row r="301" spans="1:1" ht="13.5" customHeight="1" x14ac:dyDescent="0.2">
      <c r="A301" s="36"/>
    </row>
    <row r="302" spans="1:1" ht="13.5" customHeight="1" x14ac:dyDescent="0.2">
      <c r="A302" s="36"/>
    </row>
    <row r="303" spans="1:1" ht="13.5" customHeight="1" x14ac:dyDescent="0.2">
      <c r="A303" s="36"/>
    </row>
    <row r="304" spans="1:1" ht="13.5" customHeight="1" x14ac:dyDescent="0.2">
      <c r="A304" s="36"/>
    </row>
    <row r="305" spans="1:1" ht="13.5" customHeight="1" x14ac:dyDescent="0.2">
      <c r="A305" s="36"/>
    </row>
    <row r="306" spans="1:1" ht="13.5" customHeight="1" x14ac:dyDescent="0.2">
      <c r="A306" s="36"/>
    </row>
    <row r="307" spans="1:1" ht="13.5" customHeight="1" x14ac:dyDescent="0.2">
      <c r="A307" s="36"/>
    </row>
    <row r="308" spans="1:1" ht="13.5" customHeight="1" x14ac:dyDescent="0.2">
      <c r="A308" s="36"/>
    </row>
    <row r="309" spans="1:1" ht="13.5" customHeight="1" x14ac:dyDescent="0.2">
      <c r="A309" s="36"/>
    </row>
    <row r="310" spans="1:1" ht="13.5" customHeight="1" x14ac:dyDescent="0.2">
      <c r="A310" s="36"/>
    </row>
    <row r="311" spans="1:1" ht="13.5" customHeight="1" x14ac:dyDescent="0.2">
      <c r="A311" s="36"/>
    </row>
    <row r="312" spans="1:1" ht="13.5" customHeight="1" x14ac:dyDescent="0.2">
      <c r="A312" s="36"/>
    </row>
    <row r="313" spans="1:1" ht="13.5" customHeight="1" x14ac:dyDescent="0.2">
      <c r="A313" s="36"/>
    </row>
    <row r="314" spans="1:1" ht="13.5" customHeight="1" x14ac:dyDescent="0.2">
      <c r="A314" s="36"/>
    </row>
    <row r="315" spans="1:1" ht="13.5" customHeight="1" x14ac:dyDescent="0.2">
      <c r="A315" s="36"/>
    </row>
    <row r="316" spans="1:1" ht="13.5" customHeight="1" x14ac:dyDescent="0.2">
      <c r="A316" s="36"/>
    </row>
    <row r="317" spans="1:1" ht="13.5" customHeight="1" x14ac:dyDescent="0.2">
      <c r="A317" s="36"/>
    </row>
    <row r="318" spans="1:1" ht="13.5" customHeight="1" x14ac:dyDescent="0.2">
      <c r="A318" s="36"/>
    </row>
    <row r="319" spans="1:1" ht="13.5" customHeight="1" x14ac:dyDescent="0.2">
      <c r="A319" s="36"/>
    </row>
    <row r="320" spans="1:1" ht="13.5" customHeight="1" x14ac:dyDescent="0.2">
      <c r="A320" s="36"/>
    </row>
    <row r="321" spans="1:1" ht="13.5" customHeight="1" x14ac:dyDescent="0.2">
      <c r="A321" s="36"/>
    </row>
    <row r="322" spans="1:1" ht="13.5" customHeight="1" x14ac:dyDescent="0.2">
      <c r="A322" s="36"/>
    </row>
    <row r="323" spans="1:1" ht="13.5" customHeight="1" x14ac:dyDescent="0.2">
      <c r="A323" s="36"/>
    </row>
    <row r="324" spans="1:1" ht="13.5" customHeight="1" x14ac:dyDescent="0.2">
      <c r="A324" s="36"/>
    </row>
    <row r="325" spans="1:1" ht="13.5" customHeight="1" x14ac:dyDescent="0.2">
      <c r="A325" s="36"/>
    </row>
    <row r="326" spans="1:1" ht="13.5" customHeight="1" x14ac:dyDescent="0.2">
      <c r="A326" s="36"/>
    </row>
    <row r="327" spans="1:1" ht="13.5" customHeight="1" x14ac:dyDescent="0.2">
      <c r="A327" s="36"/>
    </row>
    <row r="328" spans="1:1" ht="13.5" customHeight="1" x14ac:dyDescent="0.2">
      <c r="A328" s="36"/>
    </row>
    <row r="329" spans="1:1" ht="13.5" customHeight="1" x14ac:dyDescent="0.2">
      <c r="A329" s="36"/>
    </row>
    <row r="330" spans="1:1" ht="13.5" customHeight="1" x14ac:dyDescent="0.2">
      <c r="A330" s="36"/>
    </row>
    <row r="331" spans="1:1" ht="13.5" customHeight="1" x14ac:dyDescent="0.2">
      <c r="A331" s="36"/>
    </row>
    <row r="332" spans="1:1" ht="13.5" customHeight="1" x14ac:dyDescent="0.2">
      <c r="A332" s="36"/>
    </row>
    <row r="333" spans="1:1" ht="13.5" customHeight="1" x14ac:dyDescent="0.2">
      <c r="A333" s="36"/>
    </row>
    <row r="334" spans="1:1" ht="13.5" customHeight="1" x14ac:dyDescent="0.2">
      <c r="A334" s="36"/>
    </row>
    <row r="335" spans="1:1" ht="13.5" customHeight="1" x14ac:dyDescent="0.2">
      <c r="A335" s="36"/>
    </row>
    <row r="336" spans="1:1" ht="13.5" customHeight="1" x14ac:dyDescent="0.2">
      <c r="A336" s="36"/>
    </row>
    <row r="337" spans="1:1" ht="13.5" customHeight="1" x14ac:dyDescent="0.2">
      <c r="A337" s="36"/>
    </row>
    <row r="338" spans="1:1" ht="13.5" customHeight="1" x14ac:dyDescent="0.2">
      <c r="A338" s="36"/>
    </row>
    <row r="339" spans="1:1" ht="13.5" customHeight="1" x14ac:dyDescent="0.2">
      <c r="A339" s="36"/>
    </row>
    <row r="340" spans="1:1" ht="13.5" customHeight="1" x14ac:dyDescent="0.2">
      <c r="A340" s="36"/>
    </row>
    <row r="341" spans="1:1" ht="13.5" customHeight="1" x14ac:dyDescent="0.2">
      <c r="A341" s="36"/>
    </row>
    <row r="342" spans="1:1" ht="13.5" customHeight="1" x14ac:dyDescent="0.2">
      <c r="A342" s="36"/>
    </row>
    <row r="343" spans="1:1" ht="13.5" customHeight="1" x14ac:dyDescent="0.2">
      <c r="A343" s="36"/>
    </row>
    <row r="344" spans="1:1" ht="13.5" customHeight="1" x14ac:dyDescent="0.2">
      <c r="A344" s="36"/>
    </row>
    <row r="345" spans="1:1" ht="13.5" customHeight="1" x14ac:dyDescent="0.2">
      <c r="A345" s="36"/>
    </row>
    <row r="346" spans="1:1" ht="13.5" customHeight="1" x14ac:dyDescent="0.2">
      <c r="A346" s="36"/>
    </row>
    <row r="347" spans="1:1" ht="13.5" customHeight="1" x14ac:dyDescent="0.2">
      <c r="A347" s="36"/>
    </row>
    <row r="348" spans="1:1" ht="13.5" customHeight="1" x14ac:dyDescent="0.2">
      <c r="A348" s="36"/>
    </row>
    <row r="349" spans="1:1" ht="13.5" customHeight="1" x14ac:dyDescent="0.2">
      <c r="A349" s="36"/>
    </row>
    <row r="350" spans="1:1" ht="13.5" customHeight="1" x14ac:dyDescent="0.2">
      <c r="A350" s="36"/>
    </row>
    <row r="351" spans="1:1" ht="13.5" customHeight="1" x14ac:dyDescent="0.2">
      <c r="A351" s="36"/>
    </row>
    <row r="352" spans="1:1" ht="13.5" customHeight="1" x14ac:dyDescent="0.2">
      <c r="A352" s="36"/>
    </row>
    <row r="353" spans="1:1" ht="13.5" customHeight="1" x14ac:dyDescent="0.2">
      <c r="A353" s="36"/>
    </row>
    <row r="354" spans="1:1" ht="13.5" customHeight="1" x14ac:dyDescent="0.2">
      <c r="A354" s="36"/>
    </row>
    <row r="355" spans="1:1" ht="13.5" customHeight="1" x14ac:dyDescent="0.2">
      <c r="A355" s="36"/>
    </row>
    <row r="356" spans="1:1" ht="13.5" customHeight="1" x14ac:dyDescent="0.2">
      <c r="A356" s="36"/>
    </row>
    <row r="357" spans="1:1" ht="13.5" customHeight="1" x14ac:dyDescent="0.2">
      <c r="A357" s="36"/>
    </row>
    <row r="358" spans="1:1" ht="13.5" customHeight="1" x14ac:dyDescent="0.2">
      <c r="A358" s="36"/>
    </row>
    <row r="359" spans="1:1" ht="13.5" customHeight="1" x14ac:dyDescent="0.2">
      <c r="A359" s="36"/>
    </row>
    <row r="360" spans="1:1" ht="13.5" customHeight="1" x14ac:dyDescent="0.2">
      <c r="A360" s="36"/>
    </row>
    <row r="361" spans="1:1" ht="13.5" customHeight="1" x14ac:dyDescent="0.2">
      <c r="A361" s="36"/>
    </row>
    <row r="362" spans="1:1" ht="13.5" customHeight="1" x14ac:dyDescent="0.2">
      <c r="A362" s="36"/>
    </row>
    <row r="363" spans="1:1" ht="13.5" customHeight="1" x14ac:dyDescent="0.2">
      <c r="A363" s="36"/>
    </row>
    <row r="364" spans="1:1" ht="13.5" customHeight="1" x14ac:dyDescent="0.2">
      <c r="A364" s="36"/>
    </row>
    <row r="365" spans="1:1" ht="13.5" customHeight="1" x14ac:dyDescent="0.2">
      <c r="A365" s="36"/>
    </row>
    <row r="366" spans="1:1" ht="13.5" customHeight="1" x14ac:dyDescent="0.2">
      <c r="A366" s="36"/>
    </row>
    <row r="367" spans="1:1" ht="13.5" customHeight="1" x14ac:dyDescent="0.2">
      <c r="A367" s="36"/>
    </row>
    <row r="368" spans="1:1" ht="13.5" customHeight="1" x14ac:dyDescent="0.2">
      <c r="A368" s="36"/>
    </row>
    <row r="369" spans="1:1" ht="13.5" customHeight="1" x14ac:dyDescent="0.2">
      <c r="A369" s="36"/>
    </row>
    <row r="370" spans="1:1" ht="13.5" customHeight="1" x14ac:dyDescent="0.2">
      <c r="A370" s="36"/>
    </row>
    <row r="371" spans="1:1" ht="13.5" customHeight="1" x14ac:dyDescent="0.2">
      <c r="A371" s="36"/>
    </row>
    <row r="372" spans="1:1" ht="13.5" customHeight="1" x14ac:dyDescent="0.2">
      <c r="A372" s="36"/>
    </row>
    <row r="373" spans="1:1" ht="13.5" customHeight="1" x14ac:dyDescent="0.2">
      <c r="A373" s="36"/>
    </row>
    <row r="374" spans="1:1" ht="13.5" customHeight="1" x14ac:dyDescent="0.2">
      <c r="A374" s="36"/>
    </row>
    <row r="375" spans="1:1" ht="13.5" customHeight="1" x14ac:dyDescent="0.2">
      <c r="A375" s="36"/>
    </row>
    <row r="376" spans="1:1" ht="13.5" customHeight="1" x14ac:dyDescent="0.2">
      <c r="A376" s="36"/>
    </row>
    <row r="377" spans="1:1" ht="13.5" customHeight="1" x14ac:dyDescent="0.2">
      <c r="A377" s="36"/>
    </row>
    <row r="378" spans="1:1" ht="13.5" customHeight="1" x14ac:dyDescent="0.2">
      <c r="A378" s="36"/>
    </row>
    <row r="379" spans="1:1" ht="13.5" customHeight="1" x14ac:dyDescent="0.2">
      <c r="A379" s="36"/>
    </row>
    <row r="380" spans="1:1" ht="13.5" customHeight="1" x14ac:dyDescent="0.2">
      <c r="A380" s="36"/>
    </row>
    <row r="381" spans="1:1" ht="13.5" customHeight="1" x14ac:dyDescent="0.2">
      <c r="A381" s="36"/>
    </row>
    <row r="382" spans="1:1" ht="13.5" customHeight="1" x14ac:dyDescent="0.2">
      <c r="A382" s="36"/>
    </row>
    <row r="383" spans="1:1" ht="13.5" customHeight="1" x14ac:dyDescent="0.2">
      <c r="A383" s="36"/>
    </row>
    <row r="384" spans="1:1" ht="13.5" customHeight="1" x14ac:dyDescent="0.2">
      <c r="A384" s="36"/>
    </row>
    <row r="385" spans="1:1" ht="13.5" customHeight="1" x14ac:dyDescent="0.2">
      <c r="A385" s="36"/>
    </row>
    <row r="386" spans="1:1" ht="13.5" customHeight="1" x14ac:dyDescent="0.2">
      <c r="A386" s="36"/>
    </row>
    <row r="387" spans="1:1" ht="13.5" customHeight="1" x14ac:dyDescent="0.2">
      <c r="A387" s="36"/>
    </row>
    <row r="388" spans="1:1" ht="13.5" customHeight="1" x14ac:dyDescent="0.2">
      <c r="A388" s="36"/>
    </row>
    <row r="389" spans="1:1" ht="13.5" customHeight="1" x14ac:dyDescent="0.2">
      <c r="A389" s="36"/>
    </row>
    <row r="390" spans="1:1" ht="13.5" customHeight="1" x14ac:dyDescent="0.2">
      <c r="A390" s="36"/>
    </row>
    <row r="391" spans="1:1" ht="13.5" customHeight="1" x14ac:dyDescent="0.2">
      <c r="A391" s="36"/>
    </row>
    <row r="392" spans="1:1" ht="13.5" customHeight="1" x14ac:dyDescent="0.2">
      <c r="A392" s="36"/>
    </row>
    <row r="393" spans="1:1" ht="13.5" customHeight="1" x14ac:dyDescent="0.2">
      <c r="A393" s="36"/>
    </row>
    <row r="394" spans="1:1" ht="13.5" customHeight="1" x14ac:dyDescent="0.2">
      <c r="A394" s="36"/>
    </row>
    <row r="395" spans="1:1" ht="13.5" customHeight="1" x14ac:dyDescent="0.2">
      <c r="A395" s="36"/>
    </row>
    <row r="396" spans="1:1" ht="13.5" customHeight="1" x14ac:dyDescent="0.2">
      <c r="A396" s="36"/>
    </row>
    <row r="397" spans="1:1" ht="13.5" customHeight="1" x14ac:dyDescent="0.2">
      <c r="A397" s="36"/>
    </row>
    <row r="398" spans="1:1" ht="13.5" customHeight="1" x14ac:dyDescent="0.2">
      <c r="A398" s="36"/>
    </row>
    <row r="399" spans="1:1" ht="13.5" customHeight="1" x14ac:dyDescent="0.2">
      <c r="A399" s="36"/>
    </row>
    <row r="400" spans="1:1" ht="13.5" customHeight="1" x14ac:dyDescent="0.2">
      <c r="A400" s="36"/>
    </row>
    <row r="401" spans="1:1" ht="13.5" customHeight="1" x14ac:dyDescent="0.2">
      <c r="A401" s="36"/>
    </row>
    <row r="402" spans="1:1" ht="13.5" customHeight="1" x14ac:dyDescent="0.2">
      <c r="A402" s="36"/>
    </row>
    <row r="403" spans="1:1" ht="13.5" customHeight="1" x14ac:dyDescent="0.2">
      <c r="A403" s="36"/>
    </row>
    <row r="404" spans="1:1" ht="13.5" customHeight="1" x14ac:dyDescent="0.2">
      <c r="A404" s="36"/>
    </row>
    <row r="405" spans="1:1" ht="13.5" customHeight="1" x14ac:dyDescent="0.2">
      <c r="A405" s="36"/>
    </row>
    <row r="406" spans="1:1" ht="13.5" customHeight="1" x14ac:dyDescent="0.2">
      <c r="A406" s="36"/>
    </row>
    <row r="407" spans="1:1" ht="13.5" customHeight="1" x14ac:dyDescent="0.2">
      <c r="A407" s="36"/>
    </row>
    <row r="408" spans="1:1" ht="13.5" customHeight="1" x14ac:dyDescent="0.2">
      <c r="A408" s="36"/>
    </row>
    <row r="409" spans="1:1" ht="13.5" customHeight="1" x14ac:dyDescent="0.2">
      <c r="A409" s="36"/>
    </row>
    <row r="410" spans="1:1" ht="13.5" customHeight="1" x14ac:dyDescent="0.2">
      <c r="A410" s="36"/>
    </row>
    <row r="411" spans="1:1" ht="13.5" customHeight="1" x14ac:dyDescent="0.2">
      <c r="A411" s="36"/>
    </row>
    <row r="412" spans="1:1" ht="13.5" customHeight="1" x14ac:dyDescent="0.2">
      <c r="A412" s="36"/>
    </row>
    <row r="413" spans="1:1" ht="13.5" customHeight="1" x14ac:dyDescent="0.2">
      <c r="A413" s="36"/>
    </row>
    <row r="414" spans="1:1" ht="13.5" customHeight="1" x14ac:dyDescent="0.2">
      <c r="A414" s="36"/>
    </row>
    <row r="415" spans="1:1" ht="13.5" customHeight="1" x14ac:dyDescent="0.2">
      <c r="A415" s="36"/>
    </row>
    <row r="416" spans="1:1" ht="13.5" customHeight="1" x14ac:dyDescent="0.2">
      <c r="A416" s="36"/>
    </row>
    <row r="417" spans="1:1" ht="13.5" customHeight="1" x14ac:dyDescent="0.2">
      <c r="A417" s="36"/>
    </row>
    <row r="418" spans="1:1" ht="13.5" customHeight="1" x14ac:dyDescent="0.2">
      <c r="A418" s="36"/>
    </row>
    <row r="419" spans="1:1" ht="13.5" customHeight="1" x14ac:dyDescent="0.2">
      <c r="A419" s="36"/>
    </row>
    <row r="420" spans="1:1" ht="13.5" customHeight="1" x14ac:dyDescent="0.2">
      <c r="A420" s="36"/>
    </row>
    <row r="421" spans="1:1" ht="13.5" customHeight="1" x14ac:dyDescent="0.2">
      <c r="A421" s="36"/>
    </row>
    <row r="422" spans="1:1" ht="13.5" customHeight="1" x14ac:dyDescent="0.2">
      <c r="A422" s="36"/>
    </row>
    <row r="423" spans="1:1" ht="13.5" customHeight="1" x14ac:dyDescent="0.2">
      <c r="A423" s="36"/>
    </row>
    <row r="424" spans="1:1" ht="13.5" customHeight="1" x14ac:dyDescent="0.2">
      <c r="A424" s="36"/>
    </row>
    <row r="425" spans="1:1" ht="13.5" customHeight="1" x14ac:dyDescent="0.2">
      <c r="A425" s="36"/>
    </row>
    <row r="426" spans="1:1" ht="13.5" customHeight="1" x14ac:dyDescent="0.2">
      <c r="A426" s="36"/>
    </row>
    <row r="427" spans="1:1" ht="13.5" customHeight="1" x14ac:dyDescent="0.2">
      <c r="A427" s="36"/>
    </row>
    <row r="428" spans="1:1" ht="13.5" customHeight="1" x14ac:dyDescent="0.2">
      <c r="A428" s="36"/>
    </row>
    <row r="429" spans="1:1" ht="13.5" customHeight="1" x14ac:dyDescent="0.2">
      <c r="A429" s="36"/>
    </row>
    <row r="430" spans="1:1" ht="13.5" customHeight="1" x14ac:dyDescent="0.2">
      <c r="A430" s="36"/>
    </row>
    <row r="431" spans="1:1" ht="13.5" customHeight="1" x14ac:dyDescent="0.2">
      <c r="A431" s="36"/>
    </row>
    <row r="432" spans="1:1" ht="13.5" customHeight="1" x14ac:dyDescent="0.2">
      <c r="A432" s="36"/>
    </row>
    <row r="433" spans="1:1" ht="13.5" customHeight="1" x14ac:dyDescent="0.2">
      <c r="A433" s="36"/>
    </row>
    <row r="434" spans="1:1" ht="13.5" customHeight="1" x14ac:dyDescent="0.2">
      <c r="A434" s="36"/>
    </row>
    <row r="435" spans="1:1" ht="13.5" customHeight="1" x14ac:dyDescent="0.2">
      <c r="A435" s="36"/>
    </row>
    <row r="436" spans="1:1" ht="13.5" customHeight="1" x14ac:dyDescent="0.2">
      <c r="A436" s="36"/>
    </row>
    <row r="437" spans="1:1" ht="13.5" customHeight="1" x14ac:dyDescent="0.2">
      <c r="A437" s="36"/>
    </row>
    <row r="438" spans="1:1" ht="13.5" customHeight="1" x14ac:dyDescent="0.2">
      <c r="A438" s="36"/>
    </row>
    <row r="439" spans="1:1" ht="13.5" customHeight="1" x14ac:dyDescent="0.2">
      <c r="A439" s="36"/>
    </row>
    <row r="440" spans="1:1" ht="13.5" customHeight="1" x14ac:dyDescent="0.2">
      <c r="A440" s="36"/>
    </row>
    <row r="441" spans="1:1" ht="13.5" customHeight="1" x14ac:dyDescent="0.2">
      <c r="A441" s="36"/>
    </row>
    <row r="442" spans="1:1" ht="13.5" customHeight="1" x14ac:dyDescent="0.2">
      <c r="A442" s="36"/>
    </row>
    <row r="443" spans="1:1" ht="13.5" customHeight="1" x14ac:dyDescent="0.2">
      <c r="A443" s="36"/>
    </row>
    <row r="444" spans="1:1" ht="13.5" customHeight="1" x14ac:dyDescent="0.2">
      <c r="A444" s="36"/>
    </row>
    <row r="445" spans="1:1" ht="13.5" customHeight="1" x14ac:dyDescent="0.2">
      <c r="A445" s="36"/>
    </row>
    <row r="446" spans="1:1" ht="13.5" customHeight="1" x14ac:dyDescent="0.2">
      <c r="A446" s="36"/>
    </row>
    <row r="447" spans="1:1" ht="13.5" customHeight="1" x14ac:dyDescent="0.2">
      <c r="A447" s="36"/>
    </row>
    <row r="448" spans="1:1" ht="13.5" customHeight="1" x14ac:dyDescent="0.2">
      <c r="A448" s="36"/>
    </row>
    <row r="449" spans="1:1" ht="13.5" customHeight="1" x14ac:dyDescent="0.2">
      <c r="A449" s="36"/>
    </row>
    <row r="450" spans="1:1" ht="13.5" customHeight="1" x14ac:dyDescent="0.2">
      <c r="A450" s="36"/>
    </row>
    <row r="451" spans="1:1" ht="13.5" customHeight="1" x14ac:dyDescent="0.2">
      <c r="A451" s="36"/>
    </row>
    <row r="452" spans="1:1" ht="13.5" customHeight="1" x14ac:dyDescent="0.2">
      <c r="A452" s="36"/>
    </row>
    <row r="453" spans="1:1" ht="13.5" customHeight="1" x14ac:dyDescent="0.2">
      <c r="A453" s="36"/>
    </row>
    <row r="454" spans="1:1" ht="13.5" customHeight="1" x14ac:dyDescent="0.2">
      <c r="A454" s="36"/>
    </row>
    <row r="455" spans="1:1" ht="13.5" customHeight="1" x14ac:dyDescent="0.2">
      <c r="A455" s="36"/>
    </row>
    <row r="456" spans="1:1" ht="13.5" customHeight="1" x14ac:dyDescent="0.2">
      <c r="A456" s="36"/>
    </row>
    <row r="457" spans="1:1" ht="13.5" customHeight="1" x14ac:dyDescent="0.2">
      <c r="A457" s="36"/>
    </row>
    <row r="458" spans="1:1" ht="13.5" customHeight="1" x14ac:dyDescent="0.2">
      <c r="A458" s="36"/>
    </row>
    <row r="459" spans="1:1" ht="13.5" customHeight="1" x14ac:dyDescent="0.2">
      <c r="A459" s="36"/>
    </row>
    <row r="460" spans="1:1" ht="13.5" customHeight="1" x14ac:dyDescent="0.2">
      <c r="A460" s="36"/>
    </row>
    <row r="461" spans="1:1" ht="13.5" customHeight="1" x14ac:dyDescent="0.2">
      <c r="A461" s="36"/>
    </row>
    <row r="462" spans="1:1" ht="13.5" customHeight="1" x14ac:dyDescent="0.2">
      <c r="A462" s="36"/>
    </row>
    <row r="463" spans="1:1" ht="13.5" customHeight="1" x14ac:dyDescent="0.2">
      <c r="A463" s="36"/>
    </row>
    <row r="464" spans="1:1" ht="13.5" customHeight="1" x14ac:dyDescent="0.2">
      <c r="A464" s="36"/>
    </row>
    <row r="465" spans="1:1" ht="13.5" customHeight="1" x14ac:dyDescent="0.2">
      <c r="A465" s="36"/>
    </row>
    <row r="466" spans="1:1" ht="13.5" customHeight="1" x14ac:dyDescent="0.2">
      <c r="A466" s="36"/>
    </row>
    <row r="467" spans="1:1" ht="13.5" customHeight="1" x14ac:dyDescent="0.2">
      <c r="A467" s="36"/>
    </row>
    <row r="468" spans="1:1" ht="13.5" customHeight="1" x14ac:dyDescent="0.2">
      <c r="A468" s="36"/>
    </row>
    <row r="469" spans="1:1" ht="13.5" customHeight="1" x14ac:dyDescent="0.2">
      <c r="A469" s="36"/>
    </row>
    <row r="470" spans="1:1" ht="13.5" customHeight="1" x14ac:dyDescent="0.2">
      <c r="A470" s="36"/>
    </row>
    <row r="471" spans="1:1" ht="13.5" customHeight="1" x14ac:dyDescent="0.2">
      <c r="A471" s="36"/>
    </row>
    <row r="472" spans="1:1" ht="13.5" customHeight="1" x14ac:dyDescent="0.2">
      <c r="A472" s="36"/>
    </row>
    <row r="473" spans="1:1" ht="13.5" customHeight="1" x14ac:dyDescent="0.2">
      <c r="A473" s="36"/>
    </row>
    <row r="474" spans="1:1" ht="13.5" customHeight="1" x14ac:dyDescent="0.2">
      <c r="A474" s="36"/>
    </row>
    <row r="475" spans="1:1" ht="13.5" customHeight="1" x14ac:dyDescent="0.2">
      <c r="A475" s="36"/>
    </row>
    <row r="476" spans="1:1" ht="13.5" customHeight="1" x14ac:dyDescent="0.2">
      <c r="A476" s="36"/>
    </row>
    <row r="477" spans="1:1" ht="13.5" customHeight="1" x14ac:dyDescent="0.2">
      <c r="A477" s="36"/>
    </row>
    <row r="478" spans="1:1" ht="13.5" customHeight="1" x14ac:dyDescent="0.2">
      <c r="A478" s="36"/>
    </row>
    <row r="479" spans="1:1" ht="13.5" customHeight="1" x14ac:dyDescent="0.2">
      <c r="A479" s="36"/>
    </row>
    <row r="480" spans="1:1" ht="13.5" customHeight="1" x14ac:dyDescent="0.2">
      <c r="A480" s="36"/>
    </row>
    <row r="481" spans="1:1" ht="13.5" customHeight="1" x14ac:dyDescent="0.2">
      <c r="A481" s="36"/>
    </row>
    <row r="482" spans="1:1" ht="13.5" customHeight="1" x14ac:dyDescent="0.2">
      <c r="A482" s="36"/>
    </row>
    <row r="483" spans="1:1" ht="13.5" customHeight="1" x14ac:dyDescent="0.2">
      <c r="A483" s="36"/>
    </row>
    <row r="484" spans="1:1" ht="13.5" customHeight="1" x14ac:dyDescent="0.2">
      <c r="A484" s="36"/>
    </row>
    <row r="485" spans="1:1" ht="13.5" customHeight="1" x14ac:dyDescent="0.2">
      <c r="A485" s="36"/>
    </row>
    <row r="486" spans="1:1" ht="13.5" customHeight="1" x14ac:dyDescent="0.2">
      <c r="A486" s="36"/>
    </row>
    <row r="487" spans="1:1" ht="13.5" customHeight="1" x14ac:dyDescent="0.2">
      <c r="A487" s="36"/>
    </row>
    <row r="488" spans="1:1" ht="13.5" customHeight="1" x14ac:dyDescent="0.2">
      <c r="A488" s="36"/>
    </row>
    <row r="489" spans="1:1" ht="13.5" customHeight="1" x14ac:dyDescent="0.2">
      <c r="A489" s="36"/>
    </row>
    <row r="490" spans="1:1" ht="13.5" customHeight="1" x14ac:dyDescent="0.2">
      <c r="A490" s="36"/>
    </row>
    <row r="491" spans="1:1" ht="13.5" customHeight="1" x14ac:dyDescent="0.2">
      <c r="A491" s="36"/>
    </row>
    <row r="492" spans="1:1" ht="13.5" customHeight="1" x14ac:dyDescent="0.2">
      <c r="A492" s="36"/>
    </row>
    <row r="493" spans="1:1" ht="13.5" customHeight="1" x14ac:dyDescent="0.2">
      <c r="A493" s="36"/>
    </row>
    <row r="494" spans="1:1" ht="13.5" customHeight="1" x14ac:dyDescent="0.2">
      <c r="A494" s="36"/>
    </row>
    <row r="495" spans="1:1" ht="13.5" customHeight="1" x14ac:dyDescent="0.2">
      <c r="A495" s="36"/>
    </row>
    <row r="496" spans="1:1" ht="13.5" customHeight="1" x14ac:dyDescent="0.2">
      <c r="A496" s="36"/>
    </row>
    <row r="497" spans="1:1" ht="13.5" customHeight="1" x14ac:dyDescent="0.2">
      <c r="A497" s="36"/>
    </row>
    <row r="498" spans="1:1" ht="13.5" customHeight="1" x14ac:dyDescent="0.2">
      <c r="A498" s="36"/>
    </row>
    <row r="499" spans="1:1" ht="13.5" customHeight="1" x14ac:dyDescent="0.2">
      <c r="A499" s="36"/>
    </row>
    <row r="500" spans="1:1" ht="13.5" customHeight="1" x14ac:dyDescent="0.2">
      <c r="A500" s="36"/>
    </row>
    <row r="501" spans="1:1" ht="13.5" customHeight="1" x14ac:dyDescent="0.2">
      <c r="A501" s="36"/>
    </row>
    <row r="502" spans="1:1" ht="13.5" customHeight="1" x14ac:dyDescent="0.2">
      <c r="A502" s="36"/>
    </row>
    <row r="503" spans="1:1" ht="13.5" customHeight="1" x14ac:dyDescent="0.2">
      <c r="A503" s="36"/>
    </row>
    <row r="504" spans="1:1" ht="13.5" customHeight="1" x14ac:dyDescent="0.2">
      <c r="A504" s="36"/>
    </row>
    <row r="505" spans="1:1" ht="13.5" customHeight="1" x14ac:dyDescent="0.2">
      <c r="A505" s="36"/>
    </row>
    <row r="506" spans="1:1" ht="13.5" customHeight="1" x14ac:dyDescent="0.2">
      <c r="A506" s="36"/>
    </row>
    <row r="507" spans="1:1" ht="13.5" customHeight="1" x14ac:dyDescent="0.2">
      <c r="A507" s="36"/>
    </row>
    <row r="508" spans="1:1" ht="13.5" customHeight="1" x14ac:dyDescent="0.2">
      <c r="A508" s="36"/>
    </row>
    <row r="509" spans="1:1" ht="13.5" customHeight="1" x14ac:dyDescent="0.2">
      <c r="A509" s="36"/>
    </row>
    <row r="510" spans="1:1" ht="13.5" customHeight="1" x14ac:dyDescent="0.2">
      <c r="A510" s="36"/>
    </row>
    <row r="511" spans="1:1" ht="13.5" customHeight="1" x14ac:dyDescent="0.2">
      <c r="A511" s="36"/>
    </row>
    <row r="512" spans="1:1" ht="13.5" customHeight="1" x14ac:dyDescent="0.2">
      <c r="A512" s="36"/>
    </row>
    <row r="513" spans="1:1" ht="13.5" customHeight="1" x14ac:dyDescent="0.2">
      <c r="A513" s="36"/>
    </row>
    <row r="514" spans="1:1" ht="13.5" customHeight="1" x14ac:dyDescent="0.2">
      <c r="A514" s="36"/>
    </row>
    <row r="515" spans="1:1" ht="13.5" customHeight="1" x14ac:dyDescent="0.2">
      <c r="A515" s="36"/>
    </row>
    <row r="516" spans="1:1" ht="13.5" customHeight="1" x14ac:dyDescent="0.2">
      <c r="A516" s="36"/>
    </row>
    <row r="517" spans="1:1" ht="13.5" customHeight="1" x14ac:dyDescent="0.2">
      <c r="A517" s="36"/>
    </row>
    <row r="518" spans="1:1" ht="13.5" customHeight="1" x14ac:dyDescent="0.2">
      <c r="A518" s="36"/>
    </row>
    <row r="519" spans="1:1" ht="13.5" customHeight="1" x14ac:dyDescent="0.2">
      <c r="A519" s="36"/>
    </row>
    <row r="520" spans="1:1" ht="13.5" customHeight="1" x14ac:dyDescent="0.2">
      <c r="A520" s="36"/>
    </row>
    <row r="521" spans="1:1" ht="13.5" customHeight="1" x14ac:dyDescent="0.2">
      <c r="A521" s="36"/>
    </row>
    <row r="522" spans="1:1" ht="13.5" customHeight="1" x14ac:dyDescent="0.2">
      <c r="A522" s="36"/>
    </row>
    <row r="523" spans="1:1" ht="13.5" customHeight="1" x14ac:dyDescent="0.2">
      <c r="A523" s="36"/>
    </row>
    <row r="524" spans="1:1" ht="13.5" customHeight="1" x14ac:dyDescent="0.2">
      <c r="A524" s="36"/>
    </row>
    <row r="525" spans="1:1" ht="13.5" customHeight="1" x14ac:dyDescent="0.2">
      <c r="A525" s="36"/>
    </row>
    <row r="526" spans="1:1" ht="13.5" customHeight="1" x14ac:dyDescent="0.2">
      <c r="A526" s="36"/>
    </row>
    <row r="527" spans="1:1" ht="13.5" customHeight="1" x14ac:dyDescent="0.2">
      <c r="A527" s="36"/>
    </row>
    <row r="528" spans="1:1" ht="13.5" customHeight="1" x14ac:dyDescent="0.2">
      <c r="A528" s="36"/>
    </row>
    <row r="529" spans="1:1" ht="13.5" customHeight="1" x14ac:dyDescent="0.2">
      <c r="A529" s="36"/>
    </row>
    <row r="530" spans="1:1" ht="13.5" customHeight="1" x14ac:dyDescent="0.2">
      <c r="A530" s="36"/>
    </row>
    <row r="531" spans="1:1" ht="13.5" customHeight="1" x14ac:dyDescent="0.2">
      <c r="A531" s="36"/>
    </row>
    <row r="532" spans="1:1" ht="13.5" customHeight="1" x14ac:dyDescent="0.2">
      <c r="A532" s="36"/>
    </row>
    <row r="533" spans="1:1" ht="13.5" customHeight="1" x14ac:dyDescent="0.2">
      <c r="A533" s="36"/>
    </row>
    <row r="534" spans="1:1" ht="13.5" customHeight="1" x14ac:dyDescent="0.2">
      <c r="A534" s="36"/>
    </row>
    <row r="535" spans="1:1" ht="13.5" customHeight="1" x14ac:dyDescent="0.2">
      <c r="A535" s="36"/>
    </row>
    <row r="536" spans="1:1" ht="13.5" customHeight="1" x14ac:dyDescent="0.2">
      <c r="A536" s="36"/>
    </row>
    <row r="537" spans="1:1" ht="13.5" customHeight="1" x14ac:dyDescent="0.2">
      <c r="A537" s="36"/>
    </row>
    <row r="538" spans="1:1" ht="13.5" customHeight="1" x14ac:dyDescent="0.2">
      <c r="A538" s="36"/>
    </row>
    <row r="539" spans="1:1" ht="13.5" customHeight="1" x14ac:dyDescent="0.2">
      <c r="A539" s="36"/>
    </row>
    <row r="540" spans="1:1" ht="13.5" customHeight="1" x14ac:dyDescent="0.2">
      <c r="A540" s="36"/>
    </row>
    <row r="541" spans="1:1" ht="13.5" customHeight="1" x14ac:dyDescent="0.2">
      <c r="A541" s="36"/>
    </row>
    <row r="542" spans="1:1" ht="13.5" customHeight="1" x14ac:dyDescent="0.2">
      <c r="A542" s="36"/>
    </row>
    <row r="543" spans="1:1" ht="13.5" customHeight="1" x14ac:dyDescent="0.2">
      <c r="A543" s="36"/>
    </row>
    <row r="544" spans="1:1" ht="13.5" customHeight="1" x14ac:dyDescent="0.2">
      <c r="A544" s="36"/>
    </row>
    <row r="545" spans="1:1" ht="13.5" customHeight="1" x14ac:dyDescent="0.2">
      <c r="A545" s="36"/>
    </row>
    <row r="546" spans="1:1" ht="13.5" customHeight="1" x14ac:dyDescent="0.2">
      <c r="A546" s="36"/>
    </row>
    <row r="547" spans="1:1" ht="13.5" customHeight="1" x14ac:dyDescent="0.2">
      <c r="A547" s="36"/>
    </row>
    <row r="548" spans="1:1" ht="13.5" customHeight="1" x14ac:dyDescent="0.2">
      <c r="A548" s="36"/>
    </row>
    <row r="549" spans="1:1" ht="13.5" customHeight="1" x14ac:dyDescent="0.2">
      <c r="A549" s="36"/>
    </row>
    <row r="550" spans="1:1" ht="13.5" customHeight="1" x14ac:dyDescent="0.2">
      <c r="A550" s="36"/>
    </row>
    <row r="551" spans="1:1" ht="13.5" customHeight="1" x14ac:dyDescent="0.2">
      <c r="A551" s="36"/>
    </row>
    <row r="552" spans="1:1" ht="13.5" customHeight="1" x14ac:dyDescent="0.2">
      <c r="A552" s="36"/>
    </row>
    <row r="553" spans="1:1" ht="13.5" customHeight="1" x14ac:dyDescent="0.2">
      <c r="A553" s="36"/>
    </row>
    <row r="554" spans="1:1" ht="13.5" customHeight="1" x14ac:dyDescent="0.2">
      <c r="A554" s="36"/>
    </row>
    <row r="555" spans="1:1" ht="13.5" customHeight="1" x14ac:dyDescent="0.2">
      <c r="A555" s="36"/>
    </row>
    <row r="556" spans="1:1" ht="13.5" customHeight="1" x14ac:dyDescent="0.2">
      <c r="A556" s="36"/>
    </row>
    <row r="557" spans="1:1" ht="13.5" customHeight="1" x14ac:dyDescent="0.2">
      <c r="A557" s="36"/>
    </row>
    <row r="558" spans="1:1" ht="13.5" customHeight="1" x14ac:dyDescent="0.2">
      <c r="A558" s="36"/>
    </row>
    <row r="559" spans="1:1" ht="13.5" customHeight="1" x14ac:dyDescent="0.2">
      <c r="A559" s="36"/>
    </row>
    <row r="560" spans="1:1" ht="13.5" customHeight="1" x14ac:dyDescent="0.2">
      <c r="A560" s="36"/>
    </row>
    <row r="561" spans="1:1" ht="13.5" customHeight="1" x14ac:dyDescent="0.2">
      <c r="A561" s="36"/>
    </row>
    <row r="562" spans="1:1" ht="13.5" customHeight="1" x14ac:dyDescent="0.2">
      <c r="A562" s="36"/>
    </row>
    <row r="563" spans="1:1" ht="13.5" customHeight="1" x14ac:dyDescent="0.2">
      <c r="A563" s="36"/>
    </row>
    <row r="564" spans="1:1" ht="13.5" customHeight="1" x14ac:dyDescent="0.2">
      <c r="A564" s="36"/>
    </row>
    <row r="565" spans="1:1" ht="13.5" customHeight="1" x14ac:dyDescent="0.2">
      <c r="A565" s="36"/>
    </row>
    <row r="566" spans="1:1" ht="13.5" customHeight="1" x14ac:dyDescent="0.2">
      <c r="A566" s="36"/>
    </row>
    <row r="567" spans="1:1" ht="13.5" customHeight="1" x14ac:dyDescent="0.2">
      <c r="A567" s="36"/>
    </row>
    <row r="568" spans="1:1" ht="13.5" customHeight="1" x14ac:dyDescent="0.2">
      <c r="A568" s="36"/>
    </row>
    <row r="569" spans="1:1" ht="13.5" customHeight="1" x14ac:dyDescent="0.2">
      <c r="A569" s="36"/>
    </row>
    <row r="570" spans="1:1" ht="13.5" customHeight="1" x14ac:dyDescent="0.2">
      <c r="A570" s="36"/>
    </row>
    <row r="571" spans="1:1" ht="13.5" customHeight="1" x14ac:dyDescent="0.2">
      <c r="A571" s="36"/>
    </row>
    <row r="572" spans="1:1" ht="13.5" customHeight="1" x14ac:dyDescent="0.2">
      <c r="A572" s="36"/>
    </row>
    <row r="573" spans="1:1" ht="13.5" customHeight="1" x14ac:dyDescent="0.2">
      <c r="A573" s="36"/>
    </row>
    <row r="574" spans="1:1" ht="13.5" customHeight="1" x14ac:dyDescent="0.2">
      <c r="A574" s="36"/>
    </row>
    <row r="575" spans="1:1" ht="13.5" customHeight="1" x14ac:dyDescent="0.2">
      <c r="A575" s="36"/>
    </row>
    <row r="576" spans="1:1" ht="13.5" customHeight="1" x14ac:dyDescent="0.2">
      <c r="A576" s="36"/>
    </row>
    <row r="577" spans="1:1" ht="13.5" customHeight="1" x14ac:dyDescent="0.2">
      <c r="A577" s="36"/>
    </row>
    <row r="578" spans="1:1" ht="13.5" customHeight="1" x14ac:dyDescent="0.2">
      <c r="A578" s="36"/>
    </row>
    <row r="579" spans="1:1" ht="13.5" customHeight="1" x14ac:dyDescent="0.2">
      <c r="A579" s="36"/>
    </row>
    <row r="580" spans="1:1" ht="13.5" customHeight="1" x14ac:dyDescent="0.2">
      <c r="A580" s="36"/>
    </row>
    <row r="581" spans="1:1" ht="13.5" customHeight="1" x14ac:dyDescent="0.2">
      <c r="A581" s="36"/>
    </row>
    <row r="582" spans="1:1" ht="13.5" customHeight="1" x14ac:dyDescent="0.2">
      <c r="A582" s="36"/>
    </row>
    <row r="583" spans="1:1" ht="13.5" customHeight="1" x14ac:dyDescent="0.2">
      <c r="A583" s="36"/>
    </row>
    <row r="584" spans="1:1" ht="13.5" customHeight="1" x14ac:dyDescent="0.2">
      <c r="A584" s="36"/>
    </row>
    <row r="585" spans="1:1" ht="13.5" customHeight="1" x14ac:dyDescent="0.2">
      <c r="A585" s="36"/>
    </row>
    <row r="586" spans="1:1" ht="13.5" customHeight="1" x14ac:dyDescent="0.2">
      <c r="A586" s="36"/>
    </row>
    <row r="587" spans="1:1" ht="13.5" customHeight="1" x14ac:dyDescent="0.2">
      <c r="A587" s="36"/>
    </row>
    <row r="588" spans="1:1" ht="13.5" customHeight="1" x14ac:dyDescent="0.2">
      <c r="A588" s="36"/>
    </row>
    <row r="589" spans="1:1" ht="13.5" customHeight="1" x14ac:dyDescent="0.2">
      <c r="A589" s="36"/>
    </row>
    <row r="590" spans="1:1" ht="13.5" customHeight="1" x14ac:dyDescent="0.2">
      <c r="A590" s="36"/>
    </row>
    <row r="591" spans="1:1" ht="13.5" customHeight="1" x14ac:dyDescent="0.2">
      <c r="A591" s="36"/>
    </row>
    <row r="592" spans="1:1" ht="13.5" customHeight="1" x14ac:dyDescent="0.2">
      <c r="A592" s="36"/>
    </row>
    <row r="593" spans="1:1" ht="13.5" customHeight="1" x14ac:dyDescent="0.2">
      <c r="A593" s="36"/>
    </row>
    <row r="594" spans="1:1" ht="13.5" customHeight="1" x14ac:dyDescent="0.2">
      <c r="A594" s="36"/>
    </row>
    <row r="595" spans="1:1" ht="13.5" customHeight="1" x14ac:dyDescent="0.2">
      <c r="A595" s="36"/>
    </row>
    <row r="596" spans="1:1" ht="13.5" customHeight="1" x14ac:dyDescent="0.2">
      <c r="A596" s="36"/>
    </row>
    <row r="597" spans="1:1" ht="13.5" customHeight="1" x14ac:dyDescent="0.2">
      <c r="A597" s="36"/>
    </row>
    <row r="598" spans="1:1" ht="13.5" customHeight="1" x14ac:dyDescent="0.2">
      <c r="A598" s="36"/>
    </row>
    <row r="599" spans="1:1" ht="13.5" customHeight="1" x14ac:dyDescent="0.2">
      <c r="A599" s="36"/>
    </row>
    <row r="600" spans="1:1" ht="13.5" customHeight="1" x14ac:dyDescent="0.2">
      <c r="A600" s="36"/>
    </row>
    <row r="601" spans="1:1" ht="13.5" customHeight="1" x14ac:dyDescent="0.2">
      <c r="A601" s="36"/>
    </row>
    <row r="602" spans="1:1" ht="13.5" customHeight="1" x14ac:dyDescent="0.2">
      <c r="A602" s="36"/>
    </row>
    <row r="603" spans="1:1" ht="13.5" customHeight="1" x14ac:dyDescent="0.2">
      <c r="A603" s="36"/>
    </row>
    <row r="604" spans="1:1" ht="13.5" customHeight="1" x14ac:dyDescent="0.2">
      <c r="A604" s="36"/>
    </row>
    <row r="605" spans="1:1" ht="13.5" customHeight="1" x14ac:dyDescent="0.2">
      <c r="A605" s="36"/>
    </row>
    <row r="606" spans="1:1" ht="13.5" customHeight="1" x14ac:dyDescent="0.2">
      <c r="A606" s="36"/>
    </row>
    <row r="607" spans="1:1" ht="13.5" customHeight="1" x14ac:dyDescent="0.2">
      <c r="A607" s="36"/>
    </row>
    <row r="608" spans="1:1" ht="13.5" customHeight="1" x14ac:dyDescent="0.2">
      <c r="A608" s="36"/>
    </row>
    <row r="609" spans="1:1" ht="13.5" customHeight="1" x14ac:dyDescent="0.2">
      <c r="A609" s="36"/>
    </row>
    <row r="610" spans="1:1" ht="13.5" customHeight="1" x14ac:dyDescent="0.2">
      <c r="A610" s="36"/>
    </row>
    <row r="611" spans="1:1" ht="13.5" customHeight="1" x14ac:dyDescent="0.2">
      <c r="A611" s="36"/>
    </row>
    <row r="612" spans="1:1" ht="13.5" customHeight="1" x14ac:dyDescent="0.2">
      <c r="A612" s="36"/>
    </row>
    <row r="613" spans="1:1" ht="13.5" customHeight="1" x14ac:dyDescent="0.2">
      <c r="A613" s="36"/>
    </row>
    <row r="614" spans="1:1" ht="13.5" customHeight="1" x14ac:dyDescent="0.2">
      <c r="A614" s="36"/>
    </row>
    <row r="615" spans="1:1" ht="13.5" customHeight="1" x14ac:dyDescent="0.2">
      <c r="A615" s="36"/>
    </row>
    <row r="616" spans="1:1" ht="13.5" customHeight="1" x14ac:dyDescent="0.2">
      <c r="A616" s="36"/>
    </row>
    <row r="617" spans="1:1" ht="13.5" customHeight="1" x14ac:dyDescent="0.2">
      <c r="A617" s="36"/>
    </row>
    <row r="618" spans="1:1" ht="13.5" customHeight="1" x14ac:dyDescent="0.2">
      <c r="A618" s="36"/>
    </row>
    <row r="619" spans="1:1" ht="13.5" customHeight="1" x14ac:dyDescent="0.2">
      <c r="A619" s="36"/>
    </row>
    <row r="620" spans="1:1" ht="13.5" customHeight="1" x14ac:dyDescent="0.2">
      <c r="A620" s="36"/>
    </row>
    <row r="621" spans="1:1" ht="13.5" customHeight="1" x14ac:dyDescent="0.2">
      <c r="A621" s="36"/>
    </row>
    <row r="622" spans="1:1" ht="13.5" customHeight="1" x14ac:dyDescent="0.2">
      <c r="A622" s="36"/>
    </row>
    <row r="623" spans="1:1" ht="13.5" customHeight="1" x14ac:dyDescent="0.2">
      <c r="A623" s="36"/>
    </row>
    <row r="624" spans="1:1" ht="13.5" customHeight="1" x14ac:dyDescent="0.2">
      <c r="A624" s="36"/>
    </row>
    <row r="625" spans="1:1" ht="13.5" customHeight="1" x14ac:dyDescent="0.2">
      <c r="A625" s="36"/>
    </row>
    <row r="626" spans="1:1" ht="13.5" customHeight="1" x14ac:dyDescent="0.2">
      <c r="A626" s="36"/>
    </row>
    <row r="627" spans="1:1" ht="13.5" customHeight="1" x14ac:dyDescent="0.2">
      <c r="A627" s="36"/>
    </row>
    <row r="628" spans="1:1" ht="13.5" customHeight="1" x14ac:dyDescent="0.2">
      <c r="A628" s="36"/>
    </row>
    <row r="629" spans="1:1" ht="13.5" customHeight="1" x14ac:dyDescent="0.2">
      <c r="A629" s="36"/>
    </row>
    <row r="630" spans="1:1" ht="13.5" customHeight="1" x14ac:dyDescent="0.2">
      <c r="A630" s="36"/>
    </row>
    <row r="631" spans="1:1" ht="13.5" customHeight="1" x14ac:dyDescent="0.2">
      <c r="A631" s="36"/>
    </row>
    <row r="632" spans="1:1" ht="13.5" customHeight="1" x14ac:dyDescent="0.2">
      <c r="A632" s="36"/>
    </row>
    <row r="633" spans="1:1" ht="13.5" customHeight="1" x14ac:dyDescent="0.2">
      <c r="A633" s="36"/>
    </row>
    <row r="634" spans="1:1" ht="13.5" customHeight="1" x14ac:dyDescent="0.2">
      <c r="A634" s="36"/>
    </row>
    <row r="635" spans="1:1" ht="13.5" customHeight="1" x14ac:dyDescent="0.2">
      <c r="A635" s="36"/>
    </row>
    <row r="636" spans="1:1" ht="13.5" customHeight="1" x14ac:dyDescent="0.2">
      <c r="A636" s="36"/>
    </row>
    <row r="637" spans="1:1" ht="13.5" customHeight="1" x14ac:dyDescent="0.2">
      <c r="A637" s="36"/>
    </row>
    <row r="638" spans="1:1" ht="13.5" customHeight="1" x14ac:dyDescent="0.2">
      <c r="A638" s="36"/>
    </row>
    <row r="639" spans="1:1" ht="13.5" customHeight="1" x14ac:dyDescent="0.2">
      <c r="A639" s="36"/>
    </row>
    <row r="640" spans="1:1" ht="13.5" customHeight="1" x14ac:dyDescent="0.2">
      <c r="A640" s="36"/>
    </row>
    <row r="641" spans="1:1" ht="13.5" customHeight="1" x14ac:dyDescent="0.2">
      <c r="A641" s="36"/>
    </row>
    <row r="642" spans="1:1" ht="13.5" customHeight="1" x14ac:dyDescent="0.2">
      <c r="A642" s="36"/>
    </row>
    <row r="643" spans="1:1" ht="13.5" customHeight="1" x14ac:dyDescent="0.2">
      <c r="A643" s="36"/>
    </row>
    <row r="644" spans="1:1" ht="13.5" customHeight="1" x14ac:dyDescent="0.2">
      <c r="A644" s="36"/>
    </row>
    <row r="645" spans="1:1" ht="13.5" customHeight="1" x14ac:dyDescent="0.2">
      <c r="A645" s="36"/>
    </row>
    <row r="646" spans="1:1" ht="13.5" customHeight="1" x14ac:dyDescent="0.2">
      <c r="A646" s="36"/>
    </row>
    <row r="647" spans="1:1" ht="13.5" customHeight="1" x14ac:dyDescent="0.2">
      <c r="A647" s="36"/>
    </row>
    <row r="648" spans="1:1" ht="13.5" customHeight="1" x14ac:dyDescent="0.2">
      <c r="A648" s="36"/>
    </row>
    <row r="649" spans="1:1" ht="13.5" customHeight="1" x14ac:dyDescent="0.2">
      <c r="A649" s="36"/>
    </row>
    <row r="650" spans="1:1" ht="13.5" customHeight="1" x14ac:dyDescent="0.2">
      <c r="A650" s="36"/>
    </row>
    <row r="651" spans="1:1" ht="13.5" customHeight="1" x14ac:dyDescent="0.2">
      <c r="A651" s="36"/>
    </row>
    <row r="652" spans="1:1" ht="13.5" customHeight="1" x14ac:dyDescent="0.2">
      <c r="A652" s="36"/>
    </row>
    <row r="653" spans="1:1" ht="13.5" customHeight="1" x14ac:dyDescent="0.2">
      <c r="A653" s="36"/>
    </row>
    <row r="654" spans="1:1" ht="13.5" customHeight="1" x14ac:dyDescent="0.2">
      <c r="A654" s="36"/>
    </row>
    <row r="655" spans="1:1" ht="13.5" customHeight="1" x14ac:dyDescent="0.2">
      <c r="A655" s="36"/>
    </row>
    <row r="656" spans="1:1" ht="13.5" customHeight="1" x14ac:dyDescent="0.2">
      <c r="A656" s="36"/>
    </row>
    <row r="657" spans="1:1" ht="13.5" customHeight="1" x14ac:dyDescent="0.2">
      <c r="A657" s="36"/>
    </row>
    <row r="658" spans="1:1" ht="13.5" customHeight="1" x14ac:dyDescent="0.2">
      <c r="A658" s="36"/>
    </row>
    <row r="659" spans="1:1" ht="13.5" customHeight="1" x14ac:dyDescent="0.2">
      <c r="A659" s="36"/>
    </row>
    <row r="660" spans="1:1" ht="13.5" customHeight="1" x14ac:dyDescent="0.2">
      <c r="A660" s="36"/>
    </row>
    <row r="661" spans="1:1" ht="13.5" customHeight="1" x14ac:dyDescent="0.2">
      <c r="A661" s="36"/>
    </row>
    <row r="662" spans="1:1" ht="13.5" customHeight="1" x14ac:dyDescent="0.2">
      <c r="A662" s="36"/>
    </row>
    <row r="663" spans="1:1" ht="13.5" customHeight="1" x14ac:dyDescent="0.2">
      <c r="A663" s="36"/>
    </row>
    <row r="664" spans="1:1" ht="13.5" customHeight="1" x14ac:dyDescent="0.2">
      <c r="A664" s="36"/>
    </row>
    <row r="665" spans="1:1" ht="13.5" customHeight="1" x14ac:dyDescent="0.2">
      <c r="A665" s="36"/>
    </row>
    <row r="666" spans="1:1" ht="13.5" customHeight="1" x14ac:dyDescent="0.2">
      <c r="A666" s="36"/>
    </row>
    <row r="667" spans="1:1" ht="13.5" customHeight="1" x14ac:dyDescent="0.2">
      <c r="A667" s="36"/>
    </row>
    <row r="668" spans="1:1" ht="13.5" customHeight="1" x14ac:dyDescent="0.2">
      <c r="A668" s="36"/>
    </row>
    <row r="669" spans="1:1" ht="13.5" customHeight="1" x14ac:dyDescent="0.2">
      <c r="A669" s="36"/>
    </row>
    <row r="670" spans="1:1" ht="13.5" customHeight="1" x14ac:dyDescent="0.2">
      <c r="A670" s="36"/>
    </row>
    <row r="671" spans="1:1" ht="13.5" customHeight="1" x14ac:dyDescent="0.2">
      <c r="A671" s="36"/>
    </row>
    <row r="672" spans="1:1" ht="13.5" customHeight="1" x14ac:dyDescent="0.2">
      <c r="A672" s="36"/>
    </row>
    <row r="673" spans="1:1" ht="13.5" customHeight="1" x14ac:dyDescent="0.2">
      <c r="A673" s="36"/>
    </row>
    <row r="674" spans="1:1" ht="13.5" customHeight="1" x14ac:dyDescent="0.2">
      <c r="A674" s="36"/>
    </row>
    <row r="675" spans="1:1" ht="13.5" customHeight="1" x14ac:dyDescent="0.2">
      <c r="A675" s="36"/>
    </row>
    <row r="676" spans="1:1" ht="13.5" customHeight="1" x14ac:dyDescent="0.2">
      <c r="A676" s="36"/>
    </row>
    <row r="677" spans="1:1" ht="13.5" customHeight="1" x14ac:dyDescent="0.2">
      <c r="A677" s="36"/>
    </row>
    <row r="678" spans="1:1" ht="13.5" customHeight="1" x14ac:dyDescent="0.2">
      <c r="A678" s="36"/>
    </row>
    <row r="679" spans="1:1" ht="13.5" customHeight="1" x14ac:dyDescent="0.2">
      <c r="A679" s="36"/>
    </row>
    <row r="680" spans="1:1" ht="13.5" customHeight="1" x14ac:dyDescent="0.2">
      <c r="A680" s="36"/>
    </row>
    <row r="681" spans="1:1" ht="13.5" customHeight="1" x14ac:dyDescent="0.2">
      <c r="A681" s="36"/>
    </row>
    <row r="682" spans="1:1" ht="13.5" customHeight="1" x14ac:dyDescent="0.2">
      <c r="A682" s="36"/>
    </row>
    <row r="683" spans="1:1" ht="13.5" customHeight="1" x14ac:dyDescent="0.2">
      <c r="A683" s="36"/>
    </row>
    <row r="684" spans="1:1" ht="13.5" customHeight="1" x14ac:dyDescent="0.2">
      <c r="A684" s="36"/>
    </row>
    <row r="685" spans="1:1" ht="13.5" customHeight="1" x14ac:dyDescent="0.2">
      <c r="A685" s="36"/>
    </row>
    <row r="686" spans="1:1" ht="13.5" customHeight="1" x14ac:dyDescent="0.2">
      <c r="A686" s="36"/>
    </row>
    <row r="687" spans="1:1" ht="13.5" customHeight="1" x14ac:dyDescent="0.2">
      <c r="A687" s="36"/>
    </row>
    <row r="688" spans="1:1" ht="13.5" customHeight="1" x14ac:dyDescent="0.2">
      <c r="A688" s="36"/>
    </row>
    <row r="689" spans="1:1" ht="13.5" customHeight="1" x14ac:dyDescent="0.2">
      <c r="A689" s="36"/>
    </row>
    <row r="690" spans="1:1" ht="13.5" customHeight="1" x14ac:dyDescent="0.2">
      <c r="A690" s="36"/>
    </row>
    <row r="691" spans="1:1" ht="13.5" customHeight="1" x14ac:dyDescent="0.2">
      <c r="A691" s="36"/>
    </row>
    <row r="692" spans="1:1" ht="13.5" customHeight="1" x14ac:dyDescent="0.2">
      <c r="A692" s="36"/>
    </row>
    <row r="693" spans="1:1" ht="13.5" customHeight="1" x14ac:dyDescent="0.2">
      <c r="A693" s="36"/>
    </row>
    <row r="694" spans="1:1" ht="13.5" customHeight="1" x14ac:dyDescent="0.2">
      <c r="A694" s="36"/>
    </row>
    <row r="695" spans="1:1" ht="13.5" customHeight="1" x14ac:dyDescent="0.2">
      <c r="A695" s="36"/>
    </row>
    <row r="696" spans="1:1" ht="13.5" customHeight="1" x14ac:dyDescent="0.2">
      <c r="A696" s="36"/>
    </row>
    <row r="697" spans="1:1" ht="13.5" customHeight="1" x14ac:dyDescent="0.2">
      <c r="A697" s="36"/>
    </row>
    <row r="698" spans="1:1" ht="13.5" customHeight="1" x14ac:dyDescent="0.2">
      <c r="A698" s="36"/>
    </row>
    <row r="699" spans="1:1" ht="13.5" customHeight="1" x14ac:dyDescent="0.2">
      <c r="A699" s="36"/>
    </row>
    <row r="700" spans="1:1" ht="13.5" customHeight="1" x14ac:dyDescent="0.2">
      <c r="A700" s="36"/>
    </row>
    <row r="701" spans="1:1" ht="13.5" customHeight="1" x14ac:dyDescent="0.2">
      <c r="A701" s="36"/>
    </row>
    <row r="702" spans="1:1" ht="13.5" customHeight="1" x14ac:dyDescent="0.2">
      <c r="A702" s="36"/>
    </row>
    <row r="703" spans="1:1" ht="13.5" customHeight="1" x14ac:dyDescent="0.2">
      <c r="A703" s="36"/>
    </row>
    <row r="704" spans="1:1" ht="13.5" customHeight="1" x14ac:dyDescent="0.2">
      <c r="A704" s="36"/>
    </row>
    <row r="705" spans="1:1" ht="13.5" customHeight="1" x14ac:dyDescent="0.2">
      <c r="A705" s="36"/>
    </row>
    <row r="706" spans="1:1" ht="13.5" customHeight="1" x14ac:dyDescent="0.2">
      <c r="A706" s="36"/>
    </row>
    <row r="707" spans="1:1" ht="13.5" customHeight="1" x14ac:dyDescent="0.2">
      <c r="A707" s="36"/>
    </row>
    <row r="708" spans="1:1" ht="13.5" customHeight="1" x14ac:dyDescent="0.2">
      <c r="A708" s="36"/>
    </row>
    <row r="709" spans="1:1" ht="13.5" customHeight="1" x14ac:dyDescent="0.2">
      <c r="A709" s="36"/>
    </row>
    <row r="710" spans="1:1" ht="13.5" customHeight="1" x14ac:dyDescent="0.2">
      <c r="A710" s="36"/>
    </row>
    <row r="711" spans="1:1" ht="13.5" customHeight="1" x14ac:dyDescent="0.2">
      <c r="A711" s="36"/>
    </row>
    <row r="712" spans="1:1" ht="13.5" customHeight="1" x14ac:dyDescent="0.2">
      <c r="A712" s="36"/>
    </row>
    <row r="713" spans="1:1" ht="13.5" customHeight="1" x14ac:dyDescent="0.2">
      <c r="A713" s="36"/>
    </row>
    <row r="714" spans="1:1" ht="13.5" customHeight="1" x14ac:dyDescent="0.2">
      <c r="A714" s="36"/>
    </row>
    <row r="715" spans="1:1" ht="13.5" customHeight="1" x14ac:dyDescent="0.2">
      <c r="A715" s="36"/>
    </row>
    <row r="716" spans="1:1" ht="13.5" customHeight="1" x14ac:dyDescent="0.2">
      <c r="A716" s="36"/>
    </row>
    <row r="717" spans="1:1" ht="13.5" customHeight="1" x14ac:dyDescent="0.2">
      <c r="A717" s="36"/>
    </row>
    <row r="718" spans="1:1" ht="13.5" customHeight="1" x14ac:dyDescent="0.2">
      <c r="A718" s="36"/>
    </row>
    <row r="719" spans="1:1" ht="13.5" customHeight="1" x14ac:dyDescent="0.2">
      <c r="A719" s="36"/>
    </row>
    <row r="720" spans="1:1" ht="13.5" customHeight="1" x14ac:dyDescent="0.2">
      <c r="A720" s="36"/>
    </row>
    <row r="721" spans="1:1" ht="13.5" customHeight="1" x14ac:dyDescent="0.2">
      <c r="A721" s="36"/>
    </row>
    <row r="722" spans="1:1" ht="13.5" customHeight="1" x14ac:dyDescent="0.2">
      <c r="A722" s="36"/>
    </row>
    <row r="723" spans="1:1" ht="13.5" customHeight="1" x14ac:dyDescent="0.2">
      <c r="A723" s="36"/>
    </row>
    <row r="724" spans="1:1" ht="13.5" customHeight="1" x14ac:dyDescent="0.2">
      <c r="A724" s="36"/>
    </row>
    <row r="725" spans="1:1" ht="13.5" customHeight="1" x14ac:dyDescent="0.2">
      <c r="A725" s="36"/>
    </row>
    <row r="726" spans="1:1" ht="13.5" customHeight="1" x14ac:dyDescent="0.2">
      <c r="A726" s="36"/>
    </row>
    <row r="727" spans="1:1" ht="13.5" customHeight="1" x14ac:dyDescent="0.2">
      <c r="A727" s="36"/>
    </row>
    <row r="728" spans="1:1" ht="13.5" customHeight="1" x14ac:dyDescent="0.2">
      <c r="A728" s="36"/>
    </row>
    <row r="729" spans="1:1" ht="13.5" customHeight="1" x14ac:dyDescent="0.2">
      <c r="A729" s="36"/>
    </row>
    <row r="730" spans="1:1" ht="13.5" customHeight="1" x14ac:dyDescent="0.2">
      <c r="A730" s="36"/>
    </row>
    <row r="731" spans="1:1" ht="13.5" customHeight="1" x14ac:dyDescent="0.2">
      <c r="A731" s="36"/>
    </row>
    <row r="732" spans="1:1" ht="13.5" customHeight="1" x14ac:dyDescent="0.2">
      <c r="A732" s="36"/>
    </row>
    <row r="733" spans="1:1" ht="13.5" customHeight="1" x14ac:dyDescent="0.2">
      <c r="A733" s="36"/>
    </row>
    <row r="734" spans="1:1" ht="13.5" customHeight="1" x14ac:dyDescent="0.2">
      <c r="A734" s="36"/>
    </row>
    <row r="735" spans="1:1" ht="13.5" customHeight="1" x14ac:dyDescent="0.2">
      <c r="A735" s="36"/>
    </row>
    <row r="736" spans="1:1" ht="13.5" customHeight="1" x14ac:dyDescent="0.2">
      <c r="A736" s="36"/>
    </row>
    <row r="737" spans="1:1" ht="13.5" customHeight="1" x14ac:dyDescent="0.2">
      <c r="A737" s="36"/>
    </row>
    <row r="738" spans="1:1" ht="13.5" customHeight="1" x14ac:dyDescent="0.2">
      <c r="A738" s="36"/>
    </row>
    <row r="739" spans="1:1" ht="13.5" customHeight="1" x14ac:dyDescent="0.2">
      <c r="A739" s="36"/>
    </row>
    <row r="740" spans="1:1" ht="13.5" customHeight="1" x14ac:dyDescent="0.2">
      <c r="A740" s="36"/>
    </row>
    <row r="741" spans="1:1" ht="13.5" customHeight="1" x14ac:dyDescent="0.2">
      <c r="A741" s="36"/>
    </row>
    <row r="742" spans="1:1" ht="13.5" customHeight="1" x14ac:dyDescent="0.2">
      <c r="A742" s="36"/>
    </row>
    <row r="743" spans="1:1" ht="13.5" customHeight="1" x14ac:dyDescent="0.2">
      <c r="A743" s="36"/>
    </row>
    <row r="744" spans="1:1" ht="13.5" customHeight="1" x14ac:dyDescent="0.2">
      <c r="A744" s="36"/>
    </row>
    <row r="745" spans="1:1" ht="13.5" customHeight="1" x14ac:dyDescent="0.2">
      <c r="A745" s="36"/>
    </row>
    <row r="746" spans="1:1" ht="13.5" customHeight="1" x14ac:dyDescent="0.2">
      <c r="A746" s="36"/>
    </row>
    <row r="747" spans="1:1" ht="13.5" customHeight="1" x14ac:dyDescent="0.2">
      <c r="A747" s="36"/>
    </row>
    <row r="748" spans="1:1" ht="13.5" customHeight="1" x14ac:dyDescent="0.2">
      <c r="A748" s="36"/>
    </row>
    <row r="749" spans="1:1" ht="13.5" customHeight="1" x14ac:dyDescent="0.2">
      <c r="A749" s="36"/>
    </row>
    <row r="750" spans="1:1" ht="13.5" customHeight="1" x14ac:dyDescent="0.2">
      <c r="A750" s="36"/>
    </row>
    <row r="751" spans="1:1" ht="13.5" customHeight="1" x14ac:dyDescent="0.2">
      <c r="A751" s="36"/>
    </row>
    <row r="752" spans="1:1" ht="13.5" customHeight="1" x14ac:dyDescent="0.2">
      <c r="A752" s="36"/>
    </row>
    <row r="753" spans="1:1" ht="13.5" customHeight="1" x14ac:dyDescent="0.2">
      <c r="A753" s="36"/>
    </row>
    <row r="754" spans="1:1" ht="13.5" customHeight="1" x14ac:dyDescent="0.2">
      <c r="A754" s="36"/>
    </row>
    <row r="755" spans="1:1" ht="13.5" customHeight="1" x14ac:dyDescent="0.2">
      <c r="A755" s="36"/>
    </row>
    <row r="756" spans="1:1" ht="13.5" customHeight="1" x14ac:dyDescent="0.2">
      <c r="A756" s="36"/>
    </row>
    <row r="757" spans="1:1" ht="13.5" customHeight="1" x14ac:dyDescent="0.2">
      <c r="A757" s="36"/>
    </row>
    <row r="758" spans="1:1" ht="13.5" customHeight="1" x14ac:dyDescent="0.2">
      <c r="A758" s="36"/>
    </row>
    <row r="759" spans="1:1" ht="13.5" customHeight="1" x14ac:dyDescent="0.2">
      <c r="A759" s="36"/>
    </row>
    <row r="760" spans="1:1" ht="13.5" customHeight="1" x14ac:dyDescent="0.2">
      <c r="A760" s="36"/>
    </row>
    <row r="761" spans="1:1" ht="13.5" customHeight="1" x14ac:dyDescent="0.2">
      <c r="A761" s="36"/>
    </row>
    <row r="762" spans="1:1" ht="13.5" customHeight="1" x14ac:dyDescent="0.2">
      <c r="A762" s="36"/>
    </row>
    <row r="763" spans="1:1" ht="13.5" customHeight="1" x14ac:dyDescent="0.2">
      <c r="A763" s="36"/>
    </row>
    <row r="764" spans="1:1" ht="13.5" customHeight="1" x14ac:dyDescent="0.2">
      <c r="A764" s="36"/>
    </row>
    <row r="765" spans="1:1" ht="13.5" customHeight="1" x14ac:dyDescent="0.2">
      <c r="A765" s="36"/>
    </row>
    <row r="766" spans="1:1" ht="13.5" customHeight="1" x14ac:dyDescent="0.2">
      <c r="A766" s="36"/>
    </row>
    <row r="767" spans="1:1" ht="13.5" customHeight="1" x14ac:dyDescent="0.2">
      <c r="A767" s="36"/>
    </row>
    <row r="768" spans="1:1" ht="13.5" customHeight="1" x14ac:dyDescent="0.2">
      <c r="A768" s="36"/>
    </row>
    <row r="769" spans="1:1" ht="13.5" customHeight="1" x14ac:dyDescent="0.2">
      <c r="A769" s="36"/>
    </row>
    <row r="770" spans="1:1" ht="13.5" customHeight="1" x14ac:dyDescent="0.2">
      <c r="A770" s="36"/>
    </row>
    <row r="771" spans="1:1" ht="13.5" customHeight="1" x14ac:dyDescent="0.2">
      <c r="A771" s="36"/>
    </row>
    <row r="772" spans="1:1" ht="13.5" customHeight="1" x14ac:dyDescent="0.2">
      <c r="A772" s="36"/>
    </row>
    <row r="773" spans="1:1" ht="13.5" customHeight="1" x14ac:dyDescent="0.2">
      <c r="A773" s="36"/>
    </row>
    <row r="774" spans="1:1" ht="13.5" customHeight="1" x14ac:dyDescent="0.2">
      <c r="A774" s="36"/>
    </row>
    <row r="775" spans="1:1" ht="13.5" customHeight="1" x14ac:dyDescent="0.2">
      <c r="A775" s="36"/>
    </row>
    <row r="776" spans="1:1" ht="13.5" customHeight="1" x14ac:dyDescent="0.2">
      <c r="A776" s="36"/>
    </row>
    <row r="777" spans="1:1" ht="13.5" customHeight="1" x14ac:dyDescent="0.2">
      <c r="A777" s="36"/>
    </row>
    <row r="778" spans="1:1" ht="13.5" customHeight="1" x14ac:dyDescent="0.2">
      <c r="A778" s="36"/>
    </row>
    <row r="779" spans="1:1" ht="13.5" customHeight="1" x14ac:dyDescent="0.2">
      <c r="A779" s="36"/>
    </row>
    <row r="780" spans="1:1" ht="13.5" customHeight="1" x14ac:dyDescent="0.2">
      <c r="A780" s="36"/>
    </row>
    <row r="781" spans="1:1" ht="13.5" customHeight="1" x14ac:dyDescent="0.2">
      <c r="A781" s="36"/>
    </row>
    <row r="782" spans="1:1" ht="13.5" customHeight="1" x14ac:dyDescent="0.2">
      <c r="A782" s="36"/>
    </row>
    <row r="783" spans="1:1" ht="13.5" customHeight="1" x14ac:dyDescent="0.2">
      <c r="A783" s="36"/>
    </row>
    <row r="784" spans="1:1" ht="13.5" customHeight="1" x14ac:dyDescent="0.2">
      <c r="A784" s="36"/>
    </row>
    <row r="785" spans="1:1" ht="13.5" customHeight="1" x14ac:dyDescent="0.2">
      <c r="A785" s="36"/>
    </row>
    <row r="786" spans="1:1" ht="13.5" customHeight="1" x14ac:dyDescent="0.2">
      <c r="A786" s="36"/>
    </row>
    <row r="787" spans="1:1" ht="13.5" customHeight="1" x14ac:dyDescent="0.2">
      <c r="A787" s="36"/>
    </row>
    <row r="788" spans="1:1" ht="13.5" customHeight="1" x14ac:dyDescent="0.2">
      <c r="A788" s="36"/>
    </row>
    <row r="789" spans="1:1" ht="13.5" customHeight="1" x14ac:dyDescent="0.2">
      <c r="A789" s="36"/>
    </row>
    <row r="790" spans="1:1" ht="13.5" customHeight="1" x14ac:dyDescent="0.2">
      <c r="A790" s="36"/>
    </row>
    <row r="791" spans="1:1" ht="13.5" customHeight="1" x14ac:dyDescent="0.2">
      <c r="A791" s="36"/>
    </row>
    <row r="792" spans="1:1" ht="13.5" customHeight="1" x14ac:dyDescent="0.2">
      <c r="A792" s="36"/>
    </row>
    <row r="793" spans="1:1" ht="13.5" customHeight="1" x14ac:dyDescent="0.2">
      <c r="A793" s="36"/>
    </row>
    <row r="794" spans="1:1" ht="13.5" customHeight="1" x14ac:dyDescent="0.2">
      <c r="A794" s="36"/>
    </row>
    <row r="795" spans="1:1" ht="13.5" customHeight="1" x14ac:dyDescent="0.2">
      <c r="A795" s="36"/>
    </row>
    <row r="796" spans="1:1" ht="13.5" customHeight="1" x14ac:dyDescent="0.2">
      <c r="A796" s="36"/>
    </row>
    <row r="797" spans="1:1" ht="13.5" customHeight="1" x14ac:dyDescent="0.2">
      <c r="A797" s="36"/>
    </row>
    <row r="798" spans="1:1" ht="13.5" customHeight="1" x14ac:dyDescent="0.2">
      <c r="A798" s="36"/>
    </row>
    <row r="799" spans="1:1" ht="13.5" customHeight="1" x14ac:dyDescent="0.2">
      <c r="A799" s="36"/>
    </row>
    <row r="800" spans="1:1" ht="13.5" customHeight="1" x14ac:dyDescent="0.2">
      <c r="A800" s="36"/>
    </row>
    <row r="801" spans="1:1" ht="13.5" customHeight="1" x14ac:dyDescent="0.2">
      <c r="A801" s="36"/>
    </row>
    <row r="802" spans="1:1" ht="13.5" customHeight="1" x14ac:dyDescent="0.2">
      <c r="A802" s="36"/>
    </row>
    <row r="803" spans="1:1" ht="13.5" customHeight="1" x14ac:dyDescent="0.2">
      <c r="A803" s="36"/>
    </row>
    <row r="804" spans="1:1" ht="13.5" customHeight="1" x14ac:dyDescent="0.2">
      <c r="A804" s="36"/>
    </row>
    <row r="805" spans="1:1" ht="13.5" customHeight="1" x14ac:dyDescent="0.2">
      <c r="A805" s="36"/>
    </row>
    <row r="806" spans="1:1" ht="13.5" customHeight="1" x14ac:dyDescent="0.2">
      <c r="A806" s="36"/>
    </row>
    <row r="807" spans="1:1" ht="13.5" customHeight="1" x14ac:dyDescent="0.2">
      <c r="A807" s="36"/>
    </row>
    <row r="808" spans="1:1" ht="13.5" customHeight="1" x14ac:dyDescent="0.2">
      <c r="A808" s="36"/>
    </row>
    <row r="809" spans="1:1" ht="13.5" customHeight="1" x14ac:dyDescent="0.2">
      <c r="A809" s="36"/>
    </row>
    <row r="810" spans="1:1" ht="13.5" customHeight="1" x14ac:dyDescent="0.2">
      <c r="A810" s="36"/>
    </row>
    <row r="811" spans="1:1" ht="13.5" customHeight="1" x14ac:dyDescent="0.2">
      <c r="A811" s="36"/>
    </row>
    <row r="812" spans="1:1" ht="13.5" customHeight="1" x14ac:dyDescent="0.2">
      <c r="A812" s="36"/>
    </row>
    <row r="813" spans="1:1" ht="13.5" customHeight="1" x14ac:dyDescent="0.2">
      <c r="A813" s="36"/>
    </row>
    <row r="814" spans="1:1" ht="13.5" customHeight="1" x14ac:dyDescent="0.2">
      <c r="A814" s="36"/>
    </row>
    <row r="815" spans="1:1" ht="13.5" customHeight="1" x14ac:dyDescent="0.2">
      <c r="A815" s="36"/>
    </row>
    <row r="816" spans="1:1" ht="13.5" customHeight="1" x14ac:dyDescent="0.2">
      <c r="A816" s="36"/>
    </row>
    <row r="817" spans="1:1" ht="13.5" customHeight="1" x14ac:dyDescent="0.2">
      <c r="A817" s="36"/>
    </row>
    <row r="818" spans="1:1" ht="13.5" customHeight="1" x14ac:dyDescent="0.2">
      <c r="A818" s="36"/>
    </row>
    <row r="819" spans="1:1" ht="13.5" customHeight="1" x14ac:dyDescent="0.2">
      <c r="A819" s="36"/>
    </row>
    <row r="820" spans="1:1" ht="13.5" customHeight="1" x14ac:dyDescent="0.2">
      <c r="A820" s="36"/>
    </row>
    <row r="821" spans="1:1" ht="13.5" customHeight="1" x14ac:dyDescent="0.2">
      <c r="A821" s="36"/>
    </row>
    <row r="822" spans="1:1" ht="13.5" customHeight="1" x14ac:dyDescent="0.2">
      <c r="A822" s="36"/>
    </row>
    <row r="823" spans="1:1" ht="13.5" customHeight="1" x14ac:dyDescent="0.2">
      <c r="A823" s="36"/>
    </row>
    <row r="824" spans="1:1" ht="13.5" customHeight="1" x14ac:dyDescent="0.2">
      <c r="A824" s="36"/>
    </row>
    <row r="825" spans="1:1" ht="13.5" customHeight="1" x14ac:dyDescent="0.2">
      <c r="A825" s="36"/>
    </row>
    <row r="826" spans="1:1" ht="13.5" customHeight="1" x14ac:dyDescent="0.2">
      <c r="A826" s="36"/>
    </row>
    <row r="827" spans="1:1" ht="13.5" customHeight="1" x14ac:dyDescent="0.2">
      <c r="A827" s="36"/>
    </row>
    <row r="828" spans="1:1" ht="13.5" customHeight="1" x14ac:dyDescent="0.2">
      <c r="A828" s="36"/>
    </row>
    <row r="829" spans="1:1" ht="13.5" customHeight="1" x14ac:dyDescent="0.2">
      <c r="A829" s="36"/>
    </row>
    <row r="830" spans="1:1" ht="13.5" customHeight="1" x14ac:dyDescent="0.2">
      <c r="A830" s="36"/>
    </row>
    <row r="831" spans="1:1" ht="13.5" customHeight="1" x14ac:dyDescent="0.2">
      <c r="A831" s="36"/>
    </row>
    <row r="832" spans="1:1" ht="13.5" customHeight="1" x14ac:dyDescent="0.2">
      <c r="A832" s="36"/>
    </row>
    <row r="833" spans="1:1" ht="13.5" customHeight="1" x14ac:dyDescent="0.2">
      <c r="A833" s="36"/>
    </row>
    <row r="834" spans="1:1" ht="13.5" customHeight="1" x14ac:dyDescent="0.2">
      <c r="A834" s="36"/>
    </row>
    <row r="835" spans="1:1" ht="13.5" customHeight="1" x14ac:dyDescent="0.2">
      <c r="A835" s="36"/>
    </row>
    <row r="836" spans="1:1" ht="13.5" customHeight="1" x14ac:dyDescent="0.2">
      <c r="A836" s="36"/>
    </row>
    <row r="837" spans="1:1" ht="13.5" customHeight="1" x14ac:dyDescent="0.2">
      <c r="A837" s="36"/>
    </row>
    <row r="838" spans="1:1" ht="13.5" customHeight="1" x14ac:dyDescent="0.2">
      <c r="A838" s="36"/>
    </row>
    <row r="839" spans="1:1" ht="13.5" customHeight="1" x14ac:dyDescent="0.2">
      <c r="A839" s="36"/>
    </row>
    <row r="840" spans="1:1" ht="13.5" customHeight="1" x14ac:dyDescent="0.2">
      <c r="A840" s="36"/>
    </row>
    <row r="841" spans="1:1" ht="13.5" customHeight="1" x14ac:dyDescent="0.2">
      <c r="A841" s="36"/>
    </row>
    <row r="842" spans="1:1" ht="13.5" customHeight="1" x14ac:dyDescent="0.2">
      <c r="A842" s="36"/>
    </row>
    <row r="843" spans="1:1" ht="13.5" customHeight="1" x14ac:dyDescent="0.2">
      <c r="A843" s="36"/>
    </row>
    <row r="844" spans="1:1" ht="13.5" customHeight="1" x14ac:dyDescent="0.2">
      <c r="A844" s="36"/>
    </row>
    <row r="845" spans="1:1" ht="13.5" customHeight="1" x14ac:dyDescent="0.2">
      <c r="A845" s="36"/>
    </row>
    <row r="846" spans="1:1" ht="13.5" customHeight="1" x14ac:dyDescent="0.2">
      <c r="A846" s="36"/>
    </row>
    <row r="847" spans="1:1" ht="13.5" customHeight="1" x14ac:dyDescent="0.2">
      <c r="A847" s="36"/>
    </row>
    <row r="848" spans="1:1" ht="13.5" customHeight="1" x14ac:dyDescent="0.2">
      <c r="A848" s="36"/>
    </row>
    <row r="849" spans="1:1" ht="13.5" customHeight="1" x14ac:dyDescent="0.2">
      <c r="A849" s="36"/>
    </row>
    <row r="850" spans="1:1" ht="13.5" customHeight="1" x14ac:dyDescent="0.2">
      <c r="A850" s="36"/>
    </row>
    <row r="851" spans="1:1" ht="13.5" customHeight="1" x14ac:dyDescent="0.2">
      <c r="A851" s="36"/>
    </row>
    <row r="852" spans="1:1" ht="13.5" customHeight="1" x14ac:dyDescent="0.2">
      <c r="A852" s="36"/>
    </row>
    <row r="853" spans="1:1" ht="13.5" customHeight="1" x14ac:dyDescent="0.2">
      <c r="A853" s="36"/>
    </row>
    <row r="854" spans="1:1" ht="13.5" customHeight="1" x14ac:dyDescent="0.2">
      <c r="A854" s="36"/>
    </row>
    <row r="855" spans="1:1" ht="13.5" customHeight="1" x14ac:dyDescent="0.2">
      <c r="A855" s="36"/>
    </row>
    <row r="856" spans="1:1" ht="13.5" customHeight="1" x14ac:dyDescent="0.2">
      <c r="A856" s="36"/>
    </row>
    <row r="857" spans="1:1" ht="13.5" customHeight="1" x14ac:dyDescent="0.2">
      <c r="A857" s="36"/>
    </row>
    <row r="858" spans="1:1" ht="13.5" customHeight="1" x14ac:dyDescent="0.2">
      <c r="A858" s="36"/>
    </row>
    <row r="859" spans="1:1" ht="13.5" customHeight="1" x14ac:dyDescent="0.2">
      <c r="A859" s="36"/>
    </row>
    <row r="860" spans="1:1" ht="13.5" customHeight="1" x14ac:dyDescent="0.2">
      <c r="A860" s="36"/>
    </row>
    <row r="861" spans="1:1" ht="13.5" customHeight="1" x14ac:dyDescent="0.2">
      <c r="A861" s="36"/>
    </row>
    <row r="862" spans="1:1" ht="13.5" customHeight="1" x14ac:dyDescent="0.2">
      <c r="A862" s="36"/>
    </row>
    <row r="863" spans="1:1" ht="13.5" customHeight="1" x14ac:dyDescent="0.2">
      <c r="A863" s="36"/>
    </row>
    <row r="864" spans="1:1" ht="13.5" customHeight="1" x14ac:dyDescent="0.2">
      <c r="A864" s="36"/>
    </row>
    <row r="865" spans="1:1" ht="13.5" customHeight="1" x14ac:dyDescent="0.2">
      <c r="A865" s="36"/>
    </row>
    <row r="866" spans="1:1" ht="13.5" customHeight="1" x14ac:dyDescent="0.2">
      <c r="A866" s="36"/>
    </row>
    <row r="867" spans="1:1" ht="13.5" customHeight="1" x14ac:dyDescent="0.2">
      <c r="A867" s="36"/>
    </row>
    <row r="868" spans="1:1" ht="13.5" customHeight="1" x14ac:dyDescent="0.2">
      <c r="A868" s="36"/>
    </row>
    <row r="869" spans="1:1" ht="13.5" customHeight="1" x14ac:dyDescent="0.2">
      <c r="A869" s="36"/>
    </row>
    <row r="870" spans="1:1" ht="13.5" customHeight="1" x14ac:dyDescent="0.2">
      <c r="A870" s="36"/>
    </row>
    <row r="871" spans="1:1" ht="13.5" customHeight="1" x14ac:dyDescent="0.2">
      <c r="A871" s="36"/>
    </row>
    <row r="872" spans="1:1" ht="13.5" customHeight="1" x14ac:dyDescent="0.2">
      <c r="A872" s="36"/>
    </row>
    <row r="873" spans="1:1" ht="13.5" customHeight="1" x14ac:dyDescent="0.2">
      <c r="A873" s="36"/>
    </row>
    <row r="874" spans="1:1" ht="13.5" customHeight="1" x14ac:dyDescent="0.2">
      <c r="A874" s="36"/>
    </row>
    <row r="875" spans="1:1" ht="13.5" customHeight="1" x14ac:dyDescent="0.2">
      <c r="A875" s="36"/>
    </row>
    <row r="876" spans="1:1" ht="13.5" customHeight="1" x14ac:dyDescent="0.2">
      <c r="A876" s="36"/>
    </row>
    <row r="877" spans="1:1" ht="13.5" customHeight="1" x14ac:dyDescent="0.2">
      <c r="A877" s="36"/>
    </row>
    <row r="878" spans="1:1" ht="13.5" customHeight="1" x14ac:dyDescent="0.2">
      <c r="A878" s="36"/>
    </row>
    <row r="879" spans="1:1" ht="13.5" customHeight="1" x14ac:dyDescent="0.2">
      <c r="A879" s="36"/>
    </row>
    <row r="880" spans="1:1" ht="13.5" customHeight="1" x14ac:dyDescent="0.2">
      <c r="A880" s="36"/>
    </row>
    <row r="881" spans="1:1" ht="13.5" customHeight="1" x14ac:dyDescent="0.2">
      <c r="A881" s="36"/>
    </row>
    <row r="882" spans="1:1" ht="13.5" customHeight="1" x14ac:dyDescent="0.2">
      <c r="A882" s="36"/>
    </row>
    <row r="883" spans="1:1" ht="13.5" customHeight="1" x14ac:dyDescent="0.2">
      <c r="A883" s="36"/>
    </row>
    <row r="884" spans="1:1" ht="13.5" customHeight="1" x14ac:dyDescent="0.2">
      <c r="A884" s="36"/>
    </row>
    <row r="885" spans="1:1" ht="13.5" customHeight="1" x14ac:dyDescent="0.2">
      <c r="A885" s="36"/>
    </row>
    <row r="886" spans="1:1" ht="13.5" customHeight="1" x14ac:dyDescent="0.2">
      <c r="A886" s="36"/>
    </row>
    <row r="887" spans="1:1" ht="13.5" customHeight="1" x14ac:dyDescent="0.2">
      <c r="A887" s="36"/>
    </row>
    <row r="888" spans="1:1" ht="13.5" customHeight="1" x14ac:dyDescent="0.2">
      <c r="A888" s="36"/>
    </row>
    <row r="889" spans="1:1" ht="13.5" customHeight="1" x14ac:dyDescent="0.2">
      <c r="A889" s="36"/>
    </row>
    <row r="890" spans="1:1" ht="13.5" customHeight="1" x14ac:dyDescent="0.2">
      <c r="A890" s="36"/>
    </row>
    <row r="891" spans="1:1" ht="13.5" customHeight="1" x14ac:dyDescent="0.2">
      <c r="A891" s="36"/>
    </row>
    <row r="892" spans="1:1" ht="13.5" customHeight="1" x14ac:dyDescent="0.2">
      <c r="A892" s="36"/>
    </row>
    <row r="893" spans="1:1" ht="13.5" customHeight="1" x14ac:dyDescent="0.2">
      <c r="A893" s="36"/>
    </row>
    <row r="894" spans="1:1" ht="13.5" customHeight="1" x14ac:dyDescent="0.2">
      <c r="A894" s="36"/>
    </row>
    <row r="895" spans="1:1" ht="13.5" customHeight="1" x14ac:dyDescent="0.2">
      <c r="A895" s="36"/>
    </row>
    <row r="896" spans="1:1" ht="13.5" customHeight="1" x14ac:dyDescent="0.2">
      <c r="A896" s="36"/>
    </row>
    <row r="897" spans="1:1" ht="13.5" customHeight="1" x14ac:dyDescent="0.2">
      <c r="A897" s="36"/>
    </row>
    <row r="898" spans="1:1" ht="13.5" customHeight="1" x14ac:dyDescent="0.2">
      <c r="A898" s="36"/>
    </row>
    <row r="899" spans="1:1" ht="13.5" customHeight="1" x14ac:dyDescent="0.2">
      <c r="A899" s="36"/>
    </row>
    <row r="900" spans="1:1" ht="13.5" customHeight="1" x14ac:dyDescent="0.2">
      <c r="A900" s="36"/>
    </row>
    <row r="901" spans="1:1" ht="13.5" customHeight="1" x14ac:dyDescent="0.2">
      <c r="A901" s="36"/>
    </row>
    <row r="902" spans="1:1" ht="13.5" customHeight="1" x14ac:dyDescent="0.2">
      <c r="A902" s="36"/>
    </row>
    <row r="903" spans="1:1" ht="13.5" customHeight="1" x14ac:dyDescent="0.2">
      <c r="A903" s="36"/>
    </row>
    <row r="904" spans="1:1" ht="13.5" customHeight="1" x14ac:dyDescent="0.2">
      <c r="A904" s="36"/>
    </row>
    <row r="905" spans="1:1" ht="13.5" customHeight="1" x14ac:dyDescent="0.2">
      <c r="A905" s="36"/>
    </row>
    <row r="906" spans="1:1" ht="13.5" customHeight="1" x14ac:dyDescent="0.2">
      <c r="A906" s="36"/>
    </row>
    <row r="907" spans="1:1" ht="13.5" customHeight="1" x14ac:dyDescent="0.2">
      <c r="A907" s="36"/>
    </row>
    <row r="908" spans="1:1" ht="13.5" customHeight="1" x14ac:dyDescent="0.2">
      <c r="A908" s="36"/>
    </row>
    <row r="909" spans="1:1" ht="13.5" customHeight="1" x14ac:dyDescent="0.2">
      <c r="A909" s="36"/>
    </row>
    <row r="910" spans="1:1" ht="13.5" customHeight="1" x14ac:dyDescent="0.2">
      <c r="A910" s="36"/>
    </row>
    <row r="911" spans="1:1" ht="13.5" customHeight="1" x14ac:dyDescent="0.2">
      <c r="A911" s="36"/>
    </row>
    <row r="912" spans="1:1" ht="13.5" customHeight="1" x14ac:dyDescent="0.2">
      <c r="A912" s="36"/>
    </row>
    <row r="913" spans="1:1" ht="13.5" customHeight="1" x14ac:dyDescent="0.2">
      <c r="A913" s="36"/>
    </row>
    <row r="914" spans="1:1" ht="13.5" customHeight="1" x14ac:dyDescent="0.2">
      <c r="A914" s="36"/>
    </row>
    <row r="915" spans="1:1" ht="13.5" customHeight="1" x14ac:dyDescent="0.2">
      <c r="A915" s="36"/>
    </row>
    <row r="916" spans="1:1" ht="13.5" customHeight="1" x14ac:dyDescent="0.2">
      <c r="A916" s="36"/>
    </row>
    <row r="917" spans="1:1" ht="13.5" customHeight="1" x14ac:dyDescent="0.2">
      <c r="A917" s="36"/>
    </row>
    <row r="918" spans="1:1" ht="13.5" customHeight="1" x14ac:dyDescent="0.2">
      <c r="A918" s="36"/>
    </row>
    <row r="919" spans="1:1" ht="13.5" customHeight="1" x14ac:dyDescent="0.2">
      <c r="A919" s="36"/>
    </row>
    <row r="920" spans="1:1" ht="13.5" customHeight="1" x14ac:dyDescent="0.2">
      <c r="A920" s="36"/>
    </row>
    <row r="921" spans="1:1" ht="13.5" customHeight="1" x14ac:dyDescent="0.2">
      <c r="A921" s="36"/>
    </row>
    <row r="922" spans="1:1" ht="13.5" customHeight="1" x14ac:dyDescent="0.2">
      <c r="A922" s="36"/>
    </row>
    <row r="923" spans="1:1" ht="13.5" customHeight="1" x14ac:dyDescent="0.2">
      <c r="A923" s="36"/>
    </row>
    <row r="924" spans="1:1" ht="13.5" customHeight="1" x14ac:dyDescent="0.2">
      <c r="A924" s="36"/>
    </row>
    <row r="925" spans="1:1" ht="13.5" customHeight="1" x14ac:dyDescent="0.2">
      <c r="A925" s="36"/>
    </row>
    <row r="926" spans="1:1" ht="13.5" customHeight="1" x14ac:dyDescent="0.2">
      <c r="A926" s="36"/>
    </row>
    <row r="927" spans="1:1" ht="13.5" customHeight="1" x14ac:dyDescent="0.2">
      <c r="A927" s="36"/>
    </row>
    <row r="928" spans="1:1" ht="13.5" customHeight="1" x14ac:dyDescent="0.2">
      <c r="A928" s="36"/>
    </row>
    <row r="929" spans="1:1" ht="13.5" customHeight="1" x14ac:dyDescent="0.2">
      <c r="A929" s="36"/>
    </row>
    <row r="930" spans="1:1" ht="13.5" customHeight="1" x14ac:dyDescent="0.2">
      <c r="A930" s="36"/>
    </row>
    <row r="931" spans="1:1" ht="13.5" customHeight="1" x14ac:dyDescent="0.2">
      <c r="A931" s="36"/>
    </row>
    <row r="932" spans="1:1" ht="13.5" customHeight="1" x14ac:dyDescent="0.2">
      <c r="A932" s="36"/>
    </row>
    <row r="933" spans="1:1" ht="13.5" customHeight="1" x14ac:dyDescent="0.2">
      <c r="A933" s="36"/>
    </row>
    <row r="934" spans="1:1" ht="13.5" customHeight="1" x14ac:dyDescent="0.2">
      <c r="A934" s="36"/>
    </row>
    <row r="935" spans="1:1" ht="13.5" customHeight="1" x14ac:dyDescent="0.2">
      <c r="A935" s="36"/>
    </row>
    <row r="936" spans="1:1" ht="13.5" customHeight="1" x14ac:dyDescent="0.2">
      <c r="A936" s="36"/>
    </row>
    <row r="937" spans="1:1" ht="13.5" customHeight="1" x14ac:dyDescent="0.2">
      <c r="A937" s="36"/>
    </row>
    <row r="938" spans="1:1" ht="13.5" customHeight="1" x14ac:dyDescent="0.2">
      <c r="A938" s="36"/>
    </row>
    <row r="939" spans="1:1" ht="13.5" customHeight="1" x14ac:dyDescent="0.2">
      <c r="A939" s="36"/>
    </row>
    <row r="940" spans="1:1" ht="13.5" customHeight="1" x14ac:dyDescent="0.2">
      <c r="A940" s="36"/>
    </row>
    <row r="941" spans="1:1" ht="13.5" customHeight="1" x14ac:dyDescent="0.2">
      <c r="A941" s="36"/>
    </row>
    <row r="942" spans="1:1" ht="13.5" customHeight="1" x14ac:dyDescent="0.2">
      <c r="A942" s="36"/>
    </row>
    <row r="943" spans="1:1" ht="13.5" customHeight="1" x14ac:dyDescent="0.2">
      <c r="A943" s="36"/>
    </row>
    <row r="944" spans="1:1" ht="13.5" customHeight="1" x14ac:dyDescent="0.2">
      <c r="A944" s="36"/>
    </row>
    <row r="945" spans="1:1" ht="13.5" customHeight="1" x14ac:dyDescent="0.2">
      <c r="A945" s="36"/>
    </row>
    <row r="946" spans="1:1" ht="13.5" customHeight="1" x14ac:dyDescent="0.2">
      <c r="A946" s="36"/>
    </row>
    <row r="947" spans="1:1" ht="13.5" customHeight="1" x14ac:dyDescent="0.2">
      <c r="A947" s="36"/>
    </row>
    <row r="948" spans="1:1" ht="13.5" customHeight="1" x14ac:dyDescent="0.2">
      <c r="A948" s="36"/>
    </row>
    <row r="949" spans="1:1" ht="13.5" customHeight="1" x14ac:dyDescent="0.2">
      <c r="A949" s="36"/>
    </row>
    <row r="950" spans="1:1" ht="13.5" customHeight="1" x14ac:dyDescent="0.2">
      <c r="A950" s="36"/>
    </row>
    <row r="951" spans="1:1" ht="13.5" customHeight="1" x14ac:dyDescent="0.2">
      <c r="A951" s="36"/>
    </row>
    <row r="952" spans="1:1" ht="13.5" customHeight="1" x14ac:dyDescent="0.2">
      <c r="A952" s="36"/>
    </row>
    <row r="953" spans="1:1" ht="13.5" customHeight="1" x14ac:dyDescent="0.2">
      <c r="A953" s="36"/>
    </row>
    <row r="954" spans="1:1" ht="13.5" customHeight="1" x14ac:dyDescent="0.2">
      <c r="A954" s="36"/>
    </row>
    <row r="955" spans="1:1" ht="13.5" customHeight="1" x14ac:dyDescent="0.2">
      <c r="A955" s="36"/>
    </row>
    <row r="956" spans="1:1" ht="13.5" customHeight="1" x14ac:dyDescent="0.2">
      <c r="A956" s="36"/>
    </row>
    <row r="957" spans="1:1" ht="13.5" customHeight="1" x14ac:dyDescent="0.2">
      <c r="A957" s="36"/>
    </row>
    <row r="958" spans="1:1" ht="13.5" customHeight="1" x14ac:dyDescent="0.2">
      <c r="A958" s="36"/>
    </row>
    <row r="959" spans="1:1" ht="13.5" customHeight="1" x14ac:dyDescent="0.2">
      <c r="A959" s="36"/>
    </row>
    <row r="960" spans="1:1" ht="13.5" customHeight="1" x14ac:dyDescent="0.2">
      <c r="A960" s="36"/>
    </row>
    <row r="961" spans="1:1" ht="13.5" customHeight="1" x14ac:dyDescent="0.2">
      <c r="A961" s="36"/>
    </row>
    <row r="962" spans="1:1" ht="13.5" customHeight="1" x14ac:dyDescent="0.2">
      <c r="A962" s="36"/>
    </row>
    <row r="963" spans="1:1" ht="13.5" customHeight="1" x14ac:dyDescent="0.2">
      <c r="A963" s="36"/>
    </row>
    <row r="964" spans="1:1" ht="13.5" customHeight="1" x14ac:dyDescent="0.2">
      <c r="A964" s="36"/>
    </row>
    <row r="965" spans="1:1" ht="13.5" customHeight="1" x14ac:dyDescent="0.2">
      <c r="A965" s="36"/>
    </row>
    <row r="966" spans="1:1" ht="13.5" customHeight="1" x14ac:dyDescent="0.2">
      <c r="A966" s="36"/>
    </row>
    <row r="967" spans="1:1" ht="13.5" customHeight="1" x14ac:dyDescent="0.2">
      <c r="A967" s="36"/>
    </row>
    <row r="968" spans="1:1" ht="13.5" customHeight="1" x14ac:dyDescent="0.2">
      <c r="A968" s="36"/>
    </row>
    <row r="969" spans="1:1" ht="13.5" customHeight="1" x14ac:dyDescent="0.2">
      <c r="A969" s="36"/>
    </row>
    <row r="970" spans="1:1" ht="13.5" customHeight="1" x14ac:dyDescent="0.2">
      <c r="A970" s="36"/>
    </row>
    <row r="971" spans="1:1" ht="13.5" customHeight="1" x14ac:dyDescent="0.2">
      <c r="A971" s="36"/>
    </row>
    <row r="972" spans="1:1" ht="13.5" customHeight="1" x14ac:dyDescent="0.2">
      <c r="A972" s="36"/>
    </row>
    <row r="973" spans="1:1" ht="13.5" customHeight="1" x14ac:dyDescent="0.2">
      <c r="A973" s="36"/>
    </row>
    <row r="974" spans="1:1" ht="13.5" customHeight="1" x14ac:dyDescent="0.2">
      <c r="A974" s="36"/>
    </row>
    <row r="975" spans="1:1" ht="13.5" customHeight="1" x14ac:dyDescent="0.2">
      <c r="A975" s="36"/>
    </row>
    <row r="976" spans="1:1" ht="13.5" customHeight="1" x14ac:dyDescent="0.2">
      <c r="A976" s="36"/>
    </row>
    <row r="977" spans="1:1" ht="13.5" customHeight="1" x14ac:dyDescent="0.2">
      <c r="A977" s="36"/>
    </row>
    <row r="978" spans="1:1" ht="13.5" customHeight="1" x14ac:dyDescent="0.2">
      <c r="A978" s="36"/>
    </row>
    <row r="979" spans="1:1" ht="13.5" customHeight="1" x14ac:dyDescent="0.2">
      <c r="A979" s="36"/>
    </row>
    <row r="980" spans="1:1" ht="13.5" customHeight="1" x14ac:dyDescent="0.2">
      <c r="A980" s="36"/>
    </row>
    <row r="981" spans="1:1" ht="13.5" customHeight="1" x14ac:dyDescent="0.2">
      <c r="A981" s="36"/>
    </row>
    <row r="982" spans="1:1" ht="13.5" customHeight="1" x14ac:dyDescent="0.2">
      <c r="A982" s="36"/>
    </row>
    <row r="983" spans="1:1" ht="13.5" customHeight="1" x14ac:dyDescent="0.2">
      <c r="A983" s="36"/>
    </row>
    <row r="984" spans="1:1" ht="13.5" customHeight="1" x14ac:dyDescent="0.2">
      <c r="A984" s="36"/>
    </row>
    <row r="985" spans="1:1" ht="13.5" customHeight="1" x14ac:dyDescent="0.2">
      <c r="A985" s="36"/>
    </row>
    <row r="986" spans="1:1" ht="13.5" customHeight="1" x14ac:dyDescent="0.2">
      <c r="A986" s="36"/>
    </row>
    <row r="987" spans="1:1" ht="13.5" customHeight="1" x14ac:dyDescent="0.2">
      <c r="A987" s="36"/>
    </row>
    <row r="988" spans="1:1" ht="13.5" customHeight="1" x14ac:dyDescent="0.2">
      <c r="A988" s="36"/>
    </row>
    <row r="989" spans="1:1" ht="13.5" customHeight="1" x14ac:dyDescent="0.2">
      <c r="A989" s="36"/>
    </row>
    <row r="990" spans="1:1" ht="13.5" customHeight="1" x14ac:dyDescent="0.2">
      <c r="A990" s="36"/>
    </row>
    <row r="991" spans="1:1" ht="13.5" customHeight="1" x14ac:dyDescent="0.2">
      <c r="A991" s="36"/>
    </row>
    <row r="992" spans="1:1" ht="13.5" customHeight="1" x14ac:dyDescent="0.2">
      <c r="A992" s="36"/>
    </row>
    <row r="993" spans="1:1" ht="13.5" customHeight="1" x14ac:dyDescent="0.2">
      <c r="A993" s="36"/>
    </row>
    <row r="994" spans="1:1" ht="13.5" customHeight="1" x14ac:dyDescent="0.2">
      <c r="A994" s="36"/>
    </row>
    <row r="995" spans="1:1" ht="13.5" customHeight="1" x14ac:dyDescent="0.2">
      <c r="A995" s="36"/>
    </row>
    <row r="996" spans="1:1" ht="13.5" customHeight="1" x14ac:dyDescent="0.2">
      <c r="A996" s="36"/>
    </row>
    <row r="997" spans="1:1" ht="13.5" customHeight="1" x14ac:dyDescent="0.2">
      <c r="A997" s="36"/>
    </row>
    <row r="998" spans="1:1" ht="13.5" customHeight="1" x14ac:dyDescent="0.2">
      <c r="A998" s="36"/>
    </row>
    <row r="999" spans="1:1" ht="13.5" customHeight="1" x14ac:dyDescent="0.2">
      <c r="A999" s="36"/>
    </row>
    <row r="1000" spans="1:1" ht="13.5" customHeight="1" x14ac:dyDescent="0.2">
      <c r="A1000" s="36"/>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0"/>
  <sheetViews>
    <sheetView rightToLeft="1" workbookViewId="0"/>
  </sheetViews>
  <sheetFormatPr defaultColWidth="12.625" defaultRowHeight="15" customHeight="1" x14ac:dyDescent="0.2"/>
  <cols>
    <col min="1" max="1" width="5.75" customWidth="1"/>
    <col min="2" max="2" width="12.5" customWidth="1"/>
    <col min="3" max="3" width="21.75" customWidth="1"/>
    <col min="4" max="4" width="12.5" customWidth="1"/>
    <col min="5" max="5" width="18.25" customWidth="1"/>
    <col min="6" max="6" width="15" customWidth="1"/>
    <col min="7" max="7" width="10" customWidth="1"/>
    <col min="8" max="8" width="13.25" customWidth="1"/>
    <col min="9" max="9" width="36.75" customWidth="1"/>
    <col min="10" max="10" width="46.75" customWidth="1"/>
    <col min="11" max="11" width="15" customWidth="1"/>
    <col min="12" max="26" width="8.625" customWidth="1"/>
  </cols>
  <sheetData>
    <row r="1" spans="1:11" ht="13.5" customHeight="1" x14ac:dyDescent="0.25">
      <c r="A1" s="330" t="s">
        <v>4006</v>
      </c>
      <c r="B1" s="331"/>
      <c r="C1" s="331"/>
      <c r="D1" s="331"/>
      <c r="E1" s="331"/>
      <c r="F1" s="331"/>
      <c r="G1" s="331"/>
      <c r="H1" s="332"/>
      <c r="I1" s="67"/>
      <c r="J1" s="67"/>
      <c r="K1" s="67"/>
    </row>
    <row r="2" spans="1:11" ht="13.5" customHeight="1" x14ac:dyDescent="0.2">
      <c r="A2" s="67"/>
      <c r="B2" s="67"/>
      <c r="C2" s="67"/>
      <c r="D2" s="67"/>
      <c r="E2" s="67"/>
      <c r="F2" s="67"/>
      <c r="G2" s="67"/>
      <c r="H2" s="67"/>
      <c r="I2" s="67"/>
      <c r="J2" s="67"/>
      <c r="K2" s="67"/>
    </row>
    <row r="3" spans="1:11" ht="13.5" customHeight="1" x14ac:dyDescent="0.25">
      <c r="A3" s="295" t="s">
        <v>4007</v>
      </c>
      <c r="B3" s="295" t="s">
        <v>5</v>
      </c>
      <c r="C3" s="295" t="s">
        <v>4008</v>
      </c>
      <c r="D3" s="295" t="s">
        <v>4009</v>
      </c>
      <c r="E3" s="295" t="s">
        <v>4010</v>
      </c>
      <c r="F3" s="295" t="s">
        <v>4011</v>
      </c>
      <c r="G3" s="295" t="s">
        <v>4012</v>
      </c>
      <c r="H3" s="295" t="s">
        <v>4013</v>
      </c>
      <c r="I3" s="295" t="s">
        <v>4014</v>
      </c>
      <c r="J3" s="296" t="s">
        <v>4015</v>
      </c>
      <c r="K3" s="297">
        <f>AVERAGEIF(G4:G42,"",F4:F42)</f>
        <v>1415.98</v>
      </c>
    </row>
    <row r="4" spans="1:11" ht="13.5" customHeight="1" x14ac:dyDescent="0.2">
      <c r="A4" s="43">
        <v>1</v>
      </c>
      <c r="B4" s="43">
        <v>59201203</v>
      </c>
      <c r="C4" s="43" t="s">
        <v>1017</v>
      </c>
      <c r="D4" s="298">
        <v>45778</v>
      </c>
      <c r="E4" s="43" t="s">
        <v>520</v>
      </c>
      <c r="F4" s="299">
        <v>1900</v>
      </c>
      <c r="G4" s="43"/>
      <c r="H4" s="300" t="s">
        <v>4016</v>
      </c>
      <c r="I4" s="43" t="s">
        <v>4017</v>
      </c>
      <c r="J4" s="67"/>
      <c r="K4" s="67"/>
    </row>
    <row r="5" spans="1:11" ht="13.5" customHeight="1" x14ac:dyDescent="0.2">
      <c r="A5" s="43">
        <v>2</v>
      </c>
      <c r="B5" s="43">
        <v>83945403</v>
      </c>
      <c r="C5" s="43" t="s">
        <v>1033</v>
      </c>
      <c r="D5" s="43" t="s">
        <v>4018</v>
      </c>
      <c r="E5" s="43" t="s">
        <v>35</v>
      </c>
      <c r="F5" s="299">
        <v>1900</v>
      </c>
      <c r="G5" s="43"/>
      <c r="H5" s="300" t="s">
        <v>4016</v>
      </c>
      <c r="I5" s="43" t="s">
        <v>4019</v>
      </c>
      <c r="J5" s="67"/>
      <c r="K5" s="67"/>
    </row>
    <row r="6" spans="1:11" ht="13.5" customHeight="1" x14ac:dyDescent="0.2">
      <c r="A6" s="43">
        <v>3</v>
      </c>
      <c r="B6" s="43">
        <v>64782302</v>
      </c>
      <c r="C6" s="43" t="s">
        <v>1905</v>
      </c>
      <c r="D6" s="43" t="s">
        <v>4020</v>
      </c>
      <c r="E6" s="43" t="s">
        <v>35</v>
      </c>
      <c r="F6" s="299">
        <v>250</v>
      </c>
      <c r="G6" s="43"/>
      <c r="H6" s="300" t="s">
        <v>4016</v>
      </c>
      <c r="I6" s="43" t="s">
        <v>4019</v>
      </c>
      <c r="J6" s="67"/>
      <c r="K6" s="67"/>
    </row>
    <row r="7" spans="1:11" ht="13.5" customHeight="1" x14ac:dyDescent="0.2">
      <c r="A7" s="43">
        <v>4</v>
      </c>
      <c r="B7" s="43">
        <v>12198203</v>
      </c>
      <c r="C7" s="43" t="s">
        <v>1563</v>
      </c>
      <c r="D7" s="43" t="s">
        <v>4021</v>
      </c>
      <c r="E7" s="43" t="s">
        <v>520</v>
      </c>
      <c r="F7" s="299">
        <v>290</v>
      </c>
      <c r="G7" s="43"/>
      <c r="H7" s="300" t="s">
        <v>4016</v>
      </c>
      <c r="I7" s="43" t="s">
        <v>4022</v>
      </c>
      <c r="J7" s="67"/>
      <c r="K7" s="67"/>
    </row>
    <row r="8" spans="1:11" ht="13.5" customHeight="1" x14ac:dyDescent="0.2">
      <c r="A8" s="43">
        <v>5</v>
      </c>
      <c r="B8" s="43">
        <v>34633402</v>
      </c>
      <c r="C8" s="43" t="s">
        <v>813</v>
      </c>
      <c r="D8" s="298">
        <v>45719</v>
      </c>
      <c r="E8" s="43" t="s">
        <v>271</v>
      </c>
      <c r="F8" s="299">
        <v>600</v>
      </c>
      <c r="G8" s="43"/>
      <c r="H8" s="301" t="s">
        <v>4023</v>
      </c>
      <c r="I8" s="43" t="s">
        <v>4024</v>
      </c>
      <c r="J8" s="67"/>
      <c r="K8" s="67"/>
    </row>
    <row r="9" spans="1:11" ht="13.5" customHeight="1" x14ac:dyDescent="0.2">
      <c r="A9" s="43">
        <v>6</v>
      </c>
      <c r="B9" s="43">
        <v>45366702</v>
      </c>
      <c r="C9" s="43" t="s">
        <v>1569</v>
      </c>
      <c r="D9" s="43" t="s">
        <v>4025</v>
      </c>
      <c r="E9" s="43" t="s">
        <v>3566</v>
      </c>
      <c r="F9" s="299">
        <v>2963</v>
      </c>
      <c r="G9" s="43"/>
      <c r="H9" s="300" t="s">
        <v>4016</v>
      </c>
      <c r="I9" s="43" t="s">
        <v>4026</v>
      </c>
      <c r="J9" s="67"/>
      <c r="K9" s="67"/>
    </row>
    <row r="10" spans="1:11" ht="13.5" customHeight="1" x14ac:dyDescent="0.2">
      <c r="A10" s="43">
        <v>7</v>
      </c>
      <c r="B10" s="43">
        <v>42009002</v>
      </c>
      <c r="C10" s="43" t="s">
        <v>2948</v>
      </c>
      <c r="D10" s="43" t="s">
        <v>4027</v>
      </c>
      <c r="E10" s="43" t="s">
        <v>35</v>
      </c>
      <c r="F10" s="299">
        <v>2758</v>
      </c>
      <c r="G10" s="43"/>
      <c r="H10" s="300" t="s">
        <v>4016</v>
      </c>
      <c r="I10" s="43" t="s">
        <v>4022</v>
      </c>
      <c r="J10" s="67"/>
      <c r="K10" s="67"/>
    </row>
    <row r="11" spans="1:11" ht="13.5" customHeight="1" x14ac:dyDescent="0.2">
      <c r="A11" s="43">
        <v>8</v>
      </c>
      <c r="B11" s="43">
        <v>34005503</v>
      </c>
      <c r="C11" s="43" t="s">
        <v>3589</v>
      </c>
      <c r="D11" s="43" t="s">
        <v>4028</v>
      </c>
      <c r="E11" s="43" t="s">
        <v>49</v>
      </c>
      <c r="F11" s="299">
        <v>1529</v>
      </c>
      <c r="G11" s="43"/>
      <c r="H11" s="300" t="s">
        <v>4016</v>
      </c>
      <c r="I11" s="43" t="s">
        <v>4029</v>
      </c>
      <c r="J11" s="67"/>
      <c r="K11" s="67"/>
    </row>
    <row r="12" spans="1:11" ht="13.5" customHeight="1" x14ac:dyDescent="0.2">
      <c r="A12" s="43">
        <v>9</v>
      </c>
      <c r="B12" s="43">
        <v>89072103</v>
      </c>
      <c r="C12" s="43" t="s">
        <v>1180</v>
      </c>
      <c r="D12" s="43"/>
      <c r="E12" s="43" t="s">
        <v>823</v>
      </c>
      <c r="F12" s="299">
        <v>359.32</v>
      </c>
      <c r="G12" s="43"/>
      <c r="H12" s="300" t="s">
        <v>4016</v>
      </c>
      <c r="I12" s="43" t="s">
        <v>4030</v>
      </c>
      <c r="J12" s="67"/>
      <c r="K12" s="67"/>
    </row>
    <row r="13" spans="1:11" ht="13.5" customHeight="1" x14ac:dyDescent="0.2">
      <c r="A13" s="43">
        <v>10</v>
      </c>
      <c r="B13" s="43">
        <v>59124103</v>
      </c>
      <c r="C13" s="43" t="s">
        <v>774</v>
      </c>
      <c r="D13" s="43" t="s">
        <v>4031</v>
      </c>
      <c r="E13" s="43" t="s">
        <v>35</v>
      </c>
      <c r="F13" s="299">
        <v>2710</v>
      </c>
      <c r="G13" s="43"/>
      <c r="H13" s="300" t="s">
        <v>4016</v>
      </c>
      <c r="I13" s="43" t="s">
        <v>4022</v>
      </c>
      <c r="J13" s="67"/>
      <c r="K13" s="67"/>
    </row>
    <row r="14" spans="1:11" ht="13.5" customHeight="1" x14ac:dyDescent="0.2">
      <c r="A14" s="43">
        <v>11</v>
      </c>
      <c r="B14" s="43">
        <v>58185503</v>
      </c>
      <c r="C14" s="43" t="s">
        <v>2244</v>
      </c>
      <c r="D14" s="43" t="s">
        <v>4032</v>
      </c>
      <c r="E14" s="43" t="s">
        <v>520</v>
      </c>
      <c r="F14" s="299">
        <v>2100</v>
      </c>
      <c r="G14" s="43"/>
      <c r="H14" s="300" t="s">
        <v>4016</v>
      </c>
      <c r="I14" s="43" t="s">
        <v>4022</v>
      </c>
      <c r="J14" s="67"/>
      <c r="K14" s="67"/>
    </row>
    <row r="15" spans="1:11" ht="13.5" customHeight="1" x14ac:dyDescent="0.2">
      <c r="A15" s="43">
        <v>12</v>
      </c>
      <c r="B15" s="43">
        <v>12198203</v>
      </c>
      <c r="C15" s="43" t="s">
        <v>1588</v>
      </c>
      <c r="D15" s="43" t="s">
        <v>4033</v>
      </c>
      <c r="E15" s="43" t="s">
        <v>823</v>
      </c>
      <c r="F15" s="299">
        <v>618</v>
      </c>
      <c r="G15" s="43"/>
      <c r="H15" s="300" t="s">
        <v>4016</v>
      </c>
      <c r="I15" s="43" t="s">
        <v>4034</v>
      </c>
      <c r="J15" s="67"/>
      <c r="K15" s="67"/>
    </row>
    <row r="16" spans="1:11" ht="13.5" customHeight="1" x14ac:dyDescent="0.2">
      <c r="A16" s="43">
        <v>13</v>
      </c>
      <c r="B16" s="43">
        <v>59032903</v>
      </c>
      <c r="C16" s="43" t="s">
        <v>501</v>
      </c>
      <c r="D16" s="43" t="s">
        <v>4035</v>
      </c>
      <c r="E16" s="43" t="s">
        <v>520</v>
      </c>
      <c r="F16" s="299">
        <v>1575</v>
      </c>
      <c r="G16" s="43"/>
      <c r="H16" s="300" t="s">
        <v>4016</v>
      </c>
      <c r="I16" s="43" t="s">
        <v>4022</v>
      </c>
      <c r="J16" s="67"/>
      <c r="K16" s="67"/>
    </row>
    <row r="17" spans="1:11" ht="13.5" customHeight="1" x14ac:dyDescent="0.2">
      <c r="A17" s="43">
        <v>14</v>
      </c>
      <c r="B17" s="43">
        <v>29317703</v>
      </c>
      <c r="C17" s="43" t="s">
        <v>2150</v>
      </c>
      <c r="D17" s="298">
        <v>45818</v>
      </c>
      <c r="E17" s="43" t="s">
        <v>4036</v>
      </c>
      <c r="F17" s="299">
        <v>280</v>
      </c>
      <c r="G17" s="43"/>
      <c r="H17" s="300" t="s">
        <v>4016</v>
      </c>
      <c r="I17" s="43" t="s">
        <v>4037</v>
      </c>
      <c r="J17" s="67"/>
      <c r="K17" s="67"/>
    </row>
    <row r="18" spans="1:11" ht="13.5" customHeight="1" x14ac:dyDescent="0.2">
      <c r="A18" s="43">
        <v>15</v>
      </c>
      <c r="B18" s="43">
        <v>63109602</v>
      </c>
      <c r="C18" s="43" t="s">
        <v>1604</v>
      </c>
      <c r="D18" s="298">
        <v>45788</v>
      </c>
      <c r="E18" s="43" t="s">
        <v>35</v>
      </c>
      <c r="F18" s="299">
        <v>2829</v>
      </c>
      <c r="G18" s="43"/>
      <c r="H18" s="300" t="s">
        <v>4016</v>
      </c>
      <c r="I18" s="43" t="s">
        <v>4019</v>
      </c>
      <c r="J18" s="67"/>
      <c r="K18" s="67"/>
    </row>
    <row r="19" spans="1:11" ht="13.5" customHeight="1" x14ac:dyDescent="0.2">
      <c r="A19" s="43">
        <v>16</v>
      </c>
      <c r="B19" s="43">
        <v>21898003</v>
      </c>
      <c r="C19" s="43" t="s">
        <v>3399</v>
      </c>
      <c r="D19" s="43" t="s">
        <v>4038</v>
      </c>
      <c r="E19" s="43" t="s">
        <v>35</v>
      </c>
      <c r="F19" s="299">
        <v>1810</v>
      </c>
      <c r="G19" s="43"/>
      <c r="H19" s="300" t="s">
        <v>4016</v>
      </c>
      <c r="I19" s="43" t="s">
        <v>4022</v>
      </c>
      <c r="J19" s="67"/>
      <c r="K19" s="67"/>
    </row>
    <row r="20" spans="1:11" ht="13.5" customHeight="1" x14ac:dyDescent="0.2">
      <c r="A20" s="43">
        <v>17</v>
      </c>
      <c r="B20" s="43">
        <v>12198203</v>
      </c>
      <c r="C20" s="43" t="s">
        <v>1588</v>
      </c>
      <c r="D20" s="298">
        <v>45787</v>
      </c>
      <c r="E20" s="43" t="s">
        <v>823</v>
      </c>
      <c r="F20" s="299">
        <v>309</v>
      </c>
      <c r="G20" s="43"/>
      <c r="H20" s="300" t="s">
        <v>4016</v>
      </c>
      <c r="I20" s="43" t="s">
        <v>4039</v>
      </c>
      <c r="J20" s="67"/>
      <c r="K20" s="67"/>
    </row>
    <row r="21" spans="1:11" ht="13.5" customHeight="1" x14ac:dyDescent="0.2">
      <c r="A21" s="43">
        <v>18</v>
      </c>
      <c r="B21" s="43">
        <v>28491903</v>
      </c>
      <c r="C21" s="43" t="s">
        <v>501</v>
      </c>
      <c r="D21" s="298">
        <v>45782</v>
      </c>
      <c r="E21" s="43" t="s">
        <v>823</v>
      </c>
      <c r="F21" s="299">
        <v>329</v>
      </c>
      <c r="G21" s="43"/>
      <c r="H21" s="300" t="s">
        <v>4016</v>
      </c>
      <c r="I21" s="43" t="s">
        <v>4039</v>
      </c>
      <c r="J21" s="67"/>
      <c r="K21" s="67"/>
    </row>
    <row r="22" spans="1:11" ht="13.5" customHeight="1" x14ac:dyDescent="0.2">
      <c r="A22" s="43">
        <v>19</v>
      </c>
      <c r="B22" s="43">
        <v>12198203</v>
      </c>
      <c r="C22" s="43" t="s">
        <v>1588</v>
      </c>
      <c r="D22" s="43" t="s">
        <v>4040</v>
      </c>
      <c r="E22" s="43" t="s">
        <v>823</v>
      </c>
      <c r="F22" s="299">
        <v>3150</v>
      </c>
      <c r="G22" s="43"/>
      <c r="H22" s="300" t="s">
        <v>4016</v>
      </c>
      <c r="I22" s="43" t="s">
        <v>4022</v>
      </c>
      <c r="J22" s="67"/>
      <c r="K22" s="67"/>
    </row>
    <row r="23" spans="1:11" ht="13.5" customHeight="1" x14ac:dyDescent="0.2">
      <c r="A23" s="43">
        <v>20</v>
      </c>
      <c r="B23" s="43">
        <v>44480903</v>
      </c>
      <c r="C23" s="43" t="s">
        <v>618</v>
      </c>
      <c r="D23" s="43"/>
      <c r="E23" s="43" t="s">
        <v>35</v>
      </c>
      <c r="F23" s="299">
        <v>1574</v>
      </c>
      <c r="G23" s="43"/>
      <c r="H23" s="300" t="s">
        <v>4016</v>
      </c>
      <c r="I23" s="43" t="s">
        <v>4041</v>
      </c>
      <c r="J23" s="67"/>
      <c r="K23" s="67"/>
    </row>
    <row r="24" spans="1:11" ht="13.5" customHeight="1" x14ac:dyDescent="0.2">
      <c r="A24" s="43">
        <v>21</v>
      </c>
      <c r="B24" s="43">
        <v>42009002</v>
      </c>
      <c r="C24" s="43" t="s">
        <v>2948</v>
      </c>
      <c r="D24" s="43" t="s">
        <v>4042</v>
      </c>
      <c r="E24" s="43" t="s">
        <v>35</v>
      </c>
      <c r="F24" s="299">
        <v>600</v>
      </c>
      <c r="G24" s="43"/>
      <c r="H24" s="300" t="s">
        <v>4016</v>
      </c>
      <c r="I24" s="43" t="s">
        <v>4043</v>
      </c>
      <c r="J24" s="67"/>
      <c r="K24" s="67"/>
    </row>
    <row r="25" spans="1:11" ht="13.5" customHeight="1" x14ac:dyDescent="0.2">
      <c r="A25" s="43">
        <v>22</v>
      </c>
      <c r="B25" s="43">
        <v>13738004</v>
      </c>
      <c r="C25" s="43" t="s">
        <v>590</v>
      </c>
      <c r="D25" s="43"/>
      <c r="E25" s="43" t="s">
        <v>823</v>
      </c>
      <c r="F25" s="299">
        <v>2464</v>
      </c>
      <c r="G25" s="43"/>
      <c r="H25" s="300" t="s">
        <v>4016</v>
      </c>
      <c r="I25" s="43" t="s">
        <v>4022</v>
      </c>
      <c r="J25" s="67"/>
      <c r="K25" s="67"/>
    </row>
    <row r="26" spans="1:11" ht="13.5" customHeight="1" x14ac:dyDescent="0.2">
      <c r="A26" s="43">
        <v>23</v>
      </c>
      <c r="B26" s="43">
        <v>46656103</v>
      </c>
      <c r="C26" s="43" t="s">
        <v>2810</v>
      </c>
      <c r="D26" s="43" t="s">
        <v>4044</v>
      </c>
      <c r="E26" s="43" t="s">
        <v>49</v>
      </c>
      <c r="F26" s="299">
        <v>2142.1</v>
      </c>
      <c r="G26" s="43"/>
      <c r="H26" s="300" t="s">
        <v>4016</v>
      </c>
      <c r="I26" s="43" t="s">
        <v>4045</v>
      </c>
      <c r="J26" s="67"/>
      <c r="K26" s="67"/>
    </row>
    <row r="27" spans="1:11" ht="13.5" customHeight="1" x14ac:dyDescent="0.2">
      <c r="A27" s="43">
        <v>24</v>
      </c>
      <c r="B27" s="43">
        <v>79918603</v>
      </c>
      <c r="C27" s="43" t="s">
        <v>1263</v>
      </c>
      <c r="D27" s="43"/>
      <c r="E27" s="43" t="s">
        <v>4036</v>
      </c>
      <c r="F27" s="299">
        <v>1695</v>
      </c>
      <c r="G27" s="43"/>
      <c r="H27" s="300" t="s">
        <v>4016</v>
      </c>
      <c r="I27" s="43" t="s">
        <v>4046</v>
      </c>
      <c r="J27" s="67"/>
      <c r="K27" s="67"/>
    </row>
    <row r="28" spans="1:11" ht="13.5" customHeight="1" x14ac:dyDescent="0.2">
      <c r="A28" s="43">
        <v>25</v>
      </c>
      <c r="B28" s="43">
        <v>77418303</v>
      </c>
      <c r="C28" s="43" t="s">
        <v>4047</v>
      </c>
      <c r="D28" s="43" t="s">
        <v>4048</v>
      </c>
      <c r="E28" s="43" t="s">
        <v>271</v>
      </c>
      <c r="F28" s="299">
        <v>1695</v>
      </c>
      <c r="G28" s="43"/>
      <c r="H28" s="302" t="s">
        <v>4049</v>
      </c>
      <c r="I28" s="43" t="s">
        <v>3623</v>
      </c>
      <c r="J28" s="67"/>
      <c r="K28" s="67"/>
    </row>
    <row r="29" spans="1:11" ht="13.5" customHeight="1" x14ac:dyDescent="0.2">
      <c r="A29" s="43">
        <v>26</v>
      </c>
      <c r="B29" s="43">
        <v>31898004</v>
      </c>
      <c r="C29" s="43" t="s">
        <v>1212</v>
      </c>
      <c r="D29" s="43" t="s">
        <v>4050</v>
      </c>
      <c r="E29" s="43" t="s">
        <v>271</v>
      </c>
      <c r="F29" s="299">
        <v>600</v>
      </c>
      <c r="G29" s="43"/>
      <c r="H29" s="300" t="s">
        <v>4016</v>
      </c>
      <c r="I29" s="43" t="s">
        <v>4022</v>
      </c>
      <c r="J29" s="67"/>
      <c r="K29" s="67"/>
    </row>
    <row r="30" spans="1:11" ht="13.5" customHeight="1" x14ac:dyDescent="0.2">
      <c r="A30" s="43">
        <v>27</v>
      </c>
      <c r="B30" s="43">
        <v>56863904</v>
      </c>
      <c r="C30" s="43" t="s">
        <v>3686</v>
      </c>
      <c r="D30" s="298">
        <v>46086</v>
      </c>
      <c r="E30" s="43" t="s">
        <v>49</v>
      </c>
      <c r="F30" s="299">
        <v>150</v>
      </c>
      <c r="G30" s="43"/>
      <c r="H30" s="300" t="s">
        <v>4016</v>
      </c>
      <c r="I30" s="43" t="s">
        <v>4051</v>
      </c>
      <c r="J30" s="67"/>
      <c r="K30" s="67"/>
    </row>
    <row r="31" spans="1:11" ht="13.5" customHeight="1" x14ac:dyDescent="0.2">
      <c r="A31" s="43">
        <v>28</v>
      </c>
      <c r="B31" s="43">
        <v>65144703</v>
      </c>
      <c r="C31" s="43" t="s">
        <v>963</v>
      </c>
      <c r="D31" s="298">
        <v>46147</v>
      </c>
      <c r="E31" s="43" t="s">
        <v>35</v>
      </c>
      <c r="F31" s="299">
        <v>309</v>
      </c>
      <c r="G31" s="43"/>
      <c r="H31" s="300" t="s">
        <v>4016</v>
      </c>
      <c r="I31" s="43" t="s">
        <v>4052</v>
      </c>
      <c r="J31" s="67"/>
      <c r="K31" s="67"/>
    </row>
    <row r="32" spans="1:11" ht="13.5" customHeight="1" x14ac:dyDescent="0.2">
      <c r="A32" s="43">
        <v>29</v>
      </c>
      <c r="B32" s="43">
        <v>59032903</v>
      </c>
      <c r="C32" s="43" t="s">
        <v>2449</v>
      </c>
      <c r="D32" s="298">
        <v>46208</v>
      </c>
      <c r="E32" s="43" t="s">
        <v>520</v>
      </c>
      <c r="F32" s="299">
        <v>1575</v>
      </c>
      <c r="G32" s="43"/>
      <c r="H32" s="301" t="s">
        <v>4023</v>
      </c>
      <c r="I32" s="43" t="s">
        <v>4053</v>
      </c>
      <c r="J32" s="67"/>
      <c r="K32" s="67"/>
    </row>
    <row r="33" spans="1:11" ht="13.5" customHeight="1" x14ac:dyDescent="0.2">
      <c r="A33" s="303">
        <v>30</v>
      </c>
      <c r="B33" s="303">
        <v>45366502</v>
      </c>
      <c r="C33" s="303" t="s">
        <v>1066</v>
      </c>
      <c r="D33" s="303" t="s">
        <v>4018</v>
      </c>
      <c r="E33" s="303" t="s">
        <v>520</v>
      </c>
      <c r="F33" s="304">
        <f>AVERAGEIFS(F4:F42,G4:G42,"")</f>
        <v>1415.98</v>
      </c>
      <c r="G33" s="303" t="s">
        <v>4016</v>
      </c>
      <c r="H33" s="300" t="s">
        <v>4016</v>
      </c>
      <c r="I33" s="43" t="s">
        <v>4054</v>
      </c>
      <c r="J33" s="67"/>
      <c r="K33" s="67"/>
    </row>
    <row r="34" spans="1:11" ht="13.5" customHeight="1" x14ac:dyDescent="0.2">
      <c r="A34" s="303">
        <v>31</v>
      </c>
      <c r="B34" s="303">
        <v>77419503</v>
      </c>
      <c r="C34" s="303" t="s">
        <v>1064</v>
      </c>
      <c r="D34" s="303" t="s">
        <v>3573</v>
      </c>
      <c r="E34" s="303" t="s">
        <v>271</v>
      </c>
      <c r="F34" s="304">
        <f>AVERAGEIFS(F4:F42,G4:G42,"")</f>
        <v>1415.98</v>
      </c>
      <c r="G34" s="303" t="s">
        <v>4016</v>
      </c>
      <c r="H34" s="300" t="s">
        <v>4016</v>
      </c>
      <c r="I34" s="43" t="s">
        <v>4055</v>
      </c>
      <c r="J34" s="67"/>
      <c r="K34" s="67"/>
    </row>
    <row r="35" spans="1:11" ht="13.5" customHeight="1" x14ac:dyDescent="0.2">
      <c r="A35" s="303">
        <v>32</v>
      </c>
      <c r="B35" s="303">
        <v>45366502</v>
      </c>
      <c r="C35" s="303" t="s">
        <v>1066</v>
      </c>
      <c r="D35" s="303" t="s">
        <v>4056</v>
      </c>
      <c r="E35" s="303" t="s">
        <v>520</v>
      </c>
      <c r="F35" s="304">
        <f>AVERAGEIFS(F4:F42,G4:G42,"")</f>
        <v>1415.98</v>
      </c>
      <c r="G35" s="303" t="s">
        <v>4016</v>
      </c>
      <c r="H35" s="301" t="s">
        <v>4023</v>
      </c>
      <c r="I35" s="43" t="s">
        <v>4057</v>
      </c>
      <c r="J35" s="67"/>
      <c r="K35" s="67"/>
    </row>
    <row r="36" spans="1:11" ht="13.5" customHeight="1" x14ac:dyDescent="0.2">
      <c r="A36" s="303">
        <v>33</v>
      </c>
      <c r="B36" s="303">
        <v>50574503</v>
      </c>
      <c r="C36" s="303" t="s">
        <v>937</v>
      </c>
      <c r="D36" s="305">
        <v>45726</v>
      </c>
      <c r="E36" s="303" t="s">
        <v>520</v>
      </c>
      <c r="F36" s="304">
        <f>AVERAGEIFS(F4:F42,G4:G42,"")</f>
        <v>1415.98</v>
      </c>
      <c r="G36" s="303" t="s">
        <v>4016</v>
      </c>
      <c r="H36" s="300" t="s">
        <v>4016</v>
      </c>
      <c r="I36" s="43" t="s">
        <v>4058</v>
      </c>
      <c r="J36" s="67"/>
      <c r="K36" s="67"/>
    </row>
    <row r="37" spans="1:11" ht="13.5" customHeight="1" x14ac:dyDescent="0.2">
      <c r="A37" s="303">
        <v>34</v>
      </c>
      <c r="B37" s="303">
        <v>24164804</v>
      </c>
      <c r="C37" s="303" t="s">
        <v>1212</v>
      </c>
      <c r="D37" s="305">
        <v>45699</v>
      </c>
      <c r="E37" s="303" t="s">
        <v>520</v>
      </c>
      <c r="F37" s="304">
        <f>AVERAGEIFS(F4:F42,G4:G42,"")</f>
        <v>1415.98</v>
      </c>
      <c r="G37" s="303" t="s">
        <v>4016</v>
      </c>
      <c r="H37" s="302" t="s">
        <v>4049</v>
      </c>
      <c r="I37" s="43" t="s">
        <v>3623</v>
      </c>
      <c r="J37" s="67"/>
      <c r="K37" s="67"/>
    </row>
    <row r="38" spans="1:11" ht="13.5" customHeight="1" x14ac:dyDescent="0.2">
      <c r="A38" s="303">
        <v>35</v>
      </c>
      <c r="B38" s="303">
        <v>12198203</v>
      </c>
      <c r="C38" s="303" t="s">
        <v>1588</v>
      </c>
      <c r="D38" s="303" t="s">
        <v>4042</v>
      </c>
      <c r="E38" s="303" t="s">
        <v>520</v>
      </c>
      <c r="F38" s="304">
        <f>AVERAGEIFS(F4:F42,G4:G42,"")</f>
        <v>1415.98</v>
      </c>
      <c r="G38" s="303" t="s">
        <v>4016</v>
      </c>
      <c r="H38" s="301" t="s">
        <v>4023</v>
      </c>
      <c r="I38" s="43" t="s">
        <v>4059</v>
      </c>
      <c r="J38" s="67"/>
      <c r="K38" s="67"/>
    </row>
    <row r="39" spans="1:11" ht="13.5" customHeight="1" x14ac:dyDescent="0.2">
      <c r="A39" s="303">
        <v>36</v>
      </c>
      <c r="B39" s="303">
        <v>77419503</v>
      </c>
      <c r="C39" s="303" t="s">
        <v>1064</v>
      </c>
      <c r="D39" s="305">
        <v>46024</v>
      </c>
      <c r="E39" s="303" t="s">
        <v>271</v>
      </c>
      <c r="F39" s="304">
        <f>AVERAGEIFS(F4:F42,G4:G42,"")</f>
        <v>1415.98</v>
      </c>
      <c r="G39" s="303" t="s">
        <v>4016</v>
      </c>
      <c r="H39" s="300" t="s">
        <v>4016</v>
      </c>
      <c r="I39" s="43" t="s">
        <v>4055</v>
      </c>
      <c r="J39" s="67"/>
      <c r="K39" s="67"/>
    </row>
    <row r="40" spans="1:11" ht="13.5" customHeight="1" x14ac:dyDescent="0.2">
      <c r="A40" s="303">
        <v>37</v>
      </c>
      <c r="B40" s="303">
        <v>59124103</v>
      </c>
      <c r="C40" s="303" t="s">
        <v>774</v>
      </c>
      <c r="D40" s="305">
        <v>46237</v>
      </c>
      <c r="E40" s="303" t="s">
        <v>520</v>
      </c>
      <c r="F40" s="304">
        <f>AVERAGEIFS(F4:F42,G4:G42,"")</f>
        <v>1415.98</v>
      </c>
      <c r="G40" s="303" t="s">
        <v>4016</v>
      </c>
      <c r="H40" s="302" t="s">
        <v>4049</v>
      </c>
      <c r="I40" s="43" t="s">
        <v>4060</v>
      </c>
      <c r="J40" s="67"/>
      <c r="K40" s="67"/>
    </row>
    <row r="41" spans="1:11" ht="13.5" customHeight="1" x14ac:dyDescent="0.2">
      <c r="A41" s="303">
        <v>38</v>
      </c>
      <c r="B41" s="303">
        <v>18745504</v>
      </c>
      <c r="C41" s="303" t="s">
        <v>1064</v>
      </c>
      <c r="D41" s="305">
        <v>46329</v>
      </c>
      <c r="E41" s="303" t="s">
        <v>271</v>
      </c>
      <c r="F41" s="304">
        <f>AVERAGEIFS(F4:F42,G4:G42,"")</f>
        <v>1415.98</v>
      </c>
      <c r="G41" s="303" t="s">
        <v>4016</v>
      </c>
      <c r="H41" s="301" t="s">
        <v>4023</v>
      </c>
      <c r="I41" s="43" t="s">
        <v>4061</v>
      </c>
      <c r="J41" s="67"/>
      <c r="K41" s="67"/>
    </row>
    <row r="42" spans="1:11" ht="13.5" customHeight="1" x14ac:dyDescent="0.2">
      <c r="A42" s="303">
        <v>39</v>
      </c>
      <c r="B42" s="303">
        <v>50258603</v>
      </c>
      <c r="C42" s="303" t="s">
        <v>4062</v>
      </c>
      <c r="D42" s="305">
        <v>46359</v>
      </c>
      <c r="E42" s="303" t="s">
        <v>520</v>
      </c>
      <c r="F42" s="304">
        <f>AVERAGEIFS(F4:F42,G4:G42,"")</f>
        <v>1415.98</v>
      </c>
      <c r="G42" s="303" t="s">
        <v>4016</v>
      </c>
      <c r="H42" s="302" t="s">
        <v>4049</v>
      </c>
      <c r="I42" s="43" t="s">
        <v>4063</v>
      </c>
      <c r="J42" s="67"/>
      <c r="K42" s="67"/>
    </row>
    <row r="43" spans="1:11" ht="13.5" customHeight="1" x14ac:dyDescent="0.2">
      <c r="A43" s="67"/>
      <c r="B43" s="67"/>
      <c r="C43" s="67"/>
      <c r="D43" s="67"/>
      <c r="E43" s="67"/>
      <c r="F43" s="67"/>
      <c r="G43" s="67"/>
      <c r="H43" s="67"/>
      <c r="I43" s="67"/>
      <c r="J43" s="67"/>
      <c r="K43" s="67"/>
    </row>
    <row r="44" spans="1:11" ht="13.5" customHeight="1" x14ac:dyDescent="0.2">
      <c r="A44" s="67"/>
      <c r="B44" s="67"/>
      <c r="C44" s="67"/>
      <c r="D44" s="67"/>
      <c r="E44" s="67"/>
      <c r="F44" s="67"/>
      <c r="G44" s="67"/>
      <c r="H44" s="67"/>
      <c r="I44" s="67"/>
      <c r="J44" s="67"/>
      <c r="K44" s="67"/>
    </row>
    <row r="45" spans="1:11" ht="13.5" customHeight="1" x14ac:dyDescent="0.25">
      <c r="A45" s="333" t="s">
        <v>4064</v>
      </c>
      <c r="B45" s="331"/>
      <c r="C45" s="331"/>
      <c r="D45" s="332"/>
      <c r="E45" s="67"/>
      <c r="F45" s="306" t="s">
        <v>4065</v>
      </c>
      <c r="G45" s="67"/>
      <c r="H45" s="67"/>
      <c r="I45" s="67"/>
      <c r="J45" s="67"/>
      <c r="K45" s="67"/>
    </row>
    <row r="46" spans="1:11" ht="13.5" customHeight="1" x14ac:dyDescent="0.25">
      <c r="A46" s="295" t="s">
        <v>4066</v>
      </c>
      <c r="B46" s="295" t="s">
        <v>4067</v>
      </c>
      <c r="C46" s="295" t="s">
        <v>4068</v>
      </c>
      <c r="D46" s="295" t="s">
        <v>4069</v>
      </c>
      <c r="E46" s="67"/>
      <c r="F46" s="295" t="s">
        <v>4070</v>
      </c>
      <c r="G46" s="295" t="s">
        <v>4068</v>
      </c>
      <c r="H46" s="67"/>
      <c r="I46" s="67"/>
      <c r="J46" s="67"/>
      <c r="K46" s="67"/>
    </row>
    <row r="47" spans="1:11" ht="13.5" customHeight="1" x14ac:dyDescent="0.2">
      <c r="A47" s="43" t="s">
        <v>520</v>
      </c>
      <c r="B47" s="43">
        <f>COUNTIF(E4:E42,A47)</f>
        <v>12</v>
      </c>
      <c r="C47" s="307">
        <f>SUMIF(E4:E42,A47,F4:F42)</f>
        <v>17351.859999999997</v>
      </c>
      <c r="D47" s="307">
        <f t="shared" ref="D47:D54" si="0">IFERROR(C47/B47,0)</f>
        <v>1445.988333333333</v>
      </c>
      <c r="E47" s="67"/>
      <c r="F47" s="43" t="s">
        <v>4071</v>
      </c>
      <c r="G47" s="307">
        <f>SUMIF(H4:H42,"כן",F4:F42)</f>
        <v>42857.340000000011</v>
      </c>
      <c r="H47" s="67"/>
      <c r="I47" s="67"/>
      <c r="J47" s="67"/>
      <c r="K47" s="67"/>
    </row>
    <row r="48" spans="1:11" ht="13.5" customHeight="1" x14ac:dyDescent="0.2">
      <c r="A48" s="43" t="s">
        <v>823</v>
      </c>
      <c r="B48" s="43">
        <f>COUNTIF(E4:E42,A48)</f>
        <v>6</v>
      </c>
      <c r="C48" s="307">
        <f>SUMIF(E4:E42,A48,F4:F42)</f>
        <v>7229.32</v>
      </c>
      <c r="D48" s="307">
        <f t="shared" si="0"/>
        <v>1204.8866666666665</v>
      </c>
      <c r="E48" s="67"/>
      <c r="F48" s="43" t="s">
        <v>4072</v>
      </c>
      <c r="G48" s="307">
        <f>SUMIF(H4:H42,"לא",F4:F42)</f>
        <v>6422.9400000000005</v>
      </c>
      <c r="H48" s="67"/>
      <c r="I48" s="67"/>
      <c r="J48" s="67"/>
      <c r="K48" s="67"/>
    </row>
    <row r="49" spans="1:11" ht="13.5" customHeight="1" x14ac:dyDescent="0.2">
      <c r="A49" s="43" t="s">
        <v>35</v>
      </c>
      <c r="B49" s="43">
        <f>COUNTIF(E4:E42,A49)</f>
        <v>9</v>
      </c>
      <c r="C49" s="307">
        <f>SUMIF(E4:E42,A49,F4:F42)</f>
        <v>14740</v>
      </c>
      <c r="D49" s="307">
        <f t="shared" si="0"/>
        <v>1637.7777777777778</v>
      </c>
      <c r="E49" s="67"/>
      <c r="F49" s="43" t="s">
        <v>4049</v>
      </c>
      <c r="G49" s="307">
        <f>SUMIF(H4:H42,"לא ברור",F4:F42)</f>
        <v>5942.9400000000005</v>
      </c>
      <c r="H49" s="67"/>
      <c r="I49" s="67"/>
      <c r="J49" s="67"/>
      <c r="K49" s="67"/>
    </row>
    <row r="50" spans="1:11" ht="13.5" customHeight="1" x14ac:dyDescent="0.25">
      <c r="A50" s="43" t="s">
        <v>49</v>
      </c>
      <c r="B50" s="43">
        <f>COUNTIF(E4:E42,A50)</f>
        <v>3</v>
      </c>
      <c r="C50" s="307">
        <f>SUMIF(E4:E42,A50,F4:F42)</f>
        <v>3821.1</v>
      </c>
      <c r="D50" s="307">
        <f t="shared" si="0"/>
        <v>1273.7</v>
      </c>
      <c r="E50" s="67"/>
      <c r="F50" s="308" t="s">
        <v>4073</v>
      </c>
      <c r="G50" s="309">
        <f>SUM(G47:G49)</f>
        <v>55223.220000000016</v>
      </c>
      <c r="H50" s="67"/>
      <c r="I50" s="67"/>
      <c r="J50" s="67"/>
      <c r="K50" s="67"/>
    </row>
    <row r="51" spans="1:11" ht="13.5" customHeight="1" x14ac:dyDescent="0.2">
      <c r="A51" s="43" t="s">
        <v>271</v>
      </c>
      <c r="B51" s="43">
        <f>COUNTIF(E4:E42,A51)</f>
        <v>6</v>
      </c>
      <c r="C51" s="307">
        <f>SUMIF(E4:E42,A51,F4:F42)</f>
        <v>7142.9399999999987</v>
      </c>
      <c r="D51" s="307">
        <f t="shared" si="0"/>
        <v>1190.4899999999998</v>
      </c>
      <c r="E51" s="67"/>
      <c r="F51" s="67"/>
      <c r="G51" s="67"/>
      <c r="H51" s="67"/>
      <c r="I51" s="67"/>
      <c r="J51" s="67"/>
      <c r="K51" s="67"/>
    </row>
    <row r="52" spans="1:11" ht="13.5" customHeight="1" x14ac:dyDescent="0.25">
      <c r="A52" s="43" t="s">
        <v>3566</v>
      </c>
      <c r="B52" s="43">
        <f>COUNTIF(E4:E42,A52)</f>
        <v>1</v>
      </c>
      <c r="C52" s="307">
        <f>SUMIF(E4:E42,A52,F4:F42)</f>
        <v>2963</v>
      </c>
      <c r="D52" s="307">
        <f t="shared" si="0"/>
        <v>2963</v>
      </c>
      <c r="E52" s="67"/>
      <c r="F52" s="334" t="s">
        <v>4074</v>
      </c>
      <c r="G52" s="332"/>
      <c r="H52" s="67"/>
      <c r="I52" s="67"/>
      <c r="J52" s="67"/>
      <c r="K52" s="67"/>
    </row>
    <row r="53" spans="1:11" ht="13.5" customHeight="1" x14ac:dyDescent="0.25">
      <c r="A53" s="43" t="s">
        <v>4036</v>
      </c>
      <c r="B53" s="43">
        <f>COUNTIF(E4:E42,A53)</f>
        <v>2</v>
      </c>
      <c r="C53" s="307">
        <f>SUMIF(E4:E42,A53,F4:F42)</f>
        <v>1975</v>
      </c>
      <c r="D53" s="307">
        <f t="shared" si="0"/>
        <v>987.5</v>
      </c>
      <c r="E53" s="67"/>
      <c r="F53" s="295" t="s">
        <v>4070</v>
      </c>
      <c r="G53" s="295" t="s">
        <v>4067</v>
      </c>
      <c r="H53" s="67"/>
      <c r="I53" s="67"/>
      <c r="J53" s="67"/>
      <c r="K53" s="67"/>
    </row>
    <row r="54" spans="1:11" ht="13.5" customHeight="1" x14ac:dyDescent="0.25">
      <c r="A54" s="308" t="s">
        <v>4073</v>
      </c>
      <c r="B54" s="308">
        <f t="shared" ref="B54:C54" si="1">SUM(B47:B53)</f>
        <v>39</v>
      </c>
      <c r="C54" s="309">
        <f t="shared" si="1"/>
        <v>55223.219999999987</v>
      </c>
      <c r="D54" s="309">
        <f t="shared" si="0"/>
        <v>1415.9799999999996</v>
      </c>
      <c r="E54" s="67"/>
      <c r="F54" s="43" t="s">
        <v>4075</v>
      </c>
      <c r="G54" s="43">
        <v>141</v>
      </c>
      <c r="H54" s="67"/>
      <c r="I54" s="67"/>
      <c r="J54" s="67"/>
      <c r="K54" s="67"/>
    </row>
    <row r="55" spans="1:11" ht="13.5" customHeight="1" x14ac:dyDescent="0.2">
      <c r="A55" s="67"/>
      <c r="B55" s="67"/>
      <c r="C55" s="67"/>
      <c r="D55" s="67"/>
      <c r="E55" s="67"/>
      <c r="F55" s="43" t="s">
        <v>3367</v>
      </c>
      <c r="G55" s="43">
        <v>53</v>
      </c>
      <c r="H55" s="67"/>
      <c r="I55" s="67"/>
      <c r="J55" s="67"/>
      <c r="K55" s="67"/>
    </row>
    <row r="56" spans="1:11" ht="13.5" customHeight="1" x14ac:dyDescent="0.2">
      <c r="A56" s="310" t="s">
        <v>4076</v>
      </c>
      <c r="B56" s="67"/>
      <c r="C56" s="67"/>
      <c r="D56" s="67"/>
      <c r="E56" s="67"/>
      <c r="F56" s="43" t="s">
        <v>4077</v>
      </c>
      <c r="G56" s="43">
        <v>6</v>
      </c>
      <c r="H56" s="67"/>
      <c r="I56" s="67"/>
      <c r="J56" s="67"/>
      <c r="K56" s="67"/>
    </row>
    <row r="57" spans="1:11" ht="13.5" customHeight="1" x14ac:dyDescent="0.25">
      <c r="A57" s="310" t="s">
        <v>4078</v>
      </c>
      <c r="B57" s="67"/>
      <c r="C57" s="67"/>
      <c r="D57" s="67"/>
      <c r="E57" s="67"/>
      <c r="F57" s="308" t="s">
        <v>4073</v>
      </c>
      <c r="G57" s="308">
        <f>SUM(G54:G56)</f>
        <v>200</v>
      </c>
      <c r="H57" s="67"/>
      <c r="I57" s="67"/>
      <c r="J57" s="67"/>
      <c r="K57" s="67"/>
    </row>
    <row r="58" spans="1:11" ht="13.5" customHeight="1" x14ac:dyDescent="0.2">
      <c r="A58" s="67"/>
      <c r="B58" s="67"/>
      <c r="C58" s="67"/>
      <c r="D58" s="67"/>
      <c r="E58" s="67"/>
      <c r="F58" s="67"/>
      <c r="G58" s="67"/>
      <c r="H58" s="67"/>
      <c r="I58" s="67"/>
      <c r="J58" s="67"/>
      <c r="K58" s="67"/>
    </row>
    <row r="59" spans="1:11" ht="13.5" customHeight="1" x14ac:dyDescent="0.25">
      <c r="A59" s="67"/>
      <c r="B59" s="67"/>
      <c r="C59" s="67"/>
      <c r="D59" s="67"/>
      <c r="E59" s="67"/>
      <c r="F59" s="311" t="s">
        <v>4079</v>
      </c>
      <c r="G59" s="312">
        <f>G54/G57</f>
        <v>0.70499999999999996</v>
      </c>
      <c r="H59" s="67"/>
      <c r="I59" s="67"/>
      <c r="J59" s="67"/>
      <c r="K59" s="67"/>
    </row>
    <row r="60" spans="1:11" ht="13.5" customHeight="1" x14ac:dyDescent="0.2">
      <c r="A60" s="67"/>
      <c r="B60" s="67"/>
      <c r="C60" s="67"/>
      <c r="D60" s="67"/>
      <c r="E60" s="67"/>
      <c r="F60" s="67"/>
      <c r="G60" s="67"/>
      <c r="H60" s="67"/>
      <c r="I60" s="67"/>
      <c r="J60" s="67"/>
      <c r="K60" s="67"/>
    </row>
    <row r="61" spans="1:11" ht="13.5" customHeight="1" x14ac:dyDescent="0.2">
      <c r="A61" s="67"/>
      <c r="B61" s="67"/>
      <c r="C61" s="67"/>
      <c r="D61" s="67"/>
      <c r="E61" s="67"/>
      <c r="F61" s="67"/>
      <c r="G61" s="67"/>
      <c r="H61" s="67"/>
      <c r="I61" s="67"/>
      <c r="J61" s="67"/>
      <c r="K61" s="67"/>
    </row>
    <row r="62" spans="1:11" ht="13.5" customHeight="1" x14ac:dyDescent="0.2">
      <c r="A62" s="67"/>
      <c r="B62" s="67"/>
      <c r="C62" s="67"/>
      <c r="D62" s="67"/>
      <c r="E62" s="67"/>
      <c r="F62" s="67"/>
      <c r="G62" s="67"/>
      <c r="H62" s="67"/>
      <c r="I62" s="67"/>
      <c r="J62" s="67"/>
      <c r="K62" s="67"/>
    </row>
    <row r="63" spans="1:11" ht="13.5" customHeight="1" x14ac:dyDescent="0.2">
      <c r="A63" s="67"/>
      <c r="B63" s="67"/>
      <c r="C63" s="67"/>
      <c r="D63" s="67"/>
      <c r="E63" s="67"/>
      <c r="F63" s="67"/>
      <c r="G63" s="67"/>
      <c r="H63" s="67"/>
      <c r="I63" s="67"/>
      <c r="J63" s="67"/>
      <c r="K63" s="67"/>
    </row>
    <row r="64" spans="1:11" ht="13.5" customHeight="1" x14ac:dyDescent="0.2">
      <c r="A64" s="67"/>
      <c r="B64" s="67"/>
      <c r="C64" s="67"/>
      <c r="D64" s="67"/>
      <c r="E64" s="67"/>
      <c r="F64" s="67"/>
      <c r="G64" s="67"/>
      <c r="H64" s="67"/>
      <c r="I64" s="67"/>
      <c r="J64" s="67"/>
      <c r="K64" s="67"/>
    </row>
    <row r="65" spans="1:11" ht="13.5" customHeight="1" x14ac:dyDescent="0.2">
      <c r="A65" s="67"/>
      <c r="B65" s="67"/>
      <c r="C65" s="67"/>
      <c r="D65" s="67"/>
      <c r="E65" s="67"/>
      <c r="F65" s="67"/>
      <c r="G65" s="67"/>
      <c r="H65" s="67"/>
      <c r="I65" s="67"/>
      <c r="J65" s="67"/>
      <c r="K65" s="67"/>
    </row>
    <row r="66" spans="1:11" ht="13.5" customHeight="1" x14ac:dyDescent="0.2">
      <c r="A66" s="67"/>
      <c r="B66" s="67"/>
      <c r="C66" s="67"/>
      <c r="D66" s="67"/>
      <c r="E66" s="67"/>
      <c r="F66" s="67"/>
      <c r="G66" s="67"/>
      <c r="H66" s="67"/>
      <c r="I66" s="67"/>
      <c r="J66" s="67"/>
      <c r="K66" s="67"/>
    </row>
    <row r="67" spans="1:11" ht="13.5" customHeight="1" x14ac:dyDescent="0.2">
      <c r="A67" s="67"/>
      <c r="B67" s="67"/>
      <c r="C67" s="67"/>
      <c r="D67" s="67"/>
      <c r="E67" s="67"/>
      <c r="F67" s="67"/>
      <c r="G67" s="67"/>
      <c r="H67" s="67"/>
      <c r="I67" s="67"/>
      <c r="J67" s="67"/>
      <c r="K67" s="67"/>
    </row>
    <row r="68" spans="1:11" ht="13.5" customHeight="1" x14ac:dyDescent="0.2">
      <c r="A68" s="67"/>
      <c r="B68" s="67"/>
      <c r="C68" s="67"/>
      <c r="D68" s="67"/>
      <c r="E68" s="67"/>
      <c r="F68" s="67"/>
      <c r="G68" s="67"/>
      <c r="H68" s="67"/>
      <c r="I68" s="67"/>
      <c r="J68" s="67"/>
      <c r="K68" s="67"/>
    </row>
    <row r="69" spans="1:11" ht="13.5" customHeight="1" x14ac:dyDescent="0.2">
      <c r="A69" s="67"/>
      <c r="B69" s="67"/>
      <c r="C69" s="67"/>
      <c r="D69" s="67"/>
      <c r="E69" s="67"/>
      <c r="F69" s="67"/>
      <c r="G69" s="67"/>
      <c r="H69" s="67"/>
      <c r="I69" s="67"/>
      <c r="J69" s="67"/>
      <c r="K69" s="67"/>
    </row>
    <row r="70" spans="1:11" ht="13.5" customHeight="1" x14ac:dyDescent="0.2">
      <c r="A70" s="67"/>
      <c r="B70" s="67"/>
      <c r="C70" s="67"/>
      <c r="D70" s="67"/>
      <c r="E70" s="67"/>
      <c r="F70" s="67"/>
      <c r="G70" s="67"/>
      <c r="H70" s="67"/>
      <c r="I70" s="67"/>
      <c r="J70" s="67"/>
      <c r="K70" s="67"/>
    </row>
    <row r="71" spans="1:11" ht="13.5" customHeight="1" x14ac:dyDescent="0.2">
      <c r="A71" s="67"/>
      <c r="B71" s="67"/>
      <c r="C71" s="67"/>
      <c r="D71" s="67"/>
      <c r="E71" s="67"/>
      <c r="F71" s="67"/>
      <c r="G71" s="67"/>
      <c r="H71" s="67"/>
      <c r="I71" s="67"/>
      <c r="J71" s="67"/>
      <c r="K71" s="67"/>
    </row>
    <row r="72" spans="1:11" ht="13.5" customHeight="1" x14ac:dyDescent="0.2">
      <c r="A72" s="67"/>
      <c r="B72" s="67"/>
      <c r="C72" s="67"/>
      <c r="D72" s="67"/>
      <c r="E72" s="67"/>
      <c r="F72" s="67"/>
      <c r="G72" s="67"/>
      <c r="H72" s="67"/>
      <c r="I72" s="67"/>
      <c r="J72" s="67"/>
      <c r="K72" s="67"/>
    </row>
    <row r="73" spans="1:11" ht="13.5" customHeight="1" x14ac:dyDescent="0.2">
      <c r="A73" s="67"/>
      <c r="B73" s="67"/>
      <c r="C73" s="67"/>
      <c r="D73" s="67"/>
      <c r="E73" s="67"/>
      <c r="F73" s="67"/>
      <c r="G73" s="67"/>
      <c r="H73" s="67"/>
      <c r="I73" s="67"/>
      <c r="J73" s="67"/>
      <c r="K73" s="67"/>
    </row>
    <row r="74" spans="1:11" ht="13.5" customHeight="1" x14ac:dyDescent="0.2">
      <c r="A74" s="67"/>
      <c r="B74" s="67"/>
      <c r="C74" s="67"/>
      <c r="D74" s="67"/>
      <c r="E74" s="67"/>
      <c r="F74" s="67"/>
      <c r="G74" s="67"/>
      <c r="H74" s="67"/>
      <c r="I74" s="67"/>
      <c r="J74" s="67"/>
      <c r="K74" s="67"/>
    </row>
    <row r="75" spans="1:11" ht="13.5" customHeight="1" x14ac:dyDescent="0.2">
      <c r="A75" s="67"/>
      <c r="B75" s="67"/>
      <c r="C75" s="67"/>
      <c r="D75" s="67"/>
      <c r="E75" s="67"/>
      <c r="F75" s="67"/>
      <c r="G75" s="67"/>
      <c r="H75" s="67"/>
      <c r="I75" s="67"/>
      <c r="J75" s="67"/>
      <c r="K75" s="67"/>
    </row>
    <row r="76" spans="1:11" ht="13.5" customHeight="1" x14ac:dyDescent="0.2">
      <c r="A76" s="67"/>
      <c r="B76" s="67"/>
      <c r="C76" s="67"/>
      <c r="D76" s="67"/>
      <c r="E76" s="67"/>
      <c r="F76" s="67"/>
      <c r="G76" s="67"/>
      <c r="H76" s="67"/>
      <c r="I76" s="67"/>
      <c r="J76" s="67"/>
      <c r="K76" s="67"/>
    </row>
    <row r="77" spans="1:11" ht="13.5" customHeight="1" x14ac:dyDescent="0.2">
      <c r="A77" s="67"/>
      <c r="B77" s="67"/>
      <c r="C77" s="67"/>
      <c r="D77" s="67"/>
      <c r="E77" s="67"/>
      <c r="F77" s="67"/>
      <c r="G77" s="67"/>
      <c r="H77" s="67"/>
      <c r="I77" s="67"/>
      <c r="J77" s="67"/>
      <c r="K77" s="67"/>
    </row>
    <row r="78" spans="1:11" ht="13.5" customHeight="1" x14ac:dyDescent="0.2">
      <c r="A78" s="67"/>
      <c r="B78" s="67"/>
      <c r="C78" s="67"/>
      <c r="D78" s="67"/>
      <c r="E78" s="67"/>
      <c r="F78" s="67"/>
      <c r="G78" s="67"/>
      <c r="H78" s="67"/>
      <c r="I78" s="67"/>
      <c r="J78" s="67"/>
      <c r="K78" s="67"/>
    </row>
    <row r="79" spans="1:11" ht="13.5" customHeight="1" x14ac:dyDescent="0.2">
      <c r="A79" s="67"/>
      <c r="B79" s="67"/>
      <c r="C79" s="67"/>
      <c r="D79" s="67"/>
      <c r="E79" s="67"/>
      <c r="F79" s="67"/>
      <c r="G79" s="67"/>
      <c r="H79" s="67"/>
      <c r="I79" s="67"/>
      <c r="J79" s="67"/>
      <c r="K79" s="67"/>
    </row>
    <row r="80" spans="1:11" ht="13.5" customHeight="1" x14ac:dyDescent="0.2">
      <c r="A80" s="67"/>
      <c r="B80" s="67"/>
      <c r="C80" s="67"/>
      <c r="D80" s="67"/>
      <c r="E80" s="67"/>
      <c r="F80" s="67"/>
      <c r="G80" s="67"/>
      <c r="H80" s="67"/>
      <c r="I80" s="67"/>
      <c r="J80" s="67"/>
      <c r="K80" s="67"/>
    </row>
    <row r="81" spans="1:11" ht="13.5" customHeight="1" x14ac:dyDescent="0.2">
      <c r="A81" s="67"/>
      <c r="B81" s="67"/>
      <c r="C81" s="67"/>
      <c r="D81" s="67"/>
      <c r="E81" s="67"/>
      <c r="F81" s="67"/>
      <c r="G81" s="67"/>
      <c r="H81" s="67"/>
      <c r="I81" s="67"/>
      <c r="J81" s="67"/>
      <c r="K81" s="67"/>
    </row>
    <row r="82" spans="1:11" ht="13.5" customHeight="1" x14ac:dyDescent="0.2">
      <c r="A82" s="67"/>
      <c r="B82" s="67"/>
      <c r="C82" s="67"/>
      <c r="D82" s="67"/>
      <c r="E82" s="67"/>
      <c r="F82" s="67"/>
      <c r="G82" s="67"/>
      <c r="H82" s="67"/>
      <c r="I82" s="67"/>
      <c r="J82" s="67"/>
      <c r="K82" s="67"/>
    </row>
    <row r="83" spans="1:11" ht="13.5" customHeight="1" x14ac:dyDescent="0.2">
      <c r="A83" s="67"/>
      <c r="B83" s="67"/>
      <c r="C83" s="67"/>
      <c r="D83" s="67"/>
      <c r="E83" s="67"/>
      <c r="F83" s="67"/>
      <c r="G83" s="67"/>
      <c r="H83" s="67"/>
      <c r="I83" s="67"/>
      <c r="J83" s="67"/>
      <c r="K83" s="67"/>
    </row>
    <row r="84" spans="1:11" ht="13.5" customHeight="1" x14ac:dyDescent="0.2">
      <c r="A84" s="67"/>
      <c r="B84" s="67"/>
      <c r="C84" s="67"/>
      <c r="D84" s="67"/>
      <c r="E84" s="67"/>
      <c r="F84" s="67"/>
      <c r="G84" s="67"/>
      <c r="H84" s="67"/>
      <c r="I84" s="67"/>
      <c r="J84" s="67"/>
      <c r="K84" s="67"/>
    </row>
    <row r="85" spans="1:11" ht="13.5" customHeight="1" x14ac:dyDescent="0.2">
      <c r="A85" s="67"/>
      <c r="B85" s="67"/>
      <c r="C85" s="67"/>
      <c r="D85" s="67"/>
      <c r="E85" s="67"/>
      <c r="F85" s="67"/>
      <c r="G85" s="67"/>
      <c r="H85" s="67"/>
      <c r="I85" s="67"/>
      <c r="J85" s="67"/>
      <c r="K85" s="67"/>
    </row>
    <row r="86" spans="1:11" ht="13.5" customHeight="1" x14ac:dyDescent="0.2">
      <c r="A86" s="67"/>
      <c r="B86" s="67"/>
      <c r="C86" s="67"/>
      <c r="D86" s="67"/>
      <c r="E86" s="67"/>
      <c r="F86" s="67"/>
      <c r="G86" s="67"/>
      <c r="H86" s="67"/>
      <c r="I86" s="67"/>
      <c r="J86" s="67"/>
      <c r="K86" s="67"/>
    </row>
    <row r="87" spans="1:11" ht="13.5" customHeight="1" x14ac:dyDescent="0.2">
      <c r="A87" s="67"/>
      <c r="B87" s="67"/>
      <c r="C87" s="67"/>
      <c r="D87" s="67"/>
      <c r="E87" s="67"/>
      <c r="F87" s="67"/>
      <c r="G87" s="67"/>
      <c r="H87" s="67"/>
      <c r="I87" s="67"/>
      <c r="J87" s="67"/>
      <c r="K87" s="67"/>
    </row>
    <row r="88" spans="1:11" ht="13.5" customHeight="1" x14ac:dyDescent="0.2">
      <c r="A88" s="67"/>
      <c r="B88" s="67"/>
      <c r="C88" s="67"/>
      <c r="D88" s="67"/>
      <c r="E88" s="67"/>
      <c r="F88" s="67"/>
      <c r="G88" s="67"/>
      <c r="H88" s="67"/>
      <c r="I88" s="67"/>
      <c r="J88" s="67"/>
      <c r="K88" s="67"/>
    </row>
    <row r="89" spans="1:11" ht="13.5" customHeight="1" x14ac:dyDescent="0.2">
      <c r="A89" s="67"/>
      <c r="B89" s="67"/>
      <c r="C89" s="67"/>
      <c r="D89" s="67"/>
      <c r="E89" s="67"/>
      <c r="F89" s="67"/>
      <c r="G89" s="67"/>
      <c r="H89" s="67"/>
      <c r="I89" s="67"/>
      <c r="J89" s="67"/>
      <c r="K89" s="67"/>
    </row>
    <row r="90" spans="1:11" ht="13.5" customHeight="1" x14ac:dyDescent="0.2">
      <c r="A90" s="67"/>
      <c r="B90" s="67"/>
      <c r="C90" s="67"/>
      <c r="D90" s="67"/>
      <c r="E90" s="67"/>
      <c r="F90" s="67"/>
      <c r="G90" s="67"/>
      <c r="H90" s="67"/>
      <c r="I90" s="67"/>
      <c r="J90" s="67"/>
      <c r="K90" s="67"/>
    </row>
    <row r="91" spans="1:11" ht="13.5" customHeight="1" x14ac:dyDescent="0.2">
      <c r="A91" s="67"/>
      <c r="B91" s="67"/>
      <c r="C91" s="67"/>
      <c r="D91" s="67"/>
      <c r="E91" s="67"/>
      <c r="F91" s="67"/>
      <c r="G91" s="67"/>
      <c r="H91" s="67"/>
      <c r="I91" s="67"/>
      <c r="J91" s="67"/>
      <c r="K91" s="67"/>
    </row>
    <row r="92" spans="1:11" ht="13.5" customHeight="1" x14ac:dyDescent="0.2">
      <c r="A92" s="67"/>
      <c r="B92" s="67"/>
      <c r="C92" s="67"/>
      <c r="D92" s="67"/>
      <c r="E92" s="67"/>
      <c r="F92" s="67"/>
      <c r="G92" s="67"/>
      <c r="H92" s="67"/>
      <c r="I92" s="67"/>
      <c r="J92" s="67"/>
      <c r="K92" s="67"/>
    </row>
    <row r="93" spans="1:11" ht="13.5" customHeight="1" x14ac:dyDescent="0.2">
      <c r="A93" s="67"/>
      <c r="B93" s="67"/>
      <c r="C93" s="67"/>
      <c r="D93" s="67"/>
      <c r="E93" s="67"/>
      <c r="F93" s="67"/>
      <c r="G93" s="67"/>
      <c r="H93" s="67"/>
      <c r="I93" s="67"/>
      <c r="J93" s="67"/>
      <c r="K93" s="67"/>
    </row>
    <row r="94" spans="1:11" ht="13.5" customHeight="1" x14ac:dyDescent="0.2">
      <c r="A94" s="67"/>
      <c r="B94" s="67"/>
      <c r="C94" s="67"/>
      <c r="D94" s="67"/>
      <c r="E94" s="67"/>
      <c r="F94" s="67"/>
      <c r="G94" s="67"/>
      <c r="H94" s="67"/>
      <c r="I94" s="67"/>
      <c r="J94" s="67"/>
      <c r="K94" s="67"/>
    </row>
    <row r="95" spans="1:11" ht="13.5" customHeight="1" x14ac:dyDescent="0.2">
      <c r="A95" s="67"/>
      <c r="B95" s="67"/>
      <c r="C95" s="67"/>
      <c r="D95" s="67"/>
      <c r="E95" s="67"/>
      <c r="F95" s="67"/>
      <c r="G95" s="67"/>
      <c r="H95" s="67"/>
      <c r="I95" s="67"/>
      <c r="J95" s="67"/>
      <c r="K95" s="67"/>
    </row>
    <row r="96" spans="1:11" ht="13.5" customHeight="1" x14ac:dyDescent="0.2">
      <c r="A96" s="67"/>
      <c r="B96" s="67"/>
      <c r="C96" s="67"/>
      <c r="D96" s="67"/>
      <c r="E96" s="67"/>
      <c r="F96" s="67"/>
      <c r="G96" s="67"/>
      <c r="H96" s="67"/>
      <c r="I96" s="67"/>
      <c r="J96" s="67"/>
      <c r="K96" s="67"/>
    </row>
    <row r="97" spans="1:11" ht="13.5" customHeight="1" x14ac:dyDescent="0.2">
      <c r="A97" s="67"/>
      <c r="B97" s="67"/>
      <c r="C97" s="67"/>
      <c r="D97" s="67"/>
      <c r="E97" s="67"/>
      <c r="F97" s="67"/>
      <c r="G97" s="67"/>
      <c r="H97" s="67"/>
      <c r="I97" s="67"/>
      <c r="J97" s="67"/>
      <c r="K97" s="67"/>
    </row>
    <row r="98" spans="1:11" ht="13.5" customHeight="1" x14ac:dyDescent="0.2">
      <c r="A98" s="67"/>
      <c r="B98" s="67"/>
      <c r="C98" s="67"/>
      <c r="D98" s="67"/>
      <c r="E98" s="67"/>
      <c r="F98" s="67"/>
      <c r="G98" s="67"/>
      <c r="H98" s="67"/>
      <c r="I98" s="67"/>
      <c r="J98" s="67"/>
      <c r="K98" s="67"/>
    </row>
    <row r="99" spans="1:11" ht="13.5" customHeight="1" x14ac:dyDescent="0.2">
      <c r="A99" s="67"/>
      <c r="B99" s="67"/>
      <c r="C99" s="67"/>
      <c r="D99" s="67"/>
      <c r="E99" s="67"/>
      <c r="F99" s="67"/>
      <c r="G99" s="67"/>
      <c r="H99" s="67"/>
      <c r="I99" s="67"/>
      <c r="J99" s="67"/>
      <c r="K99" s="67"/>
    </row>
    <row r="100" spans="1:11" ht="13.5" customHeight="1" x14ac:dyDescent="0.2">
      <c r="A100" s="67"/>
      <c r="B100" s="67"/>
      <c r="C100" s="67"/>
      <c r="D100" s="67"/>
      <c r="E100" s="67"/>
      <c r="F100" s="67"/>
      <c r="G100" s="67"/>
      <c r="H100" s="67"/>
      <c r="I100" s="67"/>
      <c r="J100" s="67"/>
      <c r="K100" s="67"/>
    </row>
    <row r="101" spans="1:11" ht="13.5" customHeight="1" x14ac:dyDescent="0.2"/>
    <row r="102" spans="1:11" ht="13.5" customHeight="1" x14ac:dyDescent="0.2"/>
    <row r="103" spans="1:11" ht="13.5" customHeight="1" x14ac:dyDescent="0.2"/>
    <row r="104" spans="1:11" ht="13.5" customHeight="1" x14ac:dyDescent="0.2"/>
    <row r="105" spans="1:11" ht="13.5" customHeight="1" x14ac:dyDescent="0.2"/>
    <row r="106" spans="1:11" ht="13.5" customHeight="1" x14ac:dyDescent="0.2"/>
    <row r="107" spans="1:11" ht="13.5" customHeight="1" x14ac:dyDescent="0.2"/>
    <row r="108" spans="1:11" ht="13.5" customHeight="1" x14ac:dyDescent="0.2"/>
    <row r="109" spans="1:11" ht="13.5" customHeight="1" x14ac:dyDescent="0.2"/>
    <row r="110" spans="1:11" ht="13.5" customHeight="1" x14ac:dyDescent="0.2"/>
    <row r="111" spans="1:11" ht="13.5" customHeight="1" x14ac:dyDescent="0.2"/>
    <row r="112" spans="1:11"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mergeCells count="3">
    <mergeCell ref="A1:H1"/>
    <mergeCell ref="A45:D45"/>
    <mergeCell ref="F52:G52"/>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12</vt:i4>
      </vt:variant>
    </vt:vector>
  </HeadingPairs>
  <TitlesOfParts>
    <vt:vector size="12" baseType="lpstr">
      <vt:lpstr>סהכ</vt:lpstr>
      <vt:lpstr>החזרת רכבים </vt:lpstr>
      <vt:lpstr>משימות</vt:lpstr>
      <vt:lpstr>חשבוניות מוסכים</vt:lpstr>
      <vt:lpstr>דוחות </vt:lpstr>
      <vt:lpstr>שמות ומיילים</vt:lpstr>
      <vt:lpstr>אירועים</vt:lpstr>
      <vt:lpstr>מחירון חלקים מוסכים</vt:lpstr>
      <vt:lpstr>מחירון פוליסות</vt:lpstr>
      <vt:lpstr>איתוראןפוינטר</vt:lpstr>
      <vt:lpstr>וילוקאפ</vt:lpstr>
      <vt:lpstr>פילוח אירועים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נדב מרציאנו</cp:lastModifiedBy>
  <dcterms:created xsi:type="dcterms:W3CDTF">2025-12-23T08:43:08Z</dcterms:created>
  <dcterms:modified xsi:type="dcterms:W3CDTF">2026-06-28T12:52:11Z</dcterms:modified>
</cp:coreProperties>
</file>